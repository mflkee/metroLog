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и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Главная" sheetId="3" state="visible" r:id="rId3"/>
    <sheet xmlns:r="http://schemas.openxmlformats.org/officeDocument/2006/relationships" name="Оборудование" sheetId="4" state="visible" r:id="rId4"/>
    <sheet xmlns:r="http://schemas.openxmlformats.org/officeDocument/2006/relationships" name="Поверка_СИ" sheetId="5" state="visible" r:id="rId5"/>
    <sheet xmlns:r="http://schemas.openxmlformats.org/officeDocument/2006/relationships" name="Ремонты" sheetId="6" state="visible" r:id="rId6"/>
    <sheet xmlns:r="http://schemas.openxmlformats.org/officeDocument/2006/relationships" name="Журнал_событий" sheetId="7" state="visible" r:id="rId7"/>
    <sheet xmlns:r="http://schemas.openxmlformats.org/officeDocument/2006/relationships" name="Карточка_прибора" sheetId="8" state="visible" r:id="rId8"/>
    <sheet xmlns:r="http://schemas.openxmlformats.org/officeDocument/2006/relationships" name="Как_пользоваться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7030A0"/>
    </font>
    <font>
      <b val="1"/>
      <color rgb="00FFFFFF"/>
      <sz val="16"/>
    </font>
    <font>
      <b val="1"/>
      <color rgb="000F243E"/>
      <sz val="10"/>
    </font>
    <font>
      <b val="1"/>
      <color rgb="000F243E"/>
      <sz val="18"/>
    </font>
    <font>
      <b val="1"/>
    </font>
    <font>
      <color rgb="000000FF"/>
    </font>
    <font>
      <color rgb="00000000"/>
    </font>
    <font>
      <color rgb="0066666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DCF8"/>
      </patternFill>
    </fill>
    <fill>
      <patternFill patternType="solid">
        <fgColor rgb="000F243E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5" fontId="7" fillId="0" borderId="0" applyAlignment="1" pivotButton="0" quotePrefix="0" xfId="0">
      <alignment vertical="center" wrapText="1"/>
    </xf>
    <xf numFmtId="165" fontId="8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165" fontId="8" fillId="7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F2F2"/>
        </patternFill>
      </fill>
    </dxf>
    <dxf>
      <fill>
        <patternFill patternType="solid">
          <fgColor rgb="00FDE9E7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EquipmentTableV2" displayName="EquipmentTableV2" ref="A1:R200" headerRowCount="1">
  <autoFilter ref="A1:R200"/>
  <tableColumns count="18">
    <tableColumn id="1" name="ID прибора"/>
    <tableColumn id="2" name="Объект"/>
    <tableColumn id="3" name="Тип"/>
    <tableColumn id="4" name="Наименование"/>
    <tableColumn id="5" name="Модификация"/>
    <tableColumn id="6" name="Заводской номер"/>
    <tableColumn id="7" name="Год выпуска"/>
    <tableColumn id="8" name="Статус"/>
    <tableColumn id="9" name="Где сейчас прибор"/>
    <tableColumn id="10" name="Активный ремонт"/>
    <tableColumn id="11" name="Рег. номер типа СИ"/>
    <tableColumn id="12" name="Наименование типа СИ"/>
    <tableColumn id="13" name="Обозначение типа СИ"/>
    <tableColumn id="14" name="Номер свидетельства"/>
    <tableColumn id="15" name="Дата поверки"/>
    <tableColumn id="16" name="Поверка до"/>
    <tableColumn id="17" name="Владелец СИ"/>
    <tableColumn id="18" name="Сценарий тест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cationTableV2" displayName="VerificationTableV2" ref="A1:R200" headerRowCount="1">
  <autoFilter ref="A1:R200"/>
  <tableColumns count="18">
    <tableColumn id="1" name="ID прибора"/>
    <tableColumn id="2" name="Регистрационный номер типа СИ"/>
    <tableColumn id="3" name="Обозначение типа СИ"/>
    <tableColumn id="4" name="Наименование типа СИ"/>
    <tableColumn id="5" name="Заводской номер СИ"/>
    <tableColumn id="6" name="Модификация СИ"/>
    <tableColumn id="7" name="Организация-поверитель"/>
    <tableColumn id="8" name="Шифр знака поверки"/>
    <tableColumn id="9" name="Владелец СИ"/>
    <tableColumn id="10" name="Тип поверки"/>
    <tableColumn id="11" name="Дата поверки СИ"/>
    <tableColumn id="12" name="Поверка действительна до"/>
    <tableColumn id="13" name="Документ поверки"/>
    <tableColumn id="14" name="СИ пригодно"/>
    <tableColumn id="15" name="Номер свидетельства"/>
    <tableColumn id="16" name="Знак поверки в паспорте"/>
    <tableColumn id="17" name="Знак поверки на СИ"/>
    <tableColumn id="18" name="Средство поверки / этало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airTableV2" displayName="RepairTableV2" ref="A1:Y200" headerRowCount="1">
  <autoFilter ref="A1:Y200"/>
  <tableColumns count="25">
    <tableColumn id="1" name="ID прибора"/>
    <tableColumn id="2" name="Сценарий"/>
    <tableColumn id="3" name="Объект"/>
    <tableColumn id="4" name="Тип"/>
    <tableColumn id="5" name="Наименование"/>
    <tableColumn id="6" name="Статус из реестра"/>
    <tableColumn id="7" name="Дата отправки в ремонт"/>
    <tableColumn id="8" name="Дедлайн ремонта (100)"/>
    <tableColumn id="9" name="Дата отправки из ремонта"/>
    <tableColumn id="10" name="Дата отправки из Иркутска"/>
    <tableColumn id="11" name="Дата прибытия в Ленск"/>
    <tableColumn id="12" name="Дедлайн регистрации (5)"/>
    <tableColumn id="13" name="Фактическое получение"/>
    <tableColumn id="14" name="Начало контроля"/>
    <tableColumn id="15" name="Дедлайн контроля (40)"/>
    <tableColumn id="16" name="Дата входного контроля"/>
    <tableColumn id="17" name="Начало оплаты"/>
    <tableColumn id="18" name="Дедлайн оплаты (70)"/>
    <tableColumn id="19" name="Дата оплаты"/>
    <tableColumn id="20" name="Где сейчас прибор"/>
    <tableColumn id="21" name="Просрочка ремонта"/>
    <tableColumn id="22" name="Просрочка регистрации"/>
    <tableColumn id="23" name="Просрочка контроля"/>
    <tableColumn id="24" name="Просрочка оплаты"/>
    <tableColumn id="25" name="Макс. просроч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entsLogTable" displayName="EventsLogTable" ref="A1:G1394" headerRowCount="1">
  <autoFilter ref="A1:G1394"/>
  <tableColumns count="7">
    <tableColumn id="1" name="Дата события"/>
    <tableColumn id="2" name="ID прибора"/>
    <tableColumn id="3" name="Тип"/>
    <tableColumn id="4" name="Наименование"/>
    <tableColumn id="5" name="Событие"/>
    <tableColumn id="6" name="Текущий этап"/>
    <tableColumn id="7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3" max="3"/>
  </cols>
  <sheetData>
    <row r="1" ht="30" customHeight="1">
      <c r="A1" s="1" t="inlineStr">
        <is>
          <t>Тип оборудования</t>
        </is>
      </c>
      <c r="B1" s="1" t="n"/>
      <c r="C1" s="1" t="inlineStr">
        <is>
          <t>Статус оборудования</t>
        </is>
      </c>
    </row>
    <row r="2">
      <c r="A2" t="inlineStr">
        <is>
          <t>СИ</t>
        </is>
      </c>
      <c r="C2" t="inlineStr">
        <is>
          <t>В работе</t>
        </is>
      </c>
    </row>
    <row r="3">
      <c r="A3" t="inlineStr">
        <is>
          <t>ИО</t>
        </is>
      </c>
      <c r="C3" t="inlineStr">
        <is>
          <t>В поверке</t>
        </is>
      </c>
    </row>
    <row r="4">
      <c r="A4" t="inlineStr">
        <is>
          <t>ВО</t>
        </is>
      </c>
      <c r="C4" t="inlineStr">
        <is>
          <t>В ремонте</t>
        </is>
      </c>
    </row>
    <row r="5">
      <c r="A5" t="inlineStr">
        <is>
          <t>Другое</t>
        </is>
      </c>
      <c r="C5" t="inlineStr">
        <is>
          <t>Списан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 ht="30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Контрольная дата</t>
        </is>
      </c>
      <c r="B2" s="2" t="n">
        <v>46092</v>
      </c>
    </row>
    <row r="3">
      <c r="A3" t="inlineStr">
        <is>
          <t>Комментарий</t>
        </is>
      </c>
      <c r="B3" t="inlineStr">
        <is>
          <t>Измените B2, если хотите протестировать дедлайны на другую дату.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>
      <c r="A1" s="3" t="inlineStr">
        <is>
          <t>УЧЕТ ОБОРУДОВАНИЯ И РЕМОНТОВ — DEMO v2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28" customHeight="1">
      <c r="A4" s="5" t="inlineStr">
        <is>
          <t>Всего оборудования</t>
        </is>
      </c>
      <c r="B4" s="6">
        <f>COUNTA(Оборудование!A2:A200)</f>
        <v/>
      </c>
      <c r="C4" s="5" t="inlineStr">
        <is>
          <t>В ремонте</t>
        </is>
      </c>
      <c r="D4" s="6">
        <f>COUNTIF(Оборудование!H2:H200,"В ремонте")</f>
        <v/>
      </c>
      <c r="E4" s="5" t="inlineStr">
        <is>
          <t>Есть просрочки</t>
        </is>
      </c>
      <c r="F4" s="6">
        <f>COUNTIF(Ремонты!Y2:Y200,"&gt;0")</f>
        <v/>
      </c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 ht="28" customHeight="1">
      <c r="A8" s="5" t="inlineStr">
        <is>
          <t>СИ</t>
        </is>
      </c>
      <c r="B8" s="6">
        <f>COUNTIF(Оборудование!C2:C200,"СИ")</f>
        <v/>
      </c>
      <c r="C8" s="5" t="inlineStr">
        <is>
          <t>ИО / ВО</t>
        </is>
      </c>
      <c r="D8" s="6">
        <f>COUNTIF(Оборудование!C2:C200,"ИО")+COUNTIF(Оборудование!C2:C200,"ВО")</f>
        <v/>
      </c>
      <c r="E8" s="5" t="inlineStr">
        <is>
          <t>Другое</t>
        </is>
      </c>
      <c r="F8" s="6">
        <f>COUNTIF(Оборудование!C2:C200,"Другое")</f>
        <v/>
      </c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inlineStr">
        <is>
          <t>Контрольная дата</t>
        </is>
      </c>
      <c r="B12" s="7">
        <f>Настройки!B2</f>
        <v/>
      </c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8" t="inlineStr">
        <is>
          <t>Навигация</t>
        </is>
      </c>
      <c r="B14" s="4" t="n"/>
      <c r="C14" s="4" t="n"/>
      <c r="D14" s="4" t="n"/>
      <c r="E14" s="4" t="n"/>
      <c r="F14" s="4" t="n"/>
    </row>
    <row r="15">
      <c r="A15" s="4" t="inlineStr">
        <is>
          <t>Оборудование</t>
        </is>
      </c>
      <c r="B15" s="4" t="inlineStr">
        <is>
          <t>Реестр с фильтрами</t>
        </is>
      </c>
      <c r="C15" s="4" t="n"/>
      <c r="D15" s="4" t="n"/>
      <c r="E15" s="4" t="n"/>
      <c r="F15" s="4" t="n"/>
    </row>
    <row r="16">
      <c r="A16" s="4" t="inlineStr">
        <is>
          <t>Ремонты</t>
        </is>
      </c>
      <c r="B16" s="4" t="inlineStr">
        <is>
          <t>Сроки и маршрут ремонта</t>
        </is>
      </c>
      <c r="C16" s="4" t="n"/>
      <c r="D16" s="4" t="n"/>
      <c r="E16" s="4" t="n"/>
      <c r="F16" s="4" t="n"/>
    </row>
    <row r="17">
      <c r="A17" s="4" t="inlineStr">
        <is>
          <t>Журнал_событий</t>
        </is>
      </c>
      <c r="B17" s="4" t="inlineStr">
        <is>
          <t>Автожурнал по листу Ремонты</t>
        </is>
      </c>
      <c r="C17" s="4" t="n"/>
      <c r="D17" s="4" t="n"/>
      <c r="E17" s="4" t="n"/>
      <c r="F17" s="4" t="n"/>
    </row>
    <row r="18">
      <c r="A18" s="4" t="inlineStr">
        <is>
          <t>Карточка_прибора</t>
        </is>
      </c>
      <c r="B18" s="4" t="inlineStr">
        <is>
          <t>Экран выбранного прибора</t>
        </is>
      </c>
      <c r="C18" s="4" t="n"/>
      <c r="D18" s="4" t="n"/>
      <c r="E18" s="4" t="n"/>
      <c r="F18" s="4" t="n"/>
    </row>
    <row r="19">
      <c r="A19" s="4" t="inlineStr">
        <is>
          <t>Поверка_СИ</t>
        </is>
      </c>
      <c r="B19" s="4" t="inlineStr">
        <is>
          <t>Подробные сведения по СИ</t>
        </is>
      </c>
      <c r="C19" s="4" t="n"/>
      <c r="D19" s="4" t="n"/>
      <c r="E19" s="4" t="n"/>
      <c r="F19" s="4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6" customWidth="1" min="4" max="4"/>
    <col width="18" customWidth="1" min="5" max="5"/>
    <col width="16" customWidth="1" min="6" max="6"/>
    <col width="12" customWidth="1" min="7" max="7"/>
    <col width="14" customWidth="1" min="8" max="8"/>
    <col width="24" customWidth="1" min="9" max="9"/>
    <col width="16" customWidth="1" min="10" max="10"/>
    <col width="18" customWidth="1" min="11" max="11"/>
    <col width="24" customWidth="1" min="12" max="12"/>
    <col width="18" customWidth="1" min="13" max="13"/>
    <col width="28" customWidth="1" min="14" max="14"/>
    <col width="14" customWidth="1" min="15" max="15"/>
    <col width="14" customWidth="1" min="16" max="16"/>
    <col width="22" customWidth="1" min="17" max="17"/>
    <col width="28" customWidth="1" min="18" max="18"/>
  </cols>
  <sheetData>
    <row r="1" ht="30" customHeight="1">
      <c r="A1" s="1" t="inlineStr">
        <is>
          <t>ID прибора</t>
        </is>
      </c>
      <c r="B1" s="1" t="inlineStr">
        <is>
          <t>Объект</t>
        </is>
      </c>
      <c r="C1" s="1" t="inlineStr">
        <is>
          <t>Тип</t>
        </is>
      </c>
      <c r="D1" s="1" t="inlineStr">
        <is>
          <t>Наименование</t>
        </is>
      </c>
      <c r="E1" s="1" t="inlineStr">
        <is>
          <t>Модификация</t>
        </is>
      </c>
      <c r="F1" s="1" t="inlineStr">
        <is>
          <t>Заводской номер</t>
        </is>
      </c>
      <c r="G1" s="1" t="inlineStr">
        <is>
          <t>Год выпуска</t>
        </is>
      </c>
      <c r="H1" s="1" t="inlineStr">
        <is>
          <t>Статус</t>
        </is>
      </c>
      <c r="I1" s="1" t="inlineStr">
        <is>
          <t>Где сейчас прибор</t>
        </is>
      </c>
      <c r="J1" s="1" t="inlineStr">
        <is>
          <t>Активный ремонт</t>
        </is>
      </c>
      <c r="K1" s="1" t="inlineStr">
        <is>
          <t>Рег. номер типа СИ</t>
        </is>
      </c>
      <c r="L1" s="1" t="inlineStr">
        <is>
          <t>Наименование типа СИ</t>
        </is>
      </c>
      <c r="M1" s="1" t="inlineStr">
        <is>
          <t>Обозначение типа СИ</t>
        </is>
      </c>
      <c r="N1" s="1" t="inlineStr">
        <is>
          <t>Номер свидетельства</t>
        </is>
      </c>
      <c r="O1" s="1" t="inlineStr">
        <is>
          <t>Дата поверки</t>
        </is>
      </c>
      <c r="P1" s="1" t="inlineStr">
        <is>
          <t>Поверка до</t>
        </is>
      </c>
      <c r="Q1" s="1" t="inlineStr">
        <is>
          <t>Владелец СИ</t>
        </is>
      </c>
      <c r="R1" s="1" t="inlineStr">
        <is>
          <t>Сценарий теста</t>
        </is>
      </c>
    </row>
    <row r="2">
      <c r="A2" s="9" t="inlineStr">
        <is>
          <t>SI-0001</t>
        </is>
      </c>
      <c r="B2" s="9" t="inlineStr">
        <is>
          <t>Химико-аналитическая лаборатория</t>
        </is>
      </c>
      <c r="C2" s="9" t="inlineStr">
        <is>
          <t>СИ</t>
        </is>
      </c>
      <c r="D2" s="9" t="inlineStr">
        <is>
          <t>Влагомеры нефти поточные</t>
        </is>
      </c>
      <c r="E2" s="9" t="inlineStr">
        <is>
          <t>исп. УДВН-1пм</t>
        </is>
      </c>
      <c r="F2" s="9" t="inlineStr">
        <is>
          <t>2459</t>
        </is>
      </c>
      <c r="G2" s="9" t="n">
        <v>2022</v>
      </c>
      <c r="H2" s="9" t="inlineStr">
        <is>
          <t>В ремонте</t>
        </is>
      </c>
      <c r="I2" s="10">
        <f>IFERROR(INDEX(Ремонты!$T$2:$T$200,MATCH(A2,Ремонты!$A$2:$A$200,0)),H2)</f>
        <v/>
      </c>
      <c r="J2" s="10">
        <f>IF(COUNTIF(Ремонты!$A$2:$A$200,A2)&gt;0,"Да","Нет")</f>
        <v/>
      </c>
      <c r="K2" s="9" t="inlineStr">
        <is>
          <t>14557-15</t>
        </is>
      </c>
      <c r="L2" s="9" t="inlineStr">
        <is>
          <t>Влагомеры нефти поточные</t>
        </is>
      </c>
      <c r="M2" s="9" t="inlineStr">
        <is>
          <t>УДВН-1пм</t>
        </is>
      </c>
      <c r="N2" s="9" t="inlineStr">
        <is>
          <t>С-ББЮ/06-03-2026/509701256</t>
        </is>
      </c>
      <c r="O2" s="11" t="n">
        <v>46087</v>
      </c>
      <c r="P2" s="11" t="n">
        <v>46451</v>
      </c>
      <c r="Q2" s="9" t="inlineStr">
        <is>
          <t>АО «Транснефть - Приволга»</t>
        </is>
      </c>
      <c r="R2" s="9" t="inlineStr">
        <is>
          <t>Ремонт в срок</t>
        </is>
      </c>
    </row>
    <row r="3">
      <c r="A3" s="9" t="inlineStr">
        <is>
          <t>SI-0002</t>
        </is>
      </c>
      <c r="B3" s="9" t="inlineStr">
        <is>
          <t>Химико-аналитическая лаборатория</t>
        </is>
      </c>
      <c r="C3" s="9" t="inlineStr">
        <is>
          <t>СИ</t>
        </is>
      </c>
      <c r="D3" s="9" t="inlineStr">
        <is>
          <t>Влагомеры нефти поточные</t>
        </is>
      </c>
      <c r="E3" s="9" t="inlineStr">
        <is>
          <t>исп. УДВН-1пм</t>
        </is>
      </c>
      <c r="F3" s="9" t="inlineStr">
        <is>
          <t>2460</t>
        </is>
      </c>
      <c r="G3" s="9" t="n">
        <v>2022</v>
      </c>
      <c r="H3" s="9" t="inlineStr">
        <is>
          <t>В ремонте</t>
        </is>
      </c>
      <c r="I3" s="10">
        <f>IFERROR(INDEX(Ремонты!$T$2:$T$200,MATCH(A3,Ремонты!$A$2:$A$200,0)),H3)</f>
        <v/>
      </c>
      <c r="J3" s="10">
        <f>IF(COUNTIF(Ремонты!$A$2:$A$200,A3)&gt;0,"Да","Нет")</f>
        <v/>
      </c>
      <c r="K3" s="9" t="inlineStr">
        <is>
          <t>14557-15</t>
        </is>
      </c>
      <c r="L3" s="9" t="inlineStr">
        <is>
          <t>Влагомеры нефти поточные</t>
        </is>
      </c>
      <c r="M3" s="9" t="inlineStr">
        <is>
          <t>УДВН-1пм</t>
        </is>
      </c>
      <c r="N3" s="9" t="inlineStr">
        <is>
          <t>С-ББЮ/06-03-2026/509701256</t>
        </is>
      </c>
      <c r="O3" s="11" t="n">
        <v>46087</v>
      </c>
      <c r="P3" s="11" t="n">
        <v>46451</v>
      </c>
      <c r="Q3" s="9" t="inlineStr">
        <is>
          <t>АО «Транснефть - Приволга»</t>
        </is>
      </c>
      <c r="R3" s="9" t="inlineStr">
        <is>
          <t>Ожидание получения в Ленске</t>
        </is>
      </c>
    </row>
    <row r="4">
      <c r="A4" s="9" t="inlineStr">
        <is>
          <t>SI-0003</t>
        </is>
      </c>
      <c r="B4" s="9" t="inlineStr">
        <is>
          <t>Химико-аналитическая лаборатория</t>
        </is>
      </c>
      <c r="C4" s="9" t="inlineStr">
        <is>
          <t>СИ</t>
        </is>
      </c>
      <c r="D4" s="9" t="inlineStr">
        <is>
          <t>Влагомеры нефти поточные</t>
        </is>
      </c>
      <c r="E4" s="9" t="inlineStr">
        <is>
          <t>исп. УДВН-1пм</t>
        </is>
      </c>
      <c r="F4" s="9" t="inlineStr">
        <is>
          <t>2461</t>
        </is>
      </c>
      <c r="G4" s="9" t="n">
        <v>2022</v>
      </c>
      <c r="H4" s="9" t="inlineStr">
        <is>
          <t>В ремонте</t>
        </is>
      </c>
      <c r="I4" s="10">
        <f>IFERROR(INDEX(Ремонты!$T$2:$T$200,MATCH(A4,Ремонты!$A$2:$A$200,0)),H4)</f>
        <v/>
      </c>
      <c r="J4" s="10">
        <f>IF(COUNTIF(Ремонты!$A$2:$A$200,A4)&gt;0,"Да","Нет")</f>
        <v/>
      </c>
      <c r="K4" s="9" t="inlineStr">
        <is>
          <t>14557-15</t>
        </is>
      </c>
      <c r="L4" s="9" t="inlineStr">
        <is>
          <t>Влагомеры нефти поточные</t>
        </is>
      </c>
      <c r="M4" s="9" t="inlineStr">
        <is>
          <t>УДВН-1пм</t>
        </is>
      </c>
      <c r="N4" s="9" t="inlineStr">
        <is>
          <t>С-ББЮ/06-03-2026/509701256</t>
        </is>
      </c>
      <c r="O4" s="11" t="n">
        <v>46087</v>
      </c>
      <c r="P4" s="11" t="n">
        <v>46451</v>
      </c>
      <c r="Q4" s="9" t="inlineStr">
        <is>
          <t>АО «Транснефть - Приволга»</t>
        </is>
      </c>
      <c r="R4" s="9" t="inlineStr">
        <is>
          <t>Просрочен входной контроль</t>
        </is>
      </c>
    </row>
    <row r="5">
      <c r="A5" s="9" t="inlineStr">
        <is>
          <t>SI-0004</t>
        </is>
      </c>
      <c r="B5" s="9" t="inlineStr">
        <is>
          <t>Химико-аналитическая лаборатория</t>
        </is>
      </c>
      <c r="C5" s="9" t="inlineStr">
        <is>
          <t>СИ</t>
        </is>
      </c>
      <c r="D5" s="9" t="inlineStr">
        <is>
          <t>Влагомеры нефти поточные</t>
        </is>
      </c>
      <c r="E5" s="9" t="inlineStr">
        <is>
          <t>исп. УДВН-1пм</t>
        </is>
      </c>
      <c r="F5" s="9" t="inlineStr">
        <is>
          <t>2462</t>
        </is>
      </c>
      <c r="G5" s="9" t="n">
        <v>2022</v>
      </c>
      <c r="H5" s="9" t="inlineStr">
        <is>
          <t>В ремонте</t>
        </is>
      </c>
      <c r="I5" s="10">
        <f>IFERROR(INDEX(Ремонты!$T$2:$T$200,MATCH(A5,Ремонты!$A$2:$A$200,0)),H5)</f>
        <v/>
      </c>
      <c r="J5" s="10">
        <f>IF(COUNTIF(Ремонты!$A$2:$A$200,A5)&gt;0,"Да","Нет")</f>
        <v/>
      </c>
      <c r="K5" s="9" t="inlineStr">
        <is>
          <t>14557-15</t>
        </is>
      </c>
      <c r="L5" s="9" t="inlineStr">
        <is>
          <t>Влагомеры нефти поточные</t>
        </is>
      </c>
      <c r="M5" s="9" t="inlineStr">
        <is>
          <t>УДВН-1пм</t>
        </is>
      </c>
      <c r="N5" s="9" t="inlineStr">
        <is>
          <t>С-ББЮ/06-03-2026/509701256</t>
        </is>
      </c>
      <c r="O5" s="11" t="n">
        <v>46087</v>
      </c>
      <c r="P5" s="11" t="n">
        <v>46451</v>
      </c>
      <c r="Q5" s="9" t="inlineStr">
        <is>
          <t>АО «Транснефть - Приволга»</t>
        </is>
      </c>
      <c r="R5" s="9" t="inlineStr">
        <is>
          <t>Просрочена оплата</t>
        </is>
      </c>
    </row>
    <row r="6">
      <c r="A6" s="9" t="inlineStr">
        <is>
          <t>SI-0005</t>
        </is>
      </c>
      <c r="B6" s="9" t="inlineStr">
        <is>
          <t>Химико-аналитическая лаборатория</t>
        </is>
      </c>
      <c r="C6" s="9" t="inlineStr">
        <is>
          <t>СИ</t>
        </is>
      </c>
      <c r="D6" s="9" t="inlineStr">
        <is>
          <t>Влагомеры нефти поточные</t>
        </is>
      </c>
      <c r="E6" s="9" t="inlineStr">
        <is>
          <t>исп. УДВН-1пм</t>
        </is>
      </c>
      <c r="F6" s="9" t="inlineStr">
        <is>
          <t>2463</t>
        </is>
      </c>
      <c r="G6" s="9" t="n">
        <v>2022</v>
      </c>
      <c r="H6" s="9" t="inlineStr">
        <is>
          <t>В работе</t>
        </is>
      </c>
      <c r="I6" s="10">
        <f>IFERROR(INDEX(Ремонты!$T$2:$T$200,MATCH(A6,Ремонты!$A$2:$A$200,0)),H6)</f>
        <v/>
      </c>
      <c r="J6" s="10">
        <f>IF(COUNTIF(Ремонты!$A$2:$A$200,A6)&gt;0,"Да","Нет")</f>
        <v/>
      </c>
      <c r="K6" s="9" t="inlineStr">
        <is>
          <t>14557-15</t>
        </is>
      </c>
      <c r="L6" s="9" t="inlineStr">
        <is>
          <t>Влагомеры нефти поточные</t>
        </is>
      </c>
      <c r="M6" s="9" t="inlineStr">
        <is>
          <t>УДВН-1пм</t>
        </is>
      </c>
      <c r="N6" s="9" t="inlineStr">
        <is>
          <t>С-ББЮ/06-03-2026/509701256</t>
        </is>
      </c>
      <c r="O6" s="11" t="n">
        <v>46087</v>
      </c>
      <c r="P6" s="11" t="n">
        <v>46451</v>
      </c>
      <c r="Q6" s="9" t="inlineStr">
        <is>
          <t>АО «Транснефть - Приволга»</t>
        </is>
      </c>
      <c r="R6" s="9" t="inlineStr">
        <is>
          <t>Ремонт завершен</t>
        </is>
      </c>
    </row>
    <row r="7">
      <c r="A7" s="9" t="inlineStr">
        <is>
          <t>VO-0001</t>
        </is>
      </c>
      <c r="B7" s="9" t="inlineStr">
        <is>
          <t>Химико-аналитическая лаборатория</t>
        </is>
      </c>
      <c r="C7" s="9" t="inlineStr">
        <is>
          <t>ВО</t>
        </is>
      </c>
      <c r="D7" s="9" t="inlineStr">
        <is>
          <t>Электроплитка для лабораторного оборудования</t>
        </is>
      </c>
      <c r="E7" s="9" t="inlineStr">
        <is>
          <t>ЭПЛ-220</t>
        </is>
      </c>
      <c r="F7" s="9" t="inlineStr">
        <is>
          <t>VO7781</t>
        </is>
      </c>
      <c r="G7" s="9" t="n">
        <v>2024</v>
      </c>
      <c r="H7" s="9" t="inlineStr">
        <is>
          <t>В работе</t>
        </is>
      </c>
      <c r="I7" s="10">
        <f>IFERROR(INDEX(Ремонты!$T$2:$T$200,MATCH(A7,Ремонты!$A$2:$A$200,0)),H7)</f>
        <v/>
      </c>
      <c r="J7" s="10">
        <f>IF(COUNTIF(Ремонты!$A$2:$A$200,A7)&gt;0,"Да","Нет")</f>
        <v/>
      </c>
      <c r="K7" s="9" t="inlineStr"/>
      <c r="L7" s="9" t="inlineStr"/>
      <c r="M7" s="9" t="inlineStr"/>
      <c r="N7" s="9" t="inlineStr"/>
      <c r="O7" s="11" t="n"/>
      <c r="P7" s="11" t="n"/>
      <c r="Q7" s="9" t="inlineStr"/>
      <c r="R7" s="9" t="inlineStr">
        <is>
          <t>ВО — пример</t>
        </is>
      </c>
    </row>
    <row r="8">
      <c r="A8" s="9" t="inlineStr">
        <is>
          <t>IO-0001</t>
        </is>
      </c>
      <c r="B8" s="9" t="inlineStr">
        <is>
          <t>Химико-аналитическая лаборатория</t>
        </is>
      </c>
      <c r="C8" s="9" t="inlineStr">
        <is>
          <t>ИО</t>
        </is>
      </c>
      <c r="D8" s="9" t="inlineStr">
        <is>
          <t>Центрифуга лабораторная</t>
        </is>
      </c>
      <c r="E8" s="9" t="inlineStr">
        <is>
          <t>ЦЛ-80</t>
        </is>
      </c>
      <c r="F8" s="9" t="inlineStr">
        <is>
          <t>IO5532</t>
        </is>
      </c>
      <c r="G8" s="9" t="n">
        <v>2023</v>
      </c>
      <c r="H8" s="9" t="inlineStr">
        <is>
          <t>В ремонте</t>
        </is>
      </c>
      <c r="I8" s="10">
        <f>IFERROR(INDEX(Ремонты!$T$2:$T$200,MATCH(A8,Ремонты!$A$2:$A$200,0)),H8)</f>
        <v/>
      </c>
      <c r="J8" s="10">
        <f>IF(COUNTIF(Ремонты!$A$2:$A$200,A8)&gt;0,"Да","Нет")</f>
        <v/>
      </c>
      <c r="K8" s="9" t="inlineStr"/>
      <c r="L8" s="9" t="inlineStr"/>
      <c r="M8" s="9" t="inlineStr"/>
      <c r="N8" s="9" t="inlineStr"/>
      <c r="O8" s="11" t="n"/>
      <c r="P8" s="11" t="n"/>
      <c r="Q8" s="9" t="inlineStr"/>
      <c r="R8" s="9" t="inlineStr">
        <is>
          <t>ИО — пример</t>
        </is>
      </c>
    </row>
    <row r="9">
      <c r="A9" s="9" t="inlineStr">
        <is>
          <t>OT-0001</t>
        </is>
      </c>
      <c r="B9" s="9" t="inlineStr">
        <is>
          <t>Химико-аналитическая лаборатория</t>
        </is>
      </c>
      <c r="C9" s="9" t="inlineStr">
        <is>
          <t>Другое</t>
        </is>
      </c>
      <c r="D9" s="9" t="inlineStr">
        <is>
          <t>Блок питания</t>
        </is>
      </c>
      <c r="E9" s="9" t="inlineStr">
        <is>
          <t>BP-24/5</t>
        </is>
      </c>
      <c r="F9" s="9" t="inlineStr">
        <is>
          <t>OT2045</t>
        </is>
      </c>
      <c r="G9" s="9" t="n">
        <v>2025</v>
      </c>
      <c r="H9" s="9" t="inlineStr">
        <is>
          <t>В работе</t>
        </is>
      </c>
      <c r="I9" s="10">
        <f>IFERROR(INDEX(Ремонты!$T$2:$T$200,MATCH(A9,Ремонты!$A$2:$A$200,0)),H9)</f>
        <v/>
      </c>
      <c r="J9" s="10">
        <f>IF(COUNTIF(Ремонты!$A$2:$A$200,A9)&gt;0,"Да","Нет")</f>
        <v/>
      </c>
      <c r="K9" s="9" t="inlineStr"/>
      <c r="L9" s="9" t="inlineStr"/>
      <c r="M9" s="9" t="inlineStr"/>
      <c r="N9" s="9" t="inlineStr"/>
      <c r="O9" s="11" t="n"/>
      <c r="P9" s="11" t="n"/>
      <c r="Q9" s="9" t="inlineStr"/>
      <c r="R9" s="9" t="inlineStr">
        <is>
          <t>Другое — пример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>
        <f>IFERROR(INDEX(Ремонты!$T$2:$T$200,MATCH(A10,Ремонты!$A$2:$A$200,0)),H10)</f>
        <v/>
      </c>
      <c r="J10" s="10">
        <f>IF(COUNTIF(Ремонты!$A$2:$A$200,A10)&gt;0,"Да","Нет")</f>
        <v/>
      </c>
      <c r="K10" s="9" t="n"/>
      <c r="L10" s="9" t="n"/>
      <c r="M10" s="9" t="n"/>
      <c r="N10" s="9" t="n"/>
      <c r="O10" s="11" t="n"/>
      <c r="P10" s="11" t="n"/>
      <c r="Q10" s="9" t="n"/>
      <c r="R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>
        <f>IFERROR(INDEX(Ремонты!$T$2:$T$200,MATCH(A11,Ремонты!$A$2:$A$200,0)),H11)</f>
        <v/>
      </c>
      <c r="J11" s="10">
        <f>IF(COUNTIF(Ремонты!$A$2:$A$200,A11)&gt;0,"Да","Нет")</f>
        <v/>
      </c>
      <c r="K11" s="9" t="n"/>
      <c r="L11" s="9" t="n"/>
      <c r="M11" s="9" t="n"/>
      <c r="N11" s="9" t="n"/>
      <c r="O11" s="11" t="n"/>
      <c r="P11" s="11" t="n"/>
      <c r="Q11" s="9" t="n"/>
      <c r="R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IFERROR(INDEX(Ремонты!$T$2:$T$200,MATCH(A12,Ремонты!$A$2:$A$200,0)),H12)</f>
        <v/>
      </c>
      <c r="J12" s="10">
        <f>IF(COUNTIF(Ремонты!$A$2:$A$200,A12)&gt;0,"Да","Нет")</f>
        <v/>
      </c>
      <c r="K12" s="9" t="n"/>
      <c r="L12" s="9" t="n"/>
      <c r="M12" s="9" t="n"/>
      <c r="N12" s="9" t="n"/>
      <c r="O12" s="11" t="n"/>
      <c r="P12" s="11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IFERROR(INDEX(Ремонты!$T$2:$T$200,MATCH(A13,Ремонты!$A$2:$A$200,0)),H13)</f>
        <v/>
      </c>
      <c r="J13" s="10">
        <f>IF(COUNTIF(Ремонты!$A$2:$A$200,A13)&gt;0,"Да","Нет")</f>
        <v/>
      </c>
      <c r="K13" s="9" t="n"/>
      <c r="L13" s="9" t="n"/>
      <c r="M13" s="9" t="n"/>
      <c r="N13" s="9" t="n"/>
      <c r="O13" s="11" t="n"/>
      <c r="P13" s="11" t="n"/>
      <c r="Q13" s="9" t="n"/>
      <c r="R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IFERROR(INDEX(Ремонты!$T$2:$T$200,MATCH(A14,Ремонты!$A$2:$A$200,0)),H14)</f>
        <v/>
      </c>
      <c r="J14" s="10">
        <f>IF(COUNTIF(Ремонты!$A$2:$A$200,A14)&gt;0,"Да","Нет")</f>
        <v/>
      </c>
      <c r="K14" s="9" t="n"/>
      <c r="L14" s="9" t="n"/>
      <c r="M14" s="9" t="n"/>
      <c r="N14" s="9" t="n"/>
      <c r="O14" s="11" t="n"/>
      <c r="P14" s="11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IFERROR(INDEX(Ремонты!$T$2:$T$200,MATCH(A15,Ремонты!$A$2:$A$200,0)),H15)</f>
        <v/>
      </c>
      <c r="J15" s="10">
        <f>IF(COUNTIF(Ремонты!$A$2:$A$200,A15)&gt;0,"Да","Нет")</f>
        <v/>
      </c>
      <c r="K15" s="9" t="n"/>
      <c r="L15" s="9" t="n"/>
      <c r="M15" s="9" t="n"/>
      <c r="N15" s="9" t="n"/>
      <c r="O15" s="11" t="n"/>
      <c r="P15" s="11" t="n"/>
      <c r="Q15" s="9" t="n"/>
      <c r="R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IFERROR(INDEX(Ремонты!$T$2:$T$200,MATCH(A16,Ремонты!$A$2:$A$200,0)),H16)</f>
        <v/>
      </c>
      <c r="J16" s="10">
        <f>IF(COUNTIF(Ремонты!$A$2:$A$200,A16)&gt;0,"Да","Нет")</f>
        <v/>
      </c>
      <c r="K16" s="9" t="n"/>
      <c r="L16" s="9" t="n"/>
      <c r="M16" s="9" t="n"/>
      <c r="N16" s="9" t="n"/>
      <c r="O16" s="11" t="n"/>
      <c r="P16" s="11" t="n"/>
      <c r="Q16" s="9" t="n"/>
      <c r="R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IFERROR(INDEX(Ремонты!$T$2:$T$200,MATCH(A17,Ремонты!$A$2:$A$200,0)),H17)</f>
        <v/>
      </c>
      <c r="J17" s="10">
        <f>IF(COUNTIF(Ремонты!$A$2:$A$200,A17)&gt;0,"Да","Нет")</f>
        <v/>
      </c>
      <c r="K17" s="9" t="n"/>
      <c r="L17" s="9" t="n"/>
      <c r="M17" s="9" t="n"/>
      <c r="N17" s="9" t="n"/>
      <c r="O17" s="11" t="n"/>
      <c r="P17" s="11" t="n"/>
      <c r="Q17" s="9" t="n"/>
      <c r="R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IFERROR(INDEX(Ремонты!$T$2:$T$200,MATCH(A18,Ремонты!$A$2:$A$200,0)),H18)</f>
        <v/>
      </c>
      <c r="J18" s="10">
        <f>IF(COUNTIF(Ремонты!$A$2:$A$200,A18)&gt;0,"Да","Нет")</f>
        <v/>
      </c>
      <c r="K18" s="9" t="n"/>
      <c r="L18" s="9" t="n"/>
      <c r="M18" s="9" t="n"/>
      <c r="N18" s="9" t="n"/>
      <c r="O18" s="11" t="n"/>
      <c r="P18" s="11" t="n"/>
      <c r="Q18" s="9" t="n"/>
      <c r="R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IFERROR(INDEX(Ремонты!$T$2:$T$200,MATCH(A19,Ремонты!$A$2:$A$200,0)),H19)</f>
        <v/>
      </c>
      <c r="J19" s="10">
        <f>IF(COUNTIF(Ремонты!$A$2:$A$200,A19)&gt;0,"Да","Нет")</f>
        <v/>
      </c>
      <c r="K19" s="9" t="n"/>
      <c r="L19" s="9" t="n"/>
      <c r="M19" s="9" t="n"/>
      <c r="N19" s="9" t="n"/>
      <c r="O19" s="11" t="n"/>
      <c r="P19" s="11" t="n"/>
      <c r="Q19" s="9" t="n"/>
      <c r="R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IFERROR(INDEX(Ремонты!$T$2:$T$200,MATCH(A20,Ремонты!$A$2:$A$200,0)),H20)</f>
        <v/>
      </c>
      <c r="J20" s="10">
        <f>IF(COUNTIF(Ремонты!$A$2:$A$200,A20)&gt;0,"Да","Нет")</f>
        <v/>
      </c>
      <c r="K20" s="9" t="n"/>
      <c r="L20" s="9" t="n"/>
      <c r="M20" s="9" t="n"/>
      <c r="N20" s="9" t="n"/>
      <c r="O20" s="11" t="n"/>
      <c r="P20" s="11" t="n"/>
      <c r="Q20" s="9" t="n"/>
      <c r="R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IFERROR(INDEX(Ремонты!$T$2:$T$200,MATCH(A21,Ремонты!$A$2:$A$200,0)),H21)</f>
        <v/>
      </c>
      <c r="J21" s="10">
        <f>IF(COUNTIF(Ремонты!$A$2:$A$200,A21)&gt;0,"Да","Нет")</f>
        <v/>
      </c>
      <c r="K21" s="9" t="n"/>
      <c r="L21" s="9" t="n"/>
      <c r="M21" s="9" t="n"/>
      <c r="N21" s="9" t="n"/>
      <c r="O21" s="11" t="n"/>
      <c r="P21" s="11" t="n"/>
      <c r="Q21" s="9" t="n"/>
      <c r="R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IFERROR(INDEX(Ремонты!$T$2:$T$200,MATCH(A22,Ремонты!$A$2:$A$200,0)),H22)</f>
        <v/>
      </c>
      <c r="J22" s="10">
        <f>IF(COUNTIF(Ремонты!$A$2:$A$200,A22)&gt;0,"Да","Нет")</f>
        <v/>
      </c>
      <c r="K22" s="9" t="n"/>
      <c r="L22" s="9" t="n"/>
      <c r="M22" s="9" t="n"/>
      <c r="N22" s="9" t="n"/>
      <c r="O22" s="11" t="n"/>
      <c r="P22" s="11" t="n"/>
      <c r="Q22" s="9" t="n"/>
      <c r="R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IFERROR(INDEX(Ремонты!$T$2:$T$200,MATCH(A23,Ремонты!$A$2:$A$200,0)),H23)</f>
        <v/>
      </c>
      <c r="J23" s="10">
        <f>IF(COUNTIF(Ремонты!$A$2:$A$200,A23)&gt;0,"Да","Нет")</f>
        <v/>
      </c>
      <c r="K23" s="9" t="n"/>
      <c r="L23" s="9" t="n"/>
      <c r="M23" s="9" t="n"/>
      <c r="N23" s="9" t="n"/>
      <c r="O23" s="11" t="n"/>
      <c r="P23" s="11" t="n"/>
      <c r="Q23" s="9" t="n"/>
      <c r="R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IFERROR(INDEX(Ремонты!$T$2:$T$200,MATCH(A24,Ремонты!$A$2:$A$200,0)),H24)</f>
        <v/>
      </c>
      <c r="J24" s="10">
        <f>IF(COUNTIF(Ремонты!$A$2:$A$200,A24)&gt;0,"Да","Нет")</f>
        <v/>
      </c>
      <c r="K24" s="9" t="n"/>
      <c r="L24" s="9" t="n"/>
      <c r="M24" s="9" t="n"/>
      <c r="N24" s="9" t="n"/>
      <c r="O24" s="11" t="n"/>
      <c r="P24" s="11" t="n"/>
      <c r="Q24" s="9" t="n"/>
      <c r="R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>
        <f>IFERROR(INDEX(Ремонты!$T$2:$T$200,MATCH(A25,Ремонты!$A$2:$A$200,0)),H25)</f>
        <v/>
      </c>
      <c r="J25" s="10">
        <f>IF(COUNTIF(Ремонты!$A$2:$A$200,A25)&gt;0,"Да","Нет")</f>
        <v/>
      </c>
      <c r="K25" s="9" t="n"/>
      <c r="L25" s="9" t="n"/>
      <c r="M25" s="9" t="n"/>
      <c r="N25" s="9" t="n"/>
      <c r="O25" s="11" t="n"/>
      <c r="P25" s="11" t="n"/>
      <c r="Q25" s="9" t="n"/>
      <c r="R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>
        <f>IFERROR(INDEX(Ремонты!$T$2:$T$200,MATCH(A26,Ремонты!$A$2:$A$200,0)),H26)</f>
        <v/>
      </c>
      <c r="J26" s="10">
        <f>IF(COUNTIF(Ремонты!$A$2:$A$200,A26)&gt;0,"Да","Нет")</f>
        <v/>
      </c>
      <c r="K26" s="9" t="n"/>
      <c r="L26" s="9" t="n"/>
      <c r="M26" s="9" t="n"/>
      <c r="N26" s="9" t="n"/>
      <c r="O26" s="11" t="n"/>
      <c r="P26" s="11" t="n"/>
      <c r="Q26" s="9" t="n"/>
      <c r="R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>
        <f>IFERROR(INDEX(Ремонты!$T$2:$T$200,MATCH(A27,Ремонты!$A$2:$A$200,0)),H27)</f>
        <v/>
      </c>
      <c r="J27" s="10">
        <f>IF(COUNTIF(Ремонты!$A$2:$A$200,A27)&gt;0,"Да","Нет")</f>
        <v/>
      </c>
      <c r="K27" s="9" t="n"/>
      <c r="L27" s="9" t="n"/>
      <c r="M27" s="9" t="n"/>
      <c r="N27" s="9" t="n"/>
      <c r="O27" s="11" t="n"/>
      <c r="P27" s="11" t="n"/>
      <c r="Q27" s="9" t="n"/>
      <c r="R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>
        <f>IFERROR(INDEX(Ремонты!$T$2:$T$200,MATCH(A28,Ремонты!$A$2:$A$200,0)),H28)</f>
        <v/>
      </c>
      <c r="J28" s="10">
        <f>IF(COUNTIF(Ремонты!$A$2:$A$200,A28)&gt;0,"Да","Нет")</f>
        <v/>
      </c>
      <c r="K28" s="9" t="n"/>
      <c r="L28" s="9" t="n"/>
      <c r="M28" s="9" t="n"/>
      <c r="N28" s="9" t="n"/>
      <c r="O28" s="11" t="n"/>
      <c r="P28" s="11" t="n"/>
      <c r="Q28" s="9" t="n"/>
      <c r="R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>
        <f>IFERROR(INDEX(Ремонты!$T$2:$T$200,MATCH(A29,Ремонты!$A$2:$A$200,0)),H29)</f>
        <v/>
      </c>
      <c r="J29" s="10">
        <f>IF(COUNTIF(Ремонты!$A$2:$A$200,A29)&gt;0,"Да","Нет")</f>
        <v/>
      </c>
      <c r="K29" s="9" t="n"/>
      <c r="L29" s="9" t="n"/>
      <c r="M29" s="9" t="n"/>
      <c r="N29" s="9" t="n"/>
      <c r="O29" s="11" t="n"/>
      <c r="P29" s="11" t="n"/>
      <c r="Q29" s="9" t="n"/>
      <c r="R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>
        <f>IFERROR(INDEX(Ремонты!$T$2:$T$200,MATCH(A30,Ремонты!$A$2:$A$200,0)),H30)</f>
        <v/>
      </c>
      <c r="J30" s="10">
        <f>IF(COUNTIF(Ремонты!$A$2:$A$200,A30)&gt;0,"Да","Нет")</f>
        <v/>
      </c>
      <c r="K30" s="9" t="n"/>
      <c r="L30" s="9" t="n"/>
      <c r="M30" s="9" t="n"/>
      <c r="N30" s="9" t="n"/>
      <c r="O30" s="11" t="n"/>
      <c r="P30" s="11" t="n"/>
      <c r="Q30" s="9" t="n"/>
      <c r="R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>
        <f>IFERROR(INDEX(Ремонты!$T$2:$T$200,MATCH(A31,Ремонты!$A$2:$A$200,0)),H31)</f>
        <v/>
      </c>
      <c r="J31" s="10">
        <f>IF(COUNTIF(Ремонты!$A$2:$A$200,A31)&gt;0,"Да","Нет")</f>
        <v/>
      </c>
      <c r="K31" s="9" t="n"/>
      <c r="L31" s="9" t="n"/>
      <c r="M31" s="9" t="n"/>
      <c r="N31" s="9" t="n"/>
      <c r="O31" s="11" t="n"/>
      <c r="P31" s="11" t="n"/>
      <c r="Q31" s="9" t="n"/>
      <c r="R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>
        <f>IFERROR(INDEX(Ремонты!$T$2:$T$200,MATCH(A32,Ремонты!$A$2:$A$200,0)),H32)</f>
        <v/>
      </c>
      <c r="J32" s="10">
        <f>IF(COUNTIF(Ремонты!$A$2:$A$200,A32)&gt;0,"Да","Нет")</f>
        <v/>
      </c>
      <c r="K32" s="9" t="n"/>
      <c r="L32" s="9" t="n"/>
      <c r="M32" s="9" t="n"/>
      <c r="N32" s="9" t="n"/>
      <c r="O32" s="11" t="n"/>
      <c r="P32" s="11" t="n"/>
      <c r="Q32" s="9" t="n"/>
      <c r="R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>
        <f>IFERROR(INDEX(Ремонты!$T$2:$T$200,MATCH(A33,Ремонты!$A$2:$A$200,0)),H33)</f>
        <v/>
      </c>
      <c r="J33" s="10">
        <f>IF(COUNTIF(Ремонты!$A$2:$A$200,A33)&gt;0,"Да","Нет")</f>
        <v/>
      </c>
      <c r="K33" s="9" t="n"/>
      <c r="L33" s="9" t="n"/>
      <c r="M33" s="9" t="n"/>
      <c r="N33" s="9" t="n"/>
      <c r="O33" s="11" t="n"/>
      <c r="P33" s="11" t="n"/>
      <c r="Q33" s="9" t="n"/>
      <c r="R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>
        <f>IFERROR(INDEX(Ремонты!$T$2:$T$200,MATCH(A34,Ремонты!$A$2:$A$200,0)),H34)</f>
        <v/>
      </c>
      <c r="J34" s="10">
        <f>IF(COUNTIF(Ремонты!$A$2:$A$200,A34)&gt;0,"Да","Нет")</f>
        <v/>
      </c>
      <c r="K34" s="9" t="n"/>
      <c r="L34" s="9" t="n"/>
      <c r="M34" s="9" t="n"/>
      <c r="N34" s="9" t="n"/>
      <c r="O34" s="11" t="n"/>
      <c r="P34" s="11" t="n"/>
      <c r="Q34" s="9" t="n"/>
      <c r="R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>
        <f>IFERROR(INDEX(Ремонты!$T$2:$T$200,MATCH(A35,Ремонты!$A$2:$A$200,0)),H35)</f>
        <v/>
      </c>
      <c r="J35" s="10">
        <f>IF(COUNTIF(Ремонты!$A$2:$A$200,A35)&gt;0,"Да","Нет")</f>
        <v/>
      </c>
      <c r="K35" s="9" t="n"/>
      <c r="L35" s="9" t="n"/>
      <c r="M35" s="9" t="n"/>
      <c r="N35" s="9" t="n"/>
      <c r="O35" s="11" t="n"/>
      <c r="P35" s="11" t="n"/>
      <c r="Q35" s="9" t="n"/>
      <c r="R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>
        <f>IFERROR(INDEX(Ремонты!$T$2:$T$200,MATCH(A36,Ремонты!$A$2:$A$200,0)),H36)</f>
        <v/>
      </c>
      <c r="J36" s="10">
        <f>IF(COUNTIF(Ремонты!$A$2:$A$200,A36)&gt;0,"Да","Нет")</f>
        <v/>
      </c>
      <c r="K36" s="9" t="n"/>
      <c r="L36" s="9" t="n"/>
      <c r="M36" s="9" t="n"/>
      <c r="N36" s="9" t="n"/>
      <c r="O36" s="11" t="n"/>
      <c r="P36" s="11" t="n"/>
      <c r="Q36" s="9" t="n"/>
      <c r="R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>
        <f>IFERROR(INDEX(Ремонты!$T$2:$T$200,MATCH(A37,Ремонты!$A$2:$A$200,0)),H37)</f>
        <v/>
      </c>
      <c r="J37" s="10">
        <f>IF(COUNTIF(Ремонты!$A$2:$A$200,A37)&gt;0,"Да","Нет")</f>
        <v/>
      </c>
      <c r="K37" s="9" t="n"/>
      <c r="L37" s="9" t="n"/>
      <c r="M37" s="9" t="n"/>
      <c r="N37" s="9" t="n"/>
      <c r="O37" s="11" t="n"/>
      <c r="P37" s="11" t="n"/>
      <c r="Q37" s="9" t="n"/>
      <c r="R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>
        <f>IFERROR(INDEX(Ремонты!$T$2:$T$200,MATCH(A38,Ремонты!$A$2:$A$200,0)),H38)</f>
        <v/>
      </c>
      <c r="J38" s="10">
        <f>IF(COUNTIF(Ремонты!$A$2:$A$200,A38)&gt;0,"Да","Нет")</f>
        <v/>
      </c>
      <c r="K38" s="9" t="n"/>
      <c r="L38" s="9" t="n"/>
      <c r="M38" s="9" t="n"/>
      <c r="N38" s="9" t="n"/>
      <c r="O38" s="11" t="n"/>
      <c r="P38" s="11" t="n"/>
      <c r="Q38" s="9" t="n"/>
      <c r="R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>
        <f>IFERROR(INDEX(Ремонты!$T$2:$T$200,MATCH(A39,Ремонты!$A$2:$A$200,0)),H39)</f>
        <v/>
      </c>
      <c r="J39" s="10">
        <f>IF(COUNTIF(Ремонты!$A$2:$A$200,A39)&gt;0,"Да","Нет")</f>
        <v/>
      </c>
      <c r="K39" s="9" t="n"/>
      <c r="L39" s="9" t="n"/>
      <c r="M39" s="9" t="n"/>
      <c r="N39" s="9" t="n"/>
      <c r="O39" s="11" t="n"/>
      <c r="P39" s="11" t="n"/>
      <c r="Q39" s="9" t="n"/>
      <c r="R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>
        <f>IFERROR(INDEX(Ремонты!$T$2:$T$200,MATCH(A40,Ремонты!$A$2:$A$200,0)),H40)</f>
        <v/>
      </c>
      <c r="J40" s="10">
        <f>IF(COUNTIF(Ремонты!$A$2:$A$200,A40)&gt;0,"Да","Нет")</f>
        <v/>
      </c>
      <c r="K40" s="9" t="n"/>
      <c r="L40" s="9" t="n"/>
      <c r="M40" s="9" t="n"/>
      <c r="N40" s="9" t="n"/>
      <c r="O40" s="11" t="n"/>
      <c r="P40" s="11" t="n"/>
      <c r="Q40" s="9" t="n"/>
      <c r="R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>
        <f>IFERROR(INDEX(Ремонты!$T$2:$T$200,MATCH(A41,Ремонты!$A$2:$A$200,0)),H41)</f>
        <v/>
      </c>
      <c r="J41" s="10">
        <f>IF(COUNTIF(Ремонты!$A$2:$A$200,A41)&gt;0,"Да","Нет")</f>
        <v/>
      </c>
      <c r="K41" s="9" t="n"/>
      <c r="L41" s="9" t="n"/>
      <c r="M41" s="9" t="n"/>
      <c r="N41" s="9" t="n"/>
      <c r="O41" s="11" t="n"/>
      <c r="P41" s="11" t="n"/>
      <c r="Q41" s="9" t="n"/>
      <c r="R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10">
        <f>IFERROR(INDEX(Ремонты!$T$2:$T$200,MATCH(A42,Ремонты!$A$2:$A$200,0)),H42)</f>
        <v/>
      </c>
      <c r="J42" s="10">
        <f>IF(COUNTIF(Ремонты!$A$2:$A$200,A42)&gt;0,"Да","Нет")</f>
        <v/>
      </c>
      <c r="K42" s="9" t="n"/>
      <c r="L42" s="9" t="n"/>
      <c r="M42" s="9" t="n"/>
      <c r="N42" s="9" t="n"/>
      <c r="O42" s="11" t="n"/>
      <c r="P42" s="11" t="n"/>
      <c r="Q42" s="9" t="n"/>
      <c r="R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10">
        <f>IFERROR(INDEX(Ремонты!$T$2:$T$200,MATCH(A43,Ремонты!$A$2:$A$200,0)),H43)</f>
        <v/>
      </c>
      <c r="J43" s="10">
        <f>IF(COUNTIF(Ремонты!$A$2:$A$200,A43)&gt;0,"Да","Нет")</f>
        <v/>
      </c>
      <c r="K43" s="9" t="n"/>
      <c r="L43" s="9" t="n"/>
      <c r="M43" s="9" t="n"/>
      <c r="N43" s="9" t="n"/>
      <c r="O43" s="11" t="n"/>
      <c r="P43" s="11" t="n"/>
      <c r="Q43" s="9" t="n"/>
      <c r="R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10">
        <f>IFERROR(INDEX(Ремонты!$T$2:$T$200,MATCH(A44,Ремонты!$A$2:$A$200,0)),H44)</f>
        <v/>
      </c>
      <c r="J44" s="10">
        <f>IF(COUNTIF(Ремонты!$A$2:$A$200,A44)&gt;0,"Да","Нет")</f>
        <v/>
      </c>
      <c r="K44" s="9" t="n"/>
      <c r="L44" s="9" t="n"/>
      <c r="M44" s="9" t="n"/>
      <c r="N44" s="9" t="n"/>
      <c r="O44" s="11" t="n"/>
      <c r="P44" s="11" t="n"/>
      <c r="Q44" s="9" t="n"/>
      <c r="R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10">
        <f>IFERROR(INDEX(Ремонты!$T$2:$T$200,MATCH(A45,Ремонты!$A$2:$A$200,0)),H45)</f>
        <v/>
      </c>
      <c r="J45" s="10">
        <f>IF(COUNTIF(Ремонты!$A$2:$A$200,A45)&gt;0,"Да","Нет")</f>
        <v/>
      </c>
      <c r="K45" s="9" t="n"/>
      <c r="L45" s="9" t="n"/>
      <c r="M45" s="9" t="n"/>
      <c r="N45" s="9" t="n"/>
      <c r="O45" s="11" t="n"/>
      <c r="P45" s="11" t="n"/>
      <c r="Q45" s="9" t="n"/>
      <c r="R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10">
        <f>IFERROR(INDEX(Ремонты!$T$2:$T$200,MATCH(A46,Ремонты!$A$2:$A$200,0)),H46)</f>
        <v/>
      </c>
      <c r="J46" s="10">
        <f>IF(COUNTIF(Ремонты!$A$2:$A$200,A46)&gt;0,"Да","Нет")</f>
        <v/>
      </c>
      <c r="K46" s="9" t="n"/>
      <c r="L46" s="9" t="n"/>
      <c r="M46" s="9" t="n"/>
      <c r="N46" s="9" t="n"/>
      <c r="O46" s="11" t="n"/>
      <c r="P46" s="11" t="n"/>
      <c r="Q46" s="9" t="n"/>
      <c r="R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10">
        <f>IFERROR(INDEX(Ремонты!$T$2:$T$200,MATCH(A47,Ремонты!$A$2:$A$200,0)),H47)</f>
        <v/>
      </c>
      <c r="J47" s="10">
        <f>IF(COUNTIF(Ремонты!$A$2:$A$200,A47)&gt;0,"Да","Нет")</f>
        <v/>
      </c>
      <c r="K47" s="9" t="n"/>
      <c r="L47" s="9" t="n"/>
      <c r="M47" s="9" t="n"/>
      <c r="N47" s="9" t="n"/>
      <c r="O47" s="11" t="n"/>
      <c r="P47" s="11" t="n"/>
      <c r="Q47" s="9" t="n"/>
      <c r="R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10">
        <f>IFERROR(INDEX(Ремонты!$T$2:$T$200,MATCH(A48,Ремонты!$A$2:$A$200,0)),H48)</f>
        <v/>
      </c>
      <c r="J48" s="10">
        <f>IF(COUNTIF(Ремонты!$A$2:$A$200,A48)&gt;0,"Да","Нет")</f>
        <v/>
      </c>
      <c r="K48" s="9" t="n"/>
      <c r="L48" s="9" t="n"/>
      <c r="M48" s="9" t="n"/>
      <c r="N48" s="9" t="n"/>
      <c r="O48" s="11" t="n"/>
      <c r="P48" s="11" t="n"/>
      <c r="Q48" s="9" t="n"/>
      <c r="R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10">
        <f>IFERROR(INDEX(Ремонты!$T$2:$T$200,MATCH(A49,Ремонты!$A$2:$A$200,0)),H49)</f>
        <v/>
      </c>
      <c r="J49" s="10">
        <f>IF(COUNTIF(Ремонты!$A$2:$A$200,A49)&gt;0,"Да","Нет")</f>
        <v/>
      </c>
      <c r="K49" s="9" t="n"/>
      <c r="L49" s="9" t="n"/>
      <c r="M49" s="9" t="n"/>
      <c r="N49" s="9" t="n"/>
      <c r="O49" s="11" t="n"/>
      <c r="P49" s="11" t="n"/>
      <c r="Q49" s="9" t="n"/>
      <c r="R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10">
        <f>IFERROR(INDEX(Ремонты!$T$2:$T$200,MATCH(A50,Ремонты!$A$2:$A$200,0)),H50)</f>
        <v/>
      </c>
      <c r="J50" s="10">
        <f>IF(COUNTIF(Ремонты!$A$2:$A$200,A50)&gt;0,"Да","Нет")</f>
        <v/>
      </c>
      <c r="K50" s="9" t="n"/>
      <c r="L50" s="9" t="n"/>
      <c r="M50" s="9" t="n"/>
      <c r="N50" s="9" t="n"/>
      <c r="O50" s="11" t="n"/>
      <c r="P50" s="11" t="n"/>
      <c r="Q50" s="9" t="n"/>
      <c r="R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10">
        <f>IFERROR(INDEX(Ремонты!$T$2:$T$200,MATCH(A51,Ремонты!$A$2:$A$200,0)),H51)</f>
        <v/>
      </c>
      <c r="J51" s="10">
        <f>IF(COUNTIF(Ремонты!$A$2:$A$200,A51)&gt;0,"Да","Нет")</f>
        <v/>
      </c>
      <c r="K51" s="9" t="n"/>
      <c r="L51" s="9" t="n"/>
      <c r="M51" s="9" t="n"/>
      <c r="N51" s="9" t="n"/>
      <c r="O51" s="11" t="n"/>
      <c r="P51" s="11" t="n"/>
      <c r="Q51" s="9" t="n"/>
      <c r="R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10">
        <f>IFERROR(INDEX(Ремонты!$T$2:$T$200,MATCH(A52,Ремонты!$A$2:$A$200,0)),H52)</f>
        <v/>
      </c>
      <c r="J52" s="10">
        <f>IF(COUNTIF(Ремонты!$A$2:$A$200,A52)&gt;0,"Да","Нет")</f>
        <v/>
      </c>
      <c r="K52" s="9" t="n"/>
      <c r="L52" s="9" t="n"/>
      <c r="M52" s="9" t="n"/>
      <c r="N52" s="9" t="n"/>
      <c r="O52" s="11" t="n"/>
      <c r="P52" s="11" t="n"/>
      <c r="Q52" s="9" t="n"/>
      <c r="R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10">
        <f>IFERROR(INDEX(Ремонты!$T$2:$T$200,MATCH(A53,Ремонты!$A$2:$A$200,0)),H53)</f>
        <v/>
      </c>
      <c r="J53" s="10">
        <f>IF(COUNTIF(Ремонты!$A$2:$A$200,A53)&gt;0,"Да","Нет")</f>
        <v/>
      </c>
      <c r="K53" s="9" t="n"/>
      <c r="L53" s="9" t="n"/>
      <c r="M53" s="9" t="n"/>
      <c r="N53" s="9" t="n"/>
      <c r="O53" s="11" t="n"/>
      <c r="P53" s="11" t="n"/>
      <c r="Q53" s="9" t="n"/>
      <c r="R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10">
        <f>IFERROR(INDEX(Ремонты!$T$2:$T$200,MATCH(A54,Ремонты!$A$2:$A$200,0)),H54)</f>
        <v/>
      </c>
      <c r="J54" s="10">
        <f>IF(COUNTIF(Ремонты!$A$2:$A$200,A54)&gt;0,"Да","Нет")</f>
        <v/>
      </c>
      <c r="K54" s="9" t="n"/>
      <c r="L54" s="9" t="n"/>
      <c r="M54" s="9" t="n"/>
      <c r="N54" s="9" t="n"/>
      <c r="O54" s="11" t="n"/>
      <c r="P54" s="11" t="n"/>
      <c r="Q54" s="9" t="n"/>
      <c r="R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10">
        <f>IFERROR(INDEX(Ремонты!$T$2:$T$200,MATCH(A55,Ремонты!$A$2:$A$200,0)),H55)</f>
        <v/>
      </c>
      <c r="J55" s="10">
        <f>IF(COUNTIF(Ремонты!$A$2:$A$200,A55)&gt;0,"Да","Нет")</f>
        <v/>
      </c>
      <c r="K55" s="9" t="n"/>
      <c r="L55" s="9" t="n"/>
      <c r="M55" s="9" t="n"/>
      <c r="N55" s="9" t="n"/>
      <c r="O55" s="11" t="n"/>
      <c r="P55" s="11" t="n"/>
      <c r="Q55" s="9" t="n"/>
      <c r="R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10">
        <f>IFERROR(INDEX(Ремонты!$T$2:$T$200,MATCH(A56,Ремонты!$A$2:$A$200,0)),H56)</f>
        <v/>
      </c>
      <c r="J56" s="10">
        <f>IF(COUNTIF(Ремонты!$A$2:$A$200,A56)&gt;0,"Да","Нет")</f>
        <v/>
      </c>
      <c r="K56" s="9" t="n"/>
      <c r="L56" s="9" t="n"/>
      <c r="M56" s="9" t="n"/>
      <c r="N56" s="9" t="n"/>
      <c r="O56" s="11" t="n"/>
      <c r="P56" s="11" t="n"/>
      <c r="Q56" s="9" t="n"/>
      <c r="R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10">
        <f>IFERROR(INDEX(Ремонты!$T$2:$T$200,MATCH(A57,Ремонты!$A$2:$A$200,0)),H57)</f>
        <v/>
      </c>
      <c r="J57" s="10">
        <f>IF(COUNTIF(Ремонты!$A$2:$A$200,A57)&gt;0,"Да","Нет")</f>
        <v/>
      </c>
      <c r="K57" s="9" t="n"/>
      <c r="L57" s="9" t="n"/>
      <c r="M57" s="9" t="n"/>
      <c r="N57" s="9" t="n"/>
      <c r="O57" s="11" t="n"/>
      <c r="P57" s="11" t="n"/>
      <c r="Q57" s="9" t="n"/>
      <c r="R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10">
        <f>IFERROR(INDEX(Ремонты!$T$2:$T$200,MATCH(A58,Ремонты!$A$2:$A$200,0)),H58)</f>
        <v/>
      </c>
      <c r="J58" s="10">
        <f>IF(COUNTIF(Ремонты!$A$2:$A$200,A58)&gt;0,"Да","Нет")</f>
        <v/>
      </c>
      <c r="K58" s="9" t="n"/>
      <c r="L58" s="9" t="n"/>
      <c r="M58" s="9" t="n"/>
      <c r="N58" s="9" t="n"/>
      <c r="O58" s="11" t="n"/>
      <c r="P58" s="11" t="n"/>
      <c r="Q58" s="9" t="n"/>
      <c r="R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10">
        <f>IFERROR(INDEX(Ремонты!$T$2:$T$200,MATCH(A59,Ремонты!$A$2:$A$200,0)),H59)</f>
        <v/>
      </c>
      <c r="J59" s="10">
        <f>IF(COUNTIF(Ремонты!$A$2:$A$200,A59)&gt;0,"Да","Нет")</f>
        <v/>
      </c>
      <c r="K59" s="9" t="n"/>
      <c r="L59" s="9" t="n"/>
      <c r="M59" s="9" t="n"/>
      <c r="N59" s="9" t="n"/>
      <c r="O59" s="11" t="n"/>
      <c r="P59" s="11" t="n"/>
      <c r="Q59" s="9" t="n"/>
      <c r="R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10">
        <f>IFERROR(INDEX(Ремонты!$T$2:$T$200,MATCH(A60,Ремонты!$A$2:$A$200,0)),H60)</f>
        <v/>
      </c>
      <c r="J60" s="10">
        <f>IF(COUNTIF(Ремонты!$A$2:$A$200,A60)&gt;0,"Да","Нет")</f>
        <v/>
      </c>
      <c r="K60" s="9" t="n"/>
      <c r="L60" s="9" t="n"/>
      <c r="M60" s="9" t="n"/>
      <c r="N60" s="9" t="n"/>
      <c r="O60" s="11" t="n"/>
      <c r="P60" s="11" t="n"/>
      <c r="Q60" s="9" t="n"/>
      <c r="R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10">
        <f>IFERROR(INDEX(Ремонты!$T$2:$T$200,MATCH(A61,Ремонты!$A$2:$A$200,0)),H61)</f>
        <v/>
      </c>
      <c r="J61" s="10">
        <f>IF(COUNTIF(Ремонты!$A$2:$A$200,A61)&gt;0,"Да","Нет")</f>
        <v/>
      </c>
      <c r="K61" s="9" t="n"/>
      <c r="L61" s="9" t="n"/>
      <c r="M61" s="9" t="n"/>
      <c r="N61" s="9" t="n"/>
      <c r="O61" s="11" t="n"/>
      <c r="P61" s="11" t="n"/>
      <c r="Q61" s="9" t="n"/>
      <c r="R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10">
        <f>IFERROR(INDEX(Ремонты!$T$2:$T$200,MATCH(A62,Ремонты!$A$2:$A$200,0)),H62)</f>
        <v/>
      </c>
      <c r="J62" s="10">
        <f>IF(COUNTIF(Ремонты!$A$2:$A$200,A62)&gt;0,"Да","Нет")</f>
        <v/>
      </c>
      <c r="K62" s="9" t="n"/>
      <c r="L62" s="9" t="n"/>
      <c r="M62" s="9" t="n"/>
      <c r="N62" s="9" t="n"/>
      <c r="O62" s="11" t="n"/>
      <c r="P62" s="11" t="n"/>
      <c r="Q62" s="9" t="n"/>
      <c r="R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10">
        <f>IFERROR(INDEX(Ремонты!$T$2:$T$200,MATCH(A63,Ремонты!$A$2:$A$200,0)),H63)</f>
        <v/>
      </c>
      <c r="J63" s="10">
        <f>IF(COUNTIF(Ремонты!$A$2:$A$200,A63)&gt;0,"Да","Нет")</f>
        <v/>
      </c>
      <c r="K63" s="9" t="n"/>
      <c r="L63" s="9" t="n"/>
      <c r="M63" s="9" t="n"/>
      <c r="N63" s="9" t="n"/>
      <c r="O63" s="11" t="n"/>
      <c r="P63" s="11" t="n"/>
      <c r="Q63" s="9" t="n"/>
      <c r="R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10">
        <f>IFERROR(INDEX(Ремонты!$T$2:$T$200,MATCH(A64,Ремонты!$A$2:$A$200,0)),H64)</f>
        <v/>
      </c>
      <c r="J64" s="10">
        <f>IF(COUNTIF(Ремонты!$A$2:$A$200,A64)&gt;0,"Да","Нет")</f>
        <v/>
      </c>
      <c r="K64" s="9" t="n"/>
      <c r="L64" s="9" t="n"/>
      <c r="M64" s="9" t="n"/>
      <c r="N64" s="9" t="n"/>
      <c r="O64" s="11" t="n"/>
      <c r="P64" s="11" t="n"/>
      <c r="Q64" s="9" t="n"/>
      <c r="R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10">
        <f>IFERROR(INDEX(Ремонты!$T$2:$T$200,MATCH(A65,Ремонты!$A$2:$A$200,0)),H65)</f>
        <v/>
      </c>
      <c r="J65" s="10">
        <f>IF(COUNTIF(Ремонты!$A$2:$A$200,A65)&gt;0,"Да","Нет")</f>
        <v/>
      </c>
      <c r="K65" s="9" t="n"/>
      <c r="L65" s="9" t="n"/>
      <c r="M65" s="9" t="n"/>
      <c r="N65" s="9" t="n"/>
      <c r="O65" s="11" t="n"/>
      <c r="P65" s="11" t="n"/>
      <c r="Q65" s="9" t="n"/>
      <c r="R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10">
        <f>IFERROR(INDEX(Ремонты!$T$2:$T$200,MATCH(A66,Ремонты!$A$2:$A$200,0)),H66)</f>
        <v/>
      </c>
      <c r="J66" s="10">
        <f>IF(COUNTIF(Ремонты!$A$2:$A$200,A66)&gt;0,"Да","Нет")</f>
        <v/>
      </c>
      <c r="K66" s="9" t="n"/>
      <c r="L66" s="9" t="n"/>
      <c r="M66" s="9" t="n"/>
      <c r="N66" s="9" t="n"/>
      <c r="O66" s="11" t="n"/>
      <c r="P66" s="11" t="n"/>
      <c r="Q66" s="9" t="n"/>
      <c r="R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10">
        <f>IFERROR(INDEX(Ремонты!$T$2:$T$200,MATCH(A67,Ремонты!$A$2:$A$200,0)),H67)</f>
        <v/>
      </c>
      <c r="J67" s="10">
        <f>IF(COUNTIF(Ремонты!$A$2:$A$200,A67)&gt;0,"Да","Нет")</f>
        <v/>
      </c>
      <c r="K67" s="9" t="n"/>
      <c r="L67" s="9" t="n"/>
      <c r="M67" s="9" t="n"/>
      <c r="N67" s="9" t="n"/>
      <c r="O67" s="11" t="n"/>
      <c r="P67" s="11" t="n"/>
      <c r="Q67" s="9" t="n"/>
      <c r="R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10">
        <f>IFERROR(INDEX(Ремонты!$T$2:$T$200,MATCH(A68,Ремонты!$A$2:$A$200,0)),H68)</f>
        <v/>
      </c>
      <c r="J68" s="10">
        <f>IF(COUNTIF(Ремонты!$A$2:$A$200,A68)&gt;0,"Да","Нет")</f>
        <v/>
      </c>
      <c r="K68" s="9" t="n"/>
      <c r="L68" s="9" t="n"/>
      <c r="M68" s="9" t="n"/>
      <c r="N68" s="9" t="n"/>
      <c r="O68" s="11" t="n"/>
      <c r="P68" s="11" t="n"/>
      <c r="Q68" s="9" t="n"/>
      <c r="R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10">
        <f>IFERROR(INDEX(Ремонты!$T$2:$T$200,MATCH(A69,Ремонты!$A$2:$A$200,0)),H69)</f>
        <v/>
      </c>
      <c r="J69" s="10">
        <f>IF(COUNTIF(Ремонты!$A$2:$A$200,A69)&gt;0,"Да","Нет")</f>
        <v/>
      </c>
      <c r="K69" s="9" t="n"/>
      <c r="L69" s="9" t="n"/>
      <c r="M69" s="9" t="n"/>
      <c r="N69" s="9" t="n"/>
      <c r="O69" s="11" t="n"/>
      <c r="P69" s="11" t="n"/>
      <c r="Q69" s="9" t="n"/>
      <c r="R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10">
        <f>IFERROR(INDEX(Ремонты!$T$2:$T$200,MATCH(A70,Ремонты!$A$2:$A$200,0)),H70)</f>
        <v/>
      </c>
      <c r="J70" s="10">
        <f>IF(COUNTIF(Ремонты!$A$2:$A$200,A70)&gt;0,"Да","Нет")</f>
        <v/>
      </c>
      <c r="K70" s="9" t="n"/>
      <c r="L70" s="9" t="n"/>
      <c r="M70" s="9" t="n"/>
      <c r="N70" s="9" t="n"/>
      <c r="O70" s="11" t="n"/>
      <c r="P70" s="11" t="n"/>
      <c r="Q70" s="9" t="n"/>
      <c r="R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10">
        <f>IFERROR(INDEX(Ремонты!$T$2:$T$200,MATCH(A71,Ремонты!$A$2:$A$200,0)),H71)</f>
        <v/>
      </c>
      <c r="J71" s="10">
        <f>IF(COUNTIF(Ремонты!$A$2:$A$200,A71)&gt;0,"Да","Нет")</f>
        <v/>
      </c>
      <c r="K71" s="9" t="n"/>
      <c r="L71" s="9" t="n"/>
      <c r="M71" s="9" t="n"/>
      <c r="N71" s="9" t="n"/>
      <c r="O71" s="11" t="n"/>
      <c r="P71" s="11" t="n"/>
      <c r="Q71" s="9" t="n"/>
      <c r="R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10">
        <f>IFERROR(INDEX(Ремонты!$T$2:$T$200,MATCH(A72,Ремонты!$A$2:$A$200,0)),H72)</f>
        <v/>
      </c>
      <c r="J72" s="10">
        <f>IF(COUNTIF(Ремонты!$A$2:$A$200,A72)&gt;0,"Да","Нет")</f>
        <v/>
      </c>
      <c r="K72" s="9" t="n"/>
      <c r="L72" s="9" t="n"/>
      <c r="M72" s="9" t="n"/>
      <c r="N72" s="9" t="n"/>
      <c r="O72" s="11" t="n"/>
      <c r="P72" s="11" t="n"/>
      <c r="Q72" s="9" t="n"/>
      <c r="R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10">
        <f>IFERROR(INDEX(Ремонты!$T$2:$T$200,MATCH(A73,Ремонты!$A$2:$A$200,0)),H73)</f>
        <v/>
      </c>
      <c r="J73" s="10">
        <f>IF(COUNTIF(Ремонты!$A$2:$A$200,A73)&gt;0,"Да","Нет")</f>
        <v/>
      </c>
      <c r="K73" s="9" t="n"/>
      <c r="L73" s="9" t="n"/>
      <c r="M73" s="9" t="n"/>
      <c r="N73" s="9" t="n"/>
      <c r="O73" s="11" t="n"/>
      <c r="P73" s="11" t="n"/>
      <c r="Q73" s="9" t="n"/>
      <c r="R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10">
        <f>IFERROR(INDEX(Ремонты!$T$2:$T$200,MATCH(A74,Ремонты!$A$2:$A$200,0)),H74)</f>
        <v/>
      </c>
      <c r="J74" s="10">
        <f>IF(COUNTIF(Ремонты!$A$2:$A$200,A74)&gt;0,"Да","Нет")</f>
        <v/>
      </c>
      <c r="K74" s="9" t="n"/>
      <c r="L74" s="9" t="n"/>
      <c r="M74" s="9" t="n"/>
      <c r="N74" s="9" t="n"/>
      <c r="O74" s="11" t="n"/>
      <c r="P74" s="11" t="n"/>
      <c r="Q74" s="9" t="n"/>
      <c r="R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10">
        <f>IFERROR(INDEX(Ремонты!$T$2:$T$200,MATCH(A75,Ремонты!$A$2:$A$200,0)),H75)</f>
        <v/>
      </c>
      <c r="J75" s="10">
        <f>IF(COUNTIF(Ремонты!$A$2:$A$200,A75)&gt;0,"Да","Нет")</f>
        <v/>
      </c>
      <c r="K75" s="9" t="n"/>
      <c r="L75" s="9" t="n"/>
      <c r="M75" s="9" t="n"/>
      <c r="N75" s="9" t="n"/>
      <c r="O75" s="11" t="n"/>
      <c r="P75" s="11" t="n"/>
      <c r="Q75" s="9" t="n"/>
      <c r="R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10">
        <f>IFERROR(INDEX(Ремонты!$T$2:$T$200,MATCH(A76,Ремонты!$A$2:$A$200,0)),H76)</f>
        <v/>
      </c>
      <c r="J76" s="10">
        <f>IF(COUNTIF(Ремонты!$A$2:$A$200,A76)&gt;0,"Да","Нет")</f>
        <v/>
      </c>
      <c r="K76" s="9" t="n"/>
      <c r="L76" s="9" t="n"/>
      <c r="M76" s="9" t="n"/>
      <c r="N76" s="9" t="n"/>
      <c r="O76" s="11" t="n"/>
      <c r="P76" s="11" t="n"/>
      <c r="Q76" s="9" t="n"/>
      <c r="R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10">
        <f>IFERROR(INDEX(Ремонты!$T$2:$T$200,MATCH(A77,Ремонты!$A$2:$A$200,0)),H77)</f>
        <v/>
      </c>
      <c r="J77" s="10">
        <f>IF(COUNTIF(Ремонты!$A$2:$A$200,A77)&gt;0,"Да","Нет")</f>
        <v/>
      </c>
      <c r="K77" s="9" t="n"/>
      <c r="L77" s="9" t="n"/>
      <c r="M77" s="9" t="n"/>
      <c r="N77" s="9" t="n"/>
      <c r="O77" s="11" t="n"/>
      <c r="P77" s="11" t="n"/>
      <c r="Q77" s="9" t="n"/>
      <c r="R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10">
        <f>IFERROR(INDEX(Ремонты!$T$2:$T$200,MATCH(A78,Ремонты!$A$2:$A$200,0)),H78)</f>
        <v/>
      </c>
      <c r="J78" s="10">
        <f>IF(COUNTIF(Ремонты!$A$2:$A$200,A78)&gt;0,"Да","Нет")</f>
        <v/>
      </c>
      <c r="K78" s="9" t="n"/>
      <c r="L78" s="9" t="n"/>
      <c r="M78" s="9" t="n"/>
      <c r="N78" s="9" t="n"/>
      <c r="O78" s="11" t="n"/>
      <c r="P78" s="11" t="n"/>
      <c r="Q78" s="9" t="n"/>
      <c r="R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10">
        <f>IFERROR(INDEX(Ремонты!$T$2:$T$200,MATCH(A79,Ремонты!$A$2:$A$200,0)),H79)</f>
        <v/>
      </c>
      <c r="J79" s="10">
        <f>IF(COUNTIF(Ремонты!$A$2:$A$200,A79)&gt;0,"Да","Нет")</f>
        <v/>
      </c>
      <c r="K79" s="9" t="n"/>
      <c r="L79" s="9" t="n"/>
      <c r="M79" s="9" t="n"/>
      <c r="N79" s="9" t="n"/>
      <c r="O79" s="11" t="n"/>
      <c r="P79" s="11" t="n"/>
      <c r="Q79" s="9" t="n"/>
      <c r="R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10">
        <f>IFERROR(INDEX(Ремонты!$T$2:$T$200,MATCH(A80,Ремонты!$A$2:$A$200,0)),H80)</f>
        <v/>
      </c>
      <c r="J80" s="10">
        <f>IF(COUNTIF(Ремонты!$A$2:$A$200,A80)&gt;0,"Да","Нет")</f>
        <v/>
      </c>
      <c r="K80" s="9" t="n"/>
      <c r="L80" s="9" t="n"/>
      <c r="M80" s="9" t="n"/>
      <c r="N80" s="9" t="n"/>
      <c r="O80" s="11" t="n"/>
      <c r="P80" s="11" t="n"/>
      <c r="Q80" s="9" t="n"/>
      <c r="R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10">
        <f>IFERROR(INDEX(Ремонты!$T$2:$T$200,MATCH(A81,Ремонты!$A$2:$A$200,0)),H81)</f>
        <v/>
      </c>
      <c r="J81" s="10">
        <f>IF(COUNTIF(Ремонты!$A$2:$A$200,A81)&gt;0,"Да","Нет")</f>
        <v/>
      </c>
      <c r="K81" s="9" t="n"/>
      <c r="L81" s="9" t="n"/>
      <c r="M81" s="9" t="n"/>
      <c r="N81" s="9" t="n"/>
      <c r="O81" s="11" t="n"/>
      <c r="P81" s="11" t="n"/>
      <c r="Q81" s="9" t="n"/>
      <c r="R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10">
        <f>IFERROR(INDEX(Ремонты!$T$2:$T$200,MATCH(A82,Ремонты!$A$2:$A$200,0)),H82)</f>
        <v/>
      </c>
      <c r="J82" s="10">
        <f>IF(COUNTIF(Ремонты!$A$2:$A$200,A82)&gt;0,"Да","Нет")</f>
        <v/>
      </c>
      <c r="K82" s="9" t="n"/>
      <c r="L82" s="9" t="n"/>
      <c r="M82" s="9" t="n"/>
      <c r="N82" s="9" t="n"/>
      <c r="O82" s="11" t="n"/>
      <c r="P82" s="11" t="n"/>
      <c r="Q82" s="9" t="n"/>
      <c r="R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10">
        <f>IFERROR(INDEX(Ремонты!$T$2:$T$200,MATCH(A83,Ремонты!$A$2:$A$200,0)),H83)</f>
        <v/>
      </c>
      <c r="J83" s="10">
        <f>IF(COUNTIF(Ремонты!$A$2:$A$200,A83)&gt;0,"Да","Нет")</f>
        <v/>
      </c>
      <c r="K83" s="9" t="n"/>
      <c r="L83" s="9" t="n"/>
      <c r="M83" s="9" t="n"/>
      <c r="N83" s="9" t="n"/>
      <c r="O83" s="11" t="n"/>
      <c r="P83" s="11" t="n"/>
      <c r="Q83" s="9" t="n"/>
      <c r="R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10">
        <f>IFERROR(INDEX(Ремонты!$T$2:$T$200,MATCH(A84,Ремонты!$A$2:$A$200,0)),H84)</f>
        <v/>
      </c>
      <c r="J84" s="10">
        <f>IF(COUNTIF(Ремонты!$A$2:$A$200,A84)&gt;0,"Да","Нет")</f>
        <v/>
      </c>
      <c r="K84" s="9" t="n"/>
      <c r="L84" s="9" t="n"/>
      <c r="M84" s="9" t="n"/>
      <c r="N84" s="9" t="n"/>
      <c r="O84" s="11" t="n"/>
      <c r="P84" s="11" t="n"/>
      <c r="Q84" s="9" t="n"/>
      <c r="R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10">
        <f>IFERROR(INDEX(Ремонты!$T$2:$T$200,MATCH(A85,Ремонты!$A$2:$A$200,0)),H85)</f>
        <v/>
      </c>
      <c r="J85" s="10">
        <f>IF(COUNTIF(Ремонты!$A$2:$A$200,A85)&gt;0,"Да","Нет")</f>
        <v/>
      </c>
      <c r="K85" s="9" t="n"/>
      <c r="L85" s="9" t="n"/>
      <c r="M85" s="9" t="n"/>
      <c r="N85" s="9" t="n"/>
      <c r="O85" s="11" t="n"/>
      <c r="P85" s="11" t="n"/>
      <c r="Q85" s="9" t="n"/>
      <c r="R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10">
        <f>IFERROR(INDEX(Ремонты!$T$2:$T$200,MATCH(A86,Ремонты!$A$2:$A$200,0)),H86)</f>
        <v/>
      </c>
      <c r="J86" s="10">
        <f>IF(COUNTIF(Ремонты!$A$2:$A$200,A86)&gt;0,"Да","Нет")</f>
        <v/>
      </c>
      <c r="K86" s="9" t="n"/>
      <c r="L86" s="9" t="n"/>
      <c r="M86" s="9" t="n"/>
      <c r="N86" s="9" t="n"/>
      <c r="O86" s="11" t="n"/>
      <c r="P86" s="11" t="n"/>
      <c r="Q86" s="9" t="n"/>
      <c r="R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10">
        <f>IFERROR(INDEX(Ремонты!$T$2:$T$200,MATCH(A87,Ремонты!$A$2:$A$200,0)),H87)</f>
        <v/>
      </c>
      <c r="J87" s="10">
        <f>IF(COUNTIF(Ремонты!$A$2:$A$200,A87)&gt;0,"Да","Нет")</f>
        <v/>
      </c>
      <c r="K87" s="9" t="n"/>
      <c r="L87" s="9" t="n"/>
      <c r="M87" s="9" t="n"/>
      <c r="N87" s="9" t="n"/>
      <c r="O87" s="11" t="n"/>
      <c r="P87" s="11" t="n"/>
      <c r="Q87" s="9" t="n"/>
      <c r="R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10">
        <f>IFERROR(INDEX(Ремонты!$T$2:$T$200,MATCH(A88,Ремонты!$A$2:$A$200,0)),H88)</f>
        <v/>
      </c>
      <c r="J88" s="10">
        <f>IF(COUNTIF(Ремонты!$A$2:$A$200,A88)&gt;0,"Да","Нет")</f>
        <v/>
      </c>
      <c r="K88" s="9" t="n"/>
      <c r="L88" s="9" t="n"/>
      <c r="M88" s="9" t="n"/>
      <c r="N88" s="9" t="n"/>
      <c r="O88" s="11" t="n"/>
      <c r="P88" s="11" t="n"/>
      <c r="Q88" s="9" t="n"/>
      <c r="R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10">
        <f>IFERROR(INDEX(Ремонты!$T$2:$T$200,MATCH(A89,Ремонты!$A$2:$A$200,0)),H89)</f>
        <v/>
      </c>
      <c r="J89" s="10">
        <f>IF(COUNTIF(Ремонты!$A$2:$A$200,A89)&gt;0,"Да","Нет")</f>
        <v/>
      </c>
      <c r="K89" s="9" t="n"/>
      <c r="L89" s="9" t="n"/>
      <c r="M89" s="9" t="n"/>
      <c r="N89" s="9" t="n"/>
      <c r="O89" s="11" t="n"/>
      <c r="P89" s="11" t="n"/>
      <c r="Q89" s="9" t="n"/>
      <c r="R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10">
        <f>IFERROR(INDEX(Ремонты!$T$2:$T$200,MATCH(A90,Ремонты!$A$2:$A$200,0)),H90)</f>
        <v/>
      </c>
      <c r="J90" s="10">
        <f>IF(COUNTIF(Ремонты!$A$2:$A$200,A90)&gt;0,"Да","Нет")</f>
        <v/>
      </c>
      <c r="K90" s="9" t="n"/>
      <c r="L90" s="9" t="n"/>
      <c r="M90" s="9" t="n"/>
      <c r="N90" s="9" t="n"/>
      <c r="O90" s="11" t="n"/>
      <c r="P90" s="11" t="n"/>
      <c r="Q90" s="9" t="n"/>
      <c r="R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10">
        <f>IFERROR(INDEX(Ремонты!$T$2:$T$200,MATCH(A91,Ремонты!$A$2:$A$200,0)),H91)</f>
        <v/>
      </c>
      <c r="J91" s="10">
        <f>IF(COUNTIF(Ремонты!$A$2:$A$200,A91)&gt;0,"Да","Нет")</f>
        <v/>
      </c>
      <c r="K91" s="9" t="n"/>
      <c r="L91" s="9" t="n"/>
      <c r="M91" s="9" t="n"/>
      <c r="N91" s="9" t="n"/>
      <c r="O91" s="11" t="n"/>
      <c r="P91" s="11" t="n"/>
      <c r="Q91" s="9" t="n"/>
      <c r="R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10">
        <f>IFERROR(INDEX(Ремонты!$T$2:$T$200,MATCH(A92,Ремонты!$A$2:$A$200,0)),H92)</f>
        <v/>
      </c>
      <c r="J92" s="10">
        <f>IF(COUNTIF(Ремонты!$A$2:$A$200,A92)&gt;0,"Да","Нет")</f>
        <v/>
      </c>
      <c r="K92" s="9" t="n"/>
      <c r="L92" s="9" t="n"/>
      <c r="M92" s="9" t="n"/>
      <c r="N92" s="9" t="n"/>
      <c r="O92" s="11" t="n"/>
      <c r="P92" s="11" t="n"/>
      <c r="Q92" s="9" t="n"/>
      <c r="R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10">
        <f>IFERROR(INDEX(Ремонты!$T$2:$T$200,MATCH(A93,Ремонты!$A$2:$A$200,0)),H93)</f>
        <v/>
      </c>
      <c r="J93" s="10">
        <f>IF(COUNTIF(Ремонты!$A$2:$A$200,A93)&gt;0,"Да","Нет")</f>
        <v/>
      </c>
      <c r="K93" s="9" t="n"/>
      <c r="L93" s="9" t="n"/>
      <c r="M93" s="9" t="n"/>
      <c r="N93" s="9" t="n"/>
      <c r="O93" s="11" t="n"/>
      <c r="P93" s="11" t="n"/>
      <c r="Q93" s="9" t="n"/>
      <c r="R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10">
        <f>IFERROR(INDEX(Ремонты!$T$2:$T$200,MATCH(A94,Ремонты!$A$2:$A$200,0)),H94)</f>
        <v/>
      </c>
      <c r="J94" s="10">
        <f>IF(COUNTIF(Ремонты!$A$2:$A$200,A94)&gt;0,"Да","Нет")</f>
        <v/>
      </c>
      <c r="K94" s="9" t="n"/>
      <c r="L94" s="9" t="n"/>
      <c r="M94" s="9" t="n"/>
      <c r="N94" s="9" t="n"/>
      <c r="O94" s="11" t="n"/>
      <c r="P94" s="11" t="n"/>
      <c r="Q94" s="9" t="n"/>
      <c r="R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10">
        <f>IFERROR(INDEX(Ремонты!$T$2:$T$200,MATCH(A95,Ремонты!$A$2:$A$200,0)),H95)</f>
        <v/>
      </c>
      <c r="J95" s="10">
        <f>IF(COUNTIF(Ремонты!$A$2:$A$200,A95)&gt;0,"Да","Нет")</f>
        <v/>
      </c>
      <c r="K95" s="9" t="n"/>
      <c r="L95" s="9" t="n"/>
      <c r="M95" s="9" t="n"/>
      <c r="N95" s="9" t="n"/>
      <c r="O95" s="11" t="n"/>
      <c r="P95" s="11" t="n"/>
      <c r="Q95" s="9" t="n"/>
      <c r="R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10">
        <f>IFERROR(INDEX(Ремонты!$T$2:$T$200,MATCH(A96,Ремонты!$A$2:$A$200,0)),H96)</f>
        <v/>
      </c>
      <c r="J96" s="10">
        <f>IF(COUNTIF(Ремонты!$A$2:$A$200,A96)&gt;0,"Да","Нет")</f>
        <v/>
      </c>
      <c r="K96" s="9" t="n"/>
      <c r="L96" s="9" t="n"/>
      <c r="M96" s="9" t="n"/>
      <c r="N96" s="9" t="n"/>
      <c r="O96" s="11" t="n"/>
      <c r="P96" s="11" t="n"/>
      <c r="Q96" s="9" t="n"/>
      <c r="R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10">
        <f>IFERROR(INDEX(Ремонты!$T$2:$T$200,MATCH(A97,Ремонты!$A$2:$A$200,0)),H97)</f>
        <v/>
      </c>
      <c r="J97" s="10">
        <f>IF(COUNTIF(Ремонты!$A$2:$A$200,A97)&gt;0,"Да","Нет")</f>
        <v/>
      </c>
      <c r="K97" s="9" t="n"/>
      <c r="L97" s="9" t="n"/>
      <c r="M97" s="9" t="n"/>
      <c r="N97" s="9" t="n"/>
      <c r="O97" s="11" t="n"/>
      <c r="P97" s="11" t="n"/>
      <c r="Q97" s="9" t="n"/>
      <c r="R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10">
        <f>IFERROR(INDEX(Ремонты!$T$2:$T$200,MATCH(A98,Ремонты!$A$2:$A$200,0)),H98)</f>
        <v/>
      </c>
      <c r="J98" s="10">
        <f>IF(COUNTIF(Ремонты!$A$2:$A$200,A98)&gt;0,"Да","Нет")</f>
        <v/>
      </c>
      <c r="K98" s="9" t="n"/>
      <c r="L98" s="9" t="n"/>
      <c r="M98" s="9" t="n"/>
      <c r="N98" s="9" t="n"/>
      <c r="O98" s="11" t="n"/>
      <c r="P98" s="11" t="n"/>
      <c r="Q98" s="9" t="n"/>
      <c r="R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10">
        <f>IFERROR(INDEX(Ремонты!$T$2:$T$200,MATCH(A99,Ремонты!$A$2:$A$200,0)),H99)</f>
        <v/>
      </c>
      <c r="J99" s="10">
        <f>IF(COUNTIF(Ремонты!$A$2:$A$200,A99)&gt;0,"Да","Нет")</f>
        <v/>
      </c>
      <c r="K99" s="9" t="n"/>
      <c r="L99" s="9" t="n"/>
      <c r="M99" s="9" t="n"/>
      <c r="N99" s="9" t="n"/>
      <c r="O99" s="11" t="n"/>
      <c r="P99" s="11" t="n"/>
      <c r="Q99" s="9" t="n"/>
      <c r="R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10">
        <f>IFERROR(INDEX(Ремонты!$T$2:$T$200,MATCH(A100,Ремонты!$A$2:$A$200,0)),H100)</f>
        <v/>
      </c>
      <c r="J100" s="10">
        <f>IF(COUNTIF(Ремонты!$A$2:$A$200,A100)&gt;0,"Да","Нет")</f>
        <v/>
      </c>
      <c r="K100" s="9" t="n"/>
      <c r="L100" s="9" t="n"/>
      <c r="M100" s="9" t="n"/>
      <c r="N100" s="9" t="n"/>
      <c r="O100" s="11" t="n"/>
      <c r="P100" s="11" t="n"/>
      <c r="Q100" s="9" t="n"/>
      <c r="R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10">
        <f>IFERROR(INDEX(Ремонты!$T$2:$T$200,MATCH(A101,Ремонты!$A$2:$A$200,0)),H101)</f>
        <v/>
      </c>
      <c r="J101" s="10">
        <f>IF(COUNTIF(Ремонты!$A$2:$A$200,A101)&gt;0,"Да","Нет")</f>
        <v/>
      </c>
      <c r="K101" s="9" t="n"/>
      <c r="L101" s="9" t="n"/>
      <c r="M101" s="9" t="n"/>
      <c r="N101" s="9" t="n"/>
      <c r="O101" s="11" t="n"/>
      <c r="P101" s="11" t="n"/>
      <c r="Q101" s="9" t="n"/>
      <c r="R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10">
        <f>IFERROR(INDEX(Ремонты!$T$2:$T$200,MATCH(A102,Ремонты!$A$2:$A$200,0)),H102)</f>
        <v/>
      </c>
      <c r="J102" s="10">
        <f>IF(COUNTIF(Ремонты!$A$2:$A$200,A102)&gt;0,"Да","Нет")</f>
        <v/>
      </c>
      <c r="K102" s="9" t="n"/>
      <c r="L102" s="9" t="n"/>
      <c r="M102" s="9" t="n"/>
      <c r="N102" s="9" t="n"/>
      <c r="O102" s="11" t="n"/>
      <c r="P102" s="11" t="n"/>
      <c r="Q102" s="9" t="n"/>
      <c r="R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10">
        <f>IFERROR(INDEX(Ремонты!$T$2:$T$200,MATCH(A103,Ремонты!$A$2:$A$200,0)),H103)</f>
        <v/>
      </c>
      <c r="J103" s="10">
        <f>IF(COUNTIF(Ремонты!$A$2:$A$200,A103)&gt;0,"Да","Нет")</f>
        <v/>
      </c>
      <c r="K103" s="9" t="n"/>
      <c r="L103" s="9" t="n"/>
      <c r="M103" s="9" t="n"/>
      <c r="N103" s="9" t="n"/>
      <c r="O103" s="11" t="n"/>
      <c r="P103" s="11" t="n"/>
      <c r="Q103" s="9" t="n"/>
      <c r="R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10">
        <f>IFERROR(INDEX(Ремонты!$T$2:$T$200,MATCH(A104,Ремонты!$A$2:$A$200,0)),H104)</f>
        <v/>
      </c>
      <c r="J104" s="10">
        <f>IF(COUNTIF(Ремонты!$A$2:$A$200,A104)&gt;0,"Да","Нет")</f>
        <v/>
      </c>
      <c r="K104" s="9" t="n"/>
      <c r="L104" s="9" t="n"/>
      <c r="M104" s="9" t="n"/>
      <c r="N104" s="9" t="n"/>
      <c r="O104" s="11" t="n"/>
      <c r="P104" s="11" t="n"/>
      <c r="Q104" s="9" t="n"/>
      <c r="R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10">
        <f>IFERROR(INDEX(Ремонты!$T$2:$T$200,MATCH(A105,Ремонты!$A$2:$A$200,0)),H105)</f>
        <v/>
      </c>
      <c r="J105" s="10">
        <f>IF(COUNTIF(Ремонты!$A$2:$A$200,A105)&gt;0,"Да","Нет")</f>
        <v/>
      </c>
      <c r="K105" s="9" t="n"/>
      <c r="L105" s="9" t="n"/>
      <c r="M105" s="9" t="n"/>
      <c r="N105" s="9" t="n"/>
      <c r="O105" s="11" t="n"/>
      <c r="P105" s="11" t="n"/>
      <c r="Q105" s="9" t="n"/>
      <c r="R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10">
        <f>IFERROR(INDEX(Ремонты!$T$2:$T$200,MATCH(A106,Ремонты!$A$2:$A$200,0)),H106)</f>
        <v/>
      </c>
      <c r="J106" s="10">
        <f>IF(COUNTIF(Ремонты!$A$2:$A$200,A106)&gt;0,"Да","Нет")</f>
        <v/>
      </c>
      <c r="K106" s="9" t="n"/>
      <c r="L106" s="9" t="n"/>
      <c r="M106" s="9" t="n"/>
      <c r="N106" s="9" t="n"/>
      <c r="O106" s="11" t="n"/>
      <c r="P106" s="11" t="n"/>
      <c r="Q106" s="9" t="n"/>
      <c r="R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10">
        <f>IFERROR(INDEX(Ремонты!$T$2:$T$200,MATCH(A107,Ремонты!$A$2:$A$200,0)),H107)</f>
        <v/>
      </c>
      <c r="J107" s="10">
        <f>IF(COUNTIF(Ремонты!$A$2:$A$200,A107)&gt;0,"Да","Нет")</f>
        <v/>
      </c>
      <c r="K107" s="9" t="n"/>
      <c r="L107" s="9" t="n"/>
      <c r="M107" s="9" t="n"/>
      <c r="N107" s="9" t="n"/>
      <c r="O107" s="11" t="n"/>
      <c r="P107" s="11" t="n"/>
      <c r="Q107" s="9" t="n"/>
      <c r="R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10">
        <f>IFERROR(INDEX(Ремонты!$T$2:$T$200,MATCH(A108,Ремонты!$A$2:$A$200,0)),H108)</f>
        <v/>
      </c>
      <c r="J108" s="10">
        <f>IF(COUNTIF(Ремонты!$A$2:$A$200,A108)&gt;0,"Да","Нет")</f>
        <v/>
      </c>
      <c r="K108" s="9" t="n"/>
      <c r="L108" s="9" t="n"/>
      <c r="M108" s="9" t="n"/>
      <c r="N108" s="9" t="n"/>
      <c r="O108" s="11" t="n"/>
      <c r="P108" s="11" t="n"/>
      <c r="Q108" s="9" t="n"/>
      <c r="R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10">
        <f>IFERROR(INDEX(Ремонты!$T$2:$T$200,MATCH(A109,Ремонты!$A$2:$A$200,0)),H109)</f>
        <v/>
      </c>
      <c r="J109" s="10">
        <f>IF(COUNTIF(Ремонты!$A$2:$A$200,A109)&gt;0,"Да","Нет")</f>
        <v/>
      </c>
      <c r="K109" s="9" t="n"/>
      <c r="L109" s="9" t="n"/>
      <c r="M109" s="9" t="n"/>
      <c r="N109" s="9" t="n"/>
      <c r="O109" s="11" t="n"/>
      <c r="P109" s="11" t="n"/>
      <c r="Q109" s="9" t="n"/>
      <c r="R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10">
        <f>IFERROR(INDEX(Ремонты!$T$2:$T$200,MATCH(A110,Ремонты!$A$2:$A$200,0)),H110)</f>
        <v/>
      </c>
      <c r="J110" s="10">
        <f>IF(COUNTIF(Ремонты!$A$2:$A$200,A110)&gt;0,"Да","Нет")</f>
        <v/>
      </c>
      <c r="K110" s="9" t="n"/>
      <c r="L110" s="9" t="n"/>
      <c r="M110" s="9" t="n"/>
      <c r="N110" s="9" t="n"/>
      <c r="O110" s="11" t="n"/>
      <c r="P110" s="11" t="n"/>
      <c r="Q110" s="9" t="n"/>
      <c r="R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10">
        <f>IFERROR(INDEX(Ремонты!$T$2:$T$200,MATCH(A111,Ремонты!$A$2:$A$200,0)),H111)</f>
        <v/>
      </c>
      <c r="J111" s="10">
        <f>IF(COUNTIF(Ремонты!$A$2:$A$200,A111)&gt;0,"Да","Нет")</f>
        <v/>
      </c>
      <c r="K111" s="9" t="n"/>
      <c r="L111" s="9" t="n"/>
      <c r="M111" s="9" t="n"/>
      <c r="N111" s="9" t="n"/>
      <c r="O111" s="11" t="n"/>
      <c r="P111" s="11" t="n"/>
      <c r="Q111" s="9" t="n"/>
      <c r="R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10">
        <f>IFERROR(INDEX(Ремонты!$T$2:$T$200,MATCH(A112,Ремонты!$A$2:$A$200,0)),H112)</f>
        <v/>
      </c>
      <c r="J112" s="10">
        <f>IF(COUNTIF(Ремонты!$A$2:$A$200,A112)&gt;0,"Да","Нет")</f>
        <v/>
      </c>
      <c r="K112" s="9" t="n"/>
      <c r="L112" s="9" t="n"/>
      <c r="M112" s="9" t="n"/>
      <c r="N112" s="9" t="n"/>
      <c r="O112" s="11" t="n"/>
      <c r="P112" s="11" t="n"/>
      <c r="Q112" s="9" t="n"/>
      <c r="R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10">
        <f>IFERROR(INDEX(Ремонты!$T$2:$T$200,MATCH(A113,Ремонты!$A$2:$A$200,0)),H113)</f>
        <v/>
      </c>
      <c r="J113" s="10">
        <f>IF(COUNTIF(Ремонты!$A$2:$A$200,A113)&gt;0,"Да","Нет")</f>
        <v/>
      </c>
      <c r="K113" s="9" t="n"/>
      <c r="L113" s="9" t="n"/>
      <c r="M113" s="9" t="n"/>
      <c r="N113" s="9" t="n"/>
      <c r="O113" s="11" t="n"/>
      <c r="P113" s="11" t="n"/>
      <c r="Q113" s="9" t="n"/>
      <c r="R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10">
        <f>IFERROR(INDEX(Ремонты!$T$2:$T$200,MATCH(A114,Ремонты!$A$2:$A$200,0)),H114)</f>
        <v/>
      </c>
      <c r="J114" s="10">
        <f>IF(COUNTIF(Ремонты!$A$2:$A$200,A114)&gt;0,"Да","Нет")</f>
        <v/>
      </c>
      <c r="K114" s="9" t="n"/>
      <c r="L114" s="9" t="n"/>
      <c r="M114" s="9" t="n"/>
      <c r="N114" s="9" t="n"/>
      <c r="O114" s="11" t="n"/>
      <c r="P114" s="11" t="n"/>
      <c r="Q114" s="9" t="n"/>
      <c r="R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10">
        <f>IFERROR(INDEX(Ремонты!$T$2:$T$200,MATCH(A115,Ремонты!$A$2:$A$200,0)),H115)</f>
        <v/>
      </c>
      <c r="J115" s="10">
        <f>IF(COUNTIF(Ремонты!$A$2:$A$200,A115)&gt;0,"Да","Нет")</f>
        <v/>
      </c>
      <c r="K115" s="9" t="n"/>
      <c r="L115" s="9" t="n"/>
      <c r="M115" s="9" t="n"/>
      <c r="N115" s="9" t="n"/>
      <c r="O115" s="11" t="n"/>
      <c r="P115" s="11" t="n"/>
      <c r="Q115" s="9" t="n"/>
      <c r="R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10">
        <f>IFERROR(INDEX(Ремонты!$T$2:$T$200,MATCH(A116,Ремонты!$A$2:$A$200,0)),H116)</f>
        <v/>
      </c>
      <c r="J116" s="10">
        <f>IF(COUNTIF(Ремонты!$A$2:$A$200,A116)&gt;0,"Да","Нет")</f>
        <v/>
      </c>
      <c r="K116" s="9" t="n"/>
      <c r="L116" s="9" t="n"/>
      <c r="M116" s="9" t="n"/>
      <c r="N116" s="9" t="n"/>
      <c r="O116" s="11" t="n"/>
      <c r="P116" s="11" t="n"/>
      <c r="Q116" s="9" t="n"/>
      <c r="R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10">
        <f>IFERROR(INDEX(Ремонты!$T$2:$T$200,MATCH(A117,Ремонты!$A$2:$A$200,0)),H117)</f>
        <v/>
      </c>
      <c r="J117" s="10">
        <f>IF(COUNTIF(Ремонты!$A$2:$A$200,A117)&gt;0,"Да","Нет")</f>
        <v/>
      </c>
      <c r="K117" s="9" t="n"/>
      <c r="L117" s="9" t="n"/>
      <c r="M117" s="9" t="n"/>
      <c r="N117" s="9" t="n"/>
      <c r="O117" s="11" t="n"/>
      <c r="P117" s="11" t="n"/>
      <c r="Q117" s="9" t="n"/>
      <c r="R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10">
        <f>IFERROR(INDEX(Ремонты!$T$2:$T$200,MATCH(A118,Ремонты!$A$2:$A$200,0)),H118)</f>
        <v/>
      </c>
      <c r="J118" s="10">
        <f>IF(COUNTIF(Ремонты!$A$2:$A$200,A118)&gt;0,"Да","Нет")</f>
        <v/>
      </c>
      <c r="K118" s="9" t="n"/>
      <c r="L118" s="9" t="n"/>
      <c r="M118" s="9" t="n"/>
      <c r="N118" s="9" t="n"/>
      <c r="O118" s="11" t="n"/>
      <c r="P118" s="11" t="n"/>
      <c r="Q118" s="9" t="n"/>
      <c r="R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10">
        <f>IFERROR(INDEX(Ремонты!$T$2:$T$200,MATCH(A119,Ремонты!$A$2:$A$200,0)),H119)</f>
        <v/>
      </c>
      <c r="J119" s="10">
        <f>IF(COUNTIF(Ремонты!$A$2:$A$200,A119)&gt;0,"Да","Нет")</f>
        <v/>
      </c>
      <c r="K119" s="9" t="n"/>
      <c r="L119" s="9" t="n"/>
      <c r="M119" s="9" t="n"/>
      <c r="N119" s="9" t="n"/>
      <c r="O119" s="11" t="n"/>
      <c r="P119" s="11" t="n"/>
      <c r="Q119" s="9" t="n"/>
      <c r="R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10">
        <f>IFERROR(INDEX(Ремонты!$T$2:$T$200,MATCH(A120,Ремонты!$A$2:$A$200,0)),H120)</f>
        <v/>
      </c>
      <c r="J120" s="10">
        <f>IF(COUNTIF(Ремонты!$A$2:$A$200,A120)&gt;0,"Да","Нет")</f>
        <v/>
      </c>
      <c r="K120" s="9" t="n"/>
      <c r="L120" s="9" t="n"/>
      <c r="M120" s="9" t="n"/>
      <c r="N120" s="9" t="n"/>
      <c r="O120" s="11" t="n"/>
      <c r="P120" s="11" t="n"/>
      <c r="Q120" s="9" t="n"/>
      <c r="R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10">
        <f>IFERROR(INDEX(Ремонты!$T$2:$T$200,MATCH(A121,Ремонты!$A$2:$A$200,0)),H121)</f>
        <v/>
      </c>
      <c r="J121" s="10">
        <f>IF(COUNTIF(Ремонты!$A$2:$A$200,A121)&gt;0,"Да","Нет")</f>
        <v/>
      </c>
      <c r="K121" s="9" t="n"/>
      <c r="L121" s="9" t="n"/>
      <c r="M121" s="9" t="n"/>
      <c r="N121" s="9" t="n"/>
      <c r="O121" s="11" t="n"/>
      <c r="P121" s="11" t="n"/>
      <c r="Q121" s="9" t="n"/>
      <c r="R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10">
        <f>IFERROR(INDEX(Ремонты!$T$2:$T$200,MATCH(A122,Ремонты!$A$2:$A$200,0)),H122)</f>
        <v/>
      </c>
      <c r="J122" s="10">
        <f>IF(COUNTIF(Ремонты!$A$2:$A$200,A122)&gt;0,"Да","Нет")</f>
        <v/>
      </c>
      <c r="K122" s="9" t="n"/>
      <c r="L122" s="9" t="n"/>
      <c r="M122" s="9" t="n"/>
      <c r="N122" s="9" t="n"/>
      <c r="O122" s="11" t="n"/>
      <c r="P122" s="11" t="n"/>
      <c r="Q122" s="9" t="n"/>
      <c r="R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10">
        <f>IFERROR(INDEX(Ремонты!$T$2:$T$200,MATCH(A123,Ремонты!$A$2:$A$200,0)),H123)</f>
        <v/>
      </c>
      <c r="J123" s="10">
        <f>IF(COUNTIF(Ремонты!$A$2:$A$200,A123)&gt;0,"Да","Нет")</f>
        <v/>
      </c>
      <c r="K123" s="9" t="n"/>
      <c r="L123" s="9" t="n"/>
      <c r="M123" s="9" t="n"/>
      <c r="N123" s="9" t="n"/>
      <c r="O123" s="11" t="n"/>
      <c r="P123" s="11" t="n"/>
      <c r="Q123" s="9" t="n"/>
      <c r="R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10">
        <f>IFERROR(INDEX(Ремонты!$T$2:$T$200,MATCH(A124,Ремонты!$A$2:$A$200,0)),H124)</f>
        <v/>
      </c>
      <c r="J124" s="10">
        <f>IF(COUNTIF(Ремонты!$A$2:$A$200,A124)&gt;0,"Да","Нет")</f>
        <v/>
      </c>
      <c r="K124" s="9" t="n"/>
      <c r="L124" s="9" t="n"/>
      <c r="M124" s="9" t="n"/>
      <c r="N124" s="9" t="n"/>
      <c r="O124" s="11" t="n"/>
      <c r="P124" s="11" t="n"/>
      <c r="Q124" s="9" t="n"/>
      <c r="R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10">
        <f>IFERROR(INDEX(Ремонты!$T$2:$T$200,MATCH(A125,Ремонты!$A$2:$A$200,0)),H125)</f>
        <v/>
      </c>
      <c r="J125" s="10">
        <f>IF(COUNTIF(Ремонты!$A$2:$A$200,A125)&gt;0,"Да","Нет")</f>
        <v/>
      </c>
      <c r="K125" s="9" t="n"/>
      <c r="L125" s="9" t="n"/>
      <c r="M125" s="9" t="n"/>
      <c r="N125" s="9" t="n"/>
      <c r="O125" s="11" t="n"/>
      <c r="P125" s="11" t="n"/>
      <c r="Q125" s="9" t="n"/>
      <c r="R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10">
        <f>IFERROR(INDEX(Ремонты!$T$2:$T$200,MATCH(A126,Ремонты!$A$2:$A$200,0)),H126)</f>
        <v/>
      </c>
      <c r="J126" s="10">
        <f>IF(COUNTIF(Ремонты!$A$2:$A$200,A126)&gt;0,"Да","Нет")</f>
        <v/>
      </c>
      <c r="K126" s="9" t="n"/>
      <c r="L126" s="9" t="n"/>
      <c r="M126" s="9" t="n"/>
      <c r="N126" s="9" t="n"/>
      <c r="O126" s="11" t="n"/>
      <c r="P126" s="11" t="n"/>
      <c r="Q126" s="9" t="n"/>
      <c r="R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10">
        <f>IFERROR(INDEX(Ремонты!$T$2:$T$200,MATCH(A127,Ремонты!$A$2:$A$200,0)),H127)</f>
        <v/>
      </c>
      <c r="J127" s="10">
        <f>IF(COUNTIF(Ремонты!$A$2:$A$200,A127)&gt;0,"Да","Нет")</f>
        <v/>
      </c>
      <c r="K127" s="9" t="n"/>
      <c r="L127" s="9" t="n"/>
      <c r="M127" s="9" t="n"/>
      <c r="N127" s="9" t="n"/>
      <c r="O127" s="11" t="n"/>
      <c r="P127" s="11" t="n"/>
      <c r="Q127" s="9" t="n"/>
      <c r="R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10">
        <f>IFERROR(INDEX(Ремонты!$T$2:$T$200,MATCH(A128,Ремонты!$A$2:$A$200,0)),H128)</f>
        <v/>
      </c>
      <c r="J128" s="10">
        <f>IF(COUNTIF(Ремонты!$A$2:$A$200,A128)&gt;0,"Да","Нет")</f>
        <v/>
      </c>
      <c r="K128" s="9" t="n"/>
      <c r="L128" s="9" t="n"/>
      <c r="M128" s="9" t="n"/>
      <c r="N128" s="9" t="n"/>
      <c r="O128" s="11" t="n"/>
      <c r="P128" s="11" t="n"/>
      <c r="Q128" s="9" t="n"/>
      <c r="R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10">
        <f>IFERROR(INDEX(Ремонты!$T$2:$T$200,MATCH(A129,Ремонты!$A$2:$A$200,0)),H129)</f>
        <v/>
      </c>
      <c r="J129" s="10">
        <f>IF(COUNTIF(Ремонты!$A$2:$A$200,A129)&gt;0,"Да","Нет")</f>
        <v/>
      </c>
      <c r="K129" s="9" t="n"/>
      <c r="L129" s="9" t="n"/>
      <c r="M129" s="9" t="n"/>
      <c r="N129" s="9" t="n"/>
      <c r="O129" s="11" t="n"/>
      <c r="P129" s="11" t="n"/>
      <c r="Q129" s="9" t="n"/>
      <c r="R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10">
        <f>IFERROR(INDEX(Ремонты!$T$2:$T$200,MATCH(A130,Ремонты!$A$2:$A$200,0)),H130)</f>
        <v/>
      </c>
      <c r="J130" s="10">
        <f>IF(COUNTIF(Ремонты!$A$2:$A$200,A130)&gt;0,"Да","Нет")</f>
        <v/>
      </c>
      <c r="K130" s="9" t="n"/>
      <c r="L130" s="9" t="n"/>
      <c r="M130" s="9" t="n"/>
      <c r="N130" s="9" t="n"/>
      <c r="O130" s="11" t="n"/>
      <c r="P130" s="11" t="n"/>
      <c r="Q130" s="9" t="n"/>
      <c r="R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10">
        <f>IFERROR(INDEX(Ремонты!$T$2:$T$200,MATCH(A131,Ремонты!$A$2:$A$200,0)),H131)</f>
        <v/>
      </c>
      <c r="J131" s="10">
        <f>IF(COUNTIF(Ремонты!$A$2:$A$200,A131)&gt;0,"Да","Нет")</f>
        <v/>
      </c>
      <c r="K131" s="9" t="n"/>
      <c r="L131" s="9" t="n"/>
      <c r="M131" s="9" t="n"/>
      <c r="N131" s="9" t="n"/>
      <c r="O131" s="11" t="n"/>
      <c r="P131" s="11" t="n"/>
      <c r="Q131" s="9" t="n"/>
      <c r="R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10">
        <f>IFERROR(INDEX(Ремонты!$T$2:$T$200,MATCH(A132,Ремонты!$A$2:$A$200,0)),H132)</f>
        <v/>
      </c>
      <c r="J132" s="10">
        <f>IF(COUNTIF(Ремонты!$A$2:$A$200,A132)&gt;0,"Да","Нет")</f>
        <v/>
      </c>
      <c r="K132" s="9" t="n"/>
      <c r="L132" s="9" t="n"/>
      <c r="M132" s="9" t="n"/>
      <c r="N132" s="9" t="n"/>
      <c r="O132" s="11" t="n"/>
      <c r="P132" s="11" t="n"/>
      <c r="Q132" s="9" t="n"/>
      <c r="R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10">
        <f>IFERROR(INDEX(Ремонты!$T$2:$T$200,MATCH(A133,Ремонты!$A$2:$A$200,0)),H133)</f>
        <v/>
      </c>
      <c r="J133" s="10">
        <f>IF(COUNTIF(Ремонты!$A$2:$A$200,A133)&gt;0,"Да","Нет")</f>
        <v/>
      </c>
      <c r="K133" s="9" t="n"/>
      <c r="L133" s="9" t="n"/>
      <c r="M133" s="9" t="n"/>
      <c r="N133" s="9" t="n"/>
      <c r="O133" s="11" t="n"/>
      <c r="P133" s="11" t="n"/>
      <c r="Q133" s="9" t="n"/>
      <c r="R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10">
        <f>IFERROR(INDEX(Ремонты!$T$2:$T$200,MATCH(A134,Ремонты!$A$2:$A$200,0)),H134)</f>
        <v/>
      </c>
      <c r="J134" s="10">
        <f>IF(COUNTIF(Ремонты!$A$2:$A$200,A134)&gt;0,"Да","Нет")</f>
        <v/>
      </c>
      <c r="K134" s="9" t="n"/>
      <c r="L134" s="9" t="n"/>
      <c r="M134" s="9" t="n"/>
      <c r="N134" s="9" t="n"/>
      <c r="O134" s="11" t="n"/>
      <c r="P134" s="11" t="n"/>
      <c r="Q134" s="9" t="n"/>
      <c r="R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10">
        <f>IFERROR(INDEX(Ремонты!$T$2:$T$200,MATCH(A135,Ремонты!$A$2:$A$200,0)),H135)</f>
        <v/>
      </c>
      <c r="J135" s="10">
        <f>IF(COUNTIF(Ремонты!$A$2:$A$200,A135)&gt;0,"Да","Нет")</f>
        <v/>
      </c>
      <c r="K135" s="9" t="n"/>
      <c r="L135" s="9" t="n"/>
      <c r="M135" s="9" t="n"/>
      <c r="N135" s="9" t="n"/>
      <c r="O135" s="11" t="n"/>
      <c r="P135" s="11" t="n"/>
      <c r="Q135" s="9" t="n"/>
      <c r="R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10">
        <f>IFERROR(INDEX(Ремонты!$T$2:$T$200,MATCH(A136,Ремонты!$A$2:$A$200,0)),H136)</f>
        <v/>
      </c>
      <c r="J136" s="10">
        <f>IF(COUNTIF(Ремонты!$A$2:$A$200,A136)&gt;0,"Да","Нет")</f>
        <v/>
      </c>
      <c r="K136" s="9" t="n"/>
      <c r="L136" s="9" t="n"/>
      <c r="M136" s="9" t="n"/>
      <c r="N136" s="9" t="n"/>
      <c r="O136" s="11" t="n"/>
      <c r="P136" s="11" t="n"/>
      <c r="Q136" s="9" t="n"/>
      <c r="R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10">
        <f>IFERROR(INDEX(Ремонты!$T$2:$T$200,MATCH(A137,Ремонты!$A$2:$A$200,0)),H137)</f>
        <v/>
      </c>
      <c r="J137" s="10">
        <f>IF(COUNTIF(Ремонты!$A$2:$A$200,A137)&gt;0,"Да","Нет")</f>
        <v/>
      </c>
      <c r="K137" s="9" t="n"/>
      <c r="L137" s="9" t="n"/>
      <c r="M137" s="9" t="n"/>
      <c r="N137" s="9" t="n"/>
      <c r="O137" s="11" t="n"/>
      <c r="P137" s="11" t="n"/>
      <c r="Q137" s="9" t="n"/>
      <c r="R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10">
        <f>IFERROR(INDEX(Ремонты!$T$2:$T$200,MATCH(A138,Ремонты!$A$2:$A$200,0)),H138)</f>
        <v/>
      </c>
      <c r="J138" s="10">
        <f>IF(COUNTIF(Ремонты!$A$2:$A$200,A138)&gt;0,"Да","Нет")</f>
        <v/>
      </c>
      <c r="K138" s="9" t="n"/>
      <c r="L138" s="9" t="n"/>
      <c r="M138" s="9" t="n"/>
      <c r="N138" s="9" t="n"/>
      <c r="O138" s="11" t="n"/>
      <c r="P138" s="11" t="n"/>
      <c r="Q138" s="9" t="n"/>
      <c r="R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10">
        <f>IFERROR(INDEX(Ремонты!$T$2:$T$200,MATCH(A139,Ремонты!$A$2:$A$200,0)),H139)</f>
        <v/>
      </c>
      <c r="J139" s="10">
        <f>IF(COUNTIF(Ремонты!$A$2:$A$200,A139)&gt;0,"Да","Нет")</f>
        <v/>
      </c>
      <c r="K139" s="9" t="n"/>
      <c r="L139" s="9" t="n"/>
      <c r="M139" s="9" t="n"/>
      <c r="N139" s="9" t="n"/>
      <c r="O139" s="11" t="n"/>
      <c r="P139" s="11" t="n"/>
      <c r="Q139" s="9" t="n"/>
      <c r="R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10">
        <f>IFERROR(INDEX(Ремонты!$T$2:$T$200,MATCH(A140,Ремонты!$A$2:$A$200,0)),H140)</f>
        <v/>
      </c>
      <c r="J140" s="10">
        <f>IF(COUNTIF(Ремонты!$A$2:$A$200,A140)&gt;0,"Да","Нет")</f>
        <v/>
      </c>
      <c r="K140" s="9" t="n"/>
      <c r="L140" s="9" t="n"/>
      <c r="M140" s="9" t="n"/>
      <c r="N140" s="9" t="n"/>
      <c r="O140" s="11" t="n"/>
      <c r="P140" s="11" t="n"/>
      <c r="Q140" s="9" t="n"/>
      <c r="R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10">
        <f>IFERROR(INDEX(Ремонты!$T$2:$T$200,MATCH(A141,Ремонты!$A$2:$A$200,0)),H141)</f>
        <v/>
      </c>
      <c r="J141" s="10">
        <f>IF(COUNTIF(Ремонты!$A$2:$A$200,A141)&gt;0,"Да","Нет")</f>
        <v/>
      </c>
      <c r="K141" s="9" t="n"/>
      <c r="L141" s="9" t="n"/>
      <c r="M141" s="9" t="n"/>
      <c r="N141" s="9" t="n"/>
      <c r="O141" s="11" t="n"/>
      <c r="P141" s="11" t="n"/>
      <c r="Q141" s="9" t="n"/>
      <c r="R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10">
        <f>IFERROR(INDEX(Ремонты!$T$2:$T$200,MATCH(A142,Ремонты!$A$2:$A$200,0)),H142)</f>
        <v/>
      </c>
      <c r="J142" s="10">
        <f>IF(COUNTIF(Ремонты!$A$2:$A$200,A142)&gt;0,"Да","Нет")</f>
        <v/>
      </c>
      <c r="K142" s="9" t="n"/>
      <c r="L142" s="9" t="n"/>
      <c r="M142" s="9" t="n"/>
      <c r="N142" s="9" t="n"/>
      <c r="O142" s="11" t="n"/>
      <c r="P142" s="11" t="n"/>
      <c r="Q142" s="9" t="n"/>
      <c r="R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10">
        <f>IFERROR(INDEX(Ремонты!$T$2:$T$200,MATCH(A143,Ремонты!$A$2:$A$200,0)),H143)</f>
        <v/>
      </c>
      <c r="J143" s="10">
        <f>IF(COUNTIF(Ремонты!$A$2:$A$200,A143)&gt;0,"Да","Нет")</f>
        <v/>
      </c>
      <c r="K143" s="9" t="n"/>
      <c r="L143" s="9" t="n"/>
      <c r="M143" s="9" t="n"/>
      <c r="N143" s="9" t="n"/>
      <c r="O143" s="11" t="n"/>
      <c r="P143" s="11" t="n"/>
      <c r="Q143" s="9" t="n"/>
      <c r="R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10">
        <f>IFERROR(INDEX(Ремонты!$T$2:$T$200,MATCH(A144,Ремонты!$A$2:$A$200,0)),H144)</f>
        <v/>
      </c>
      <c r="J144" s="10">
        <f>IF(COUNTIF(Ремонты!$A$2:$A$200,A144)&gt;0,"Да","Нет")</f>
        <v/>
      </c>
      <c r="K144" s="9" t="n"/>
      <c r="L144" s="9" t="n"/>
      <c r="M144" s="9" t="n"/>
      <c r="N144" s="9" t="n"/>
      <c r="O144" s="11" t="n"/>
      <c r="P144" s="11" t="n"/>
      <c r="Q144" s="9" t="n"/>
      <c r="R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10">
        <f>IFERROR(INDEX(Ремонты!$T$2:$T$200,MATCH(A145,Ремонты!$A$2:$A$200,0)),H145)</f>
        <v/>
      </c>
      <c r="J145" s="10">
        <f>IF(COUNTIF(Ремонты!$A$2:$A$200,A145)&gt;0,"Да","Нет")</f>
        <v/>
      </c>
      <c r="K145" s="9" t="n"/>
      <c r="L145" s="9" t="n"/>
      <c r="M145" s="9" t="n"/>
      <c r="N145" s="9" t="n"/>
      <c r="O145" s="11" t="n"/>
      <c r="P145" s="11" t="n"/>
      <c r="Q145" s="9" t="n"/>
      <c r="R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10">
        <f>IFERROR(INDEX(Ремонты!$T$2:$T$200,MATCH(A146,Ремонты!$A$2:$A$200,0)),H146)</f>
        <v/>
      </c>
      <c r="J146" s="10">
        <f>IF(COUNTIF(Ремонты!$A$2:$A$200,A146)&gt;0,"Да","Нет")</f>
        <v/>
      </c>
      <c r="K146" s="9" t="n"/>
      <c r="L146" s="9" t="n"/>
      <c r="M146" s="9" t="n"/>
      <c r="N146" s="9" t="n"/>
      <c r="O146" s="11" t="n"/>
      <c r="P146" s="11" t="n"/>
      <c r="Q146" s="9" t="n"/>
      <c r="R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10">
        <f>IFERROR(INDEX(Ремонты!$T$2:$T$200,MATCH(A147,Ремонты!$A$2:$A$200,0)),H147)</f>
        <v/>
      </c>
      <c r="J147" s="10">
        <f>IF(COUNTIF(Ремонты!$A$2:$A$200,A147)&gt;0,"Да","Нет")</f>
        <v/>
      </c>
      <c r="K147" s="9" t="n"/>
      <c r="L147" s="9" t="n"/>
      <c r="M147" s="9" t="n"/>
      <c r="N147" s="9" t="n"/>
      <c r="O147" s="11" t="n"/>
      <c r="P147" s="11" t="n"/>
      <c r="Q147" s="9" t="n"/>
      <c r="R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10">
        <f>IFERROR(INDEX(Ремонты!$T$2:$T$200,MATCH(A148,Ремонты!$A$2:$A$200,0)),H148)</f>
        <v/>
      </c>
      <c r="J148" s="10">
        <f>IF(COUNTIF(Ремонты!$A$2:$A$200,A148)&gt;0,"Да","Нет")</f>
        <v/>
      </c>
      <c r="K148" s="9" t="n"/>
      <c r="L148" s="9" t="n"/>
      <c r="M148" s="9" t="n"/>
      <c r="N148" s="9" t="n"/>
      <c r="O148" s="11" t="n"/>
      <c r="P148" s="11" t="n"/>
      <c r="Q148" s="9" t="n"/>
      <c r="R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10">
        <f>IFERROR(INDEX(Ремонты!$T$2:$T$200,MATCH(A149,Ремонты!$A$2:$A$200,0)),H149)</f>
        <v/>
      </c>
      <c r="J149" s="10">
        <f>IF(COUNTIF(Ремонты!$A$2:$A$200,A149)&gt;0,"Да","Нет")</f>
        <v/>
      </c>
      <c r="K149" s="9" t="n"/>
      <c r="L149" s="9" t="n"/>
      <c r="M149" s="9" t="n"/>
      <c r="N149" s="9" t="n"/>
      <c r="O149" s="11" t="n"/>
      <c r="P149" s="11" t="n"/>
      <c r="Q149" s="9" t="n"/>
      <c r="R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10">
        <f>IFERROR(INDEX(Ремонты!$T$2:$T$200,MATCH(A150,Ремонты!$A$2:$A$200,0)),H150)</f>
        <v/>
      </c>
      <c r="J150" s="10">
        <f>IF(COUNTIF(Ремонты!$A$2:$A$200,A150)&gt;0,"Да","Нет")</f>
        <v/>
      </c>
      <c r="K150" s="9" t="n"/>
      <c r="L150" s="9" t="n"/>
      <c r="M150" s="9" t="n"/>
      <c r="N150" s="9" t="n"/>
      <c r="O150" s="11" t="n"/>
      <c r="P150" s="11" t="n"/>
      <c r="Q150" s="9" t="n"/>
      <c r="R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10">
        <f>IFERROR(INDEX(Ремонты!$T$2:$T$200,MATCH(A151,Ремонты!$A$2:$A$200,0)),H151)</f>
        <v/>
      </c>
      <c r="J151" s="10">
        <f>IF(COUNTIF(Ремонты!$A$2:$A$200,A151)&gt;0,"Да","Нет")</f>
        <v/>
      </c>
      <c r="K151" s="9" t="n"/>
      <c r="L151" s="9" t="n"/>
      <c r="M151" s="9" t="n"/>
      <c r="N151" s="9" t="n"/>
      <c r="O151" s="11" t="n"/>
      <c r="P151" s="11" t="n"/>
      <c r="Q151" s="9" t="n"/>
      <c r="R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10">
        <f>IFERROR(INDEX(Ремонты!$T$2:$T$200,MATCH(A152,Ремонты!$A$2:$A$200,0)),H152)</f>
        <v/>
      </c>
      <c r="J152" s="10">
        <f>IF(COUNTIF(Ремонты!$A$2:$A$200,A152)&gt;0,"Да","Нет")</f>
        <v/>
      </c>
      <c r="K152" s="9" t="n"/>
      <c r="L152" s="9" t="n"/>
      <c r="M152" s="9" t="n"/>
      <c r="N152" s="9" t="n"/>
      <c r="O152" s="11" t="n"/>
      <c r="P152" s="11" t="n"/>
      <c r="Q152" s="9" t="n"/>
      <c r="R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10">
        <f>IFERROR(INDEX(Ремонты!$T$2:$T$200,MATCH(A153,Ремонты!$A$2:$A$200,0)),H153)</f>
        <v/>
      </c>
      <c r="J153" s="10">
        <f>IF(COUNTIF(Ремонты!$A$2:$A$200,A153)&gt;0,"Да","Нет")</f>
        <v/>
      </c>
      <c r="K153" s="9" t="n"/>
      <c r="L153" s="9" t="n"/>
      <c r="M153" s="9" t="n"/>
      <c r="N153" s="9" t="n"/>
      <c r="O153" s="11" t="n"/>
      <c r="P153" s="11" t="n"/>
      <c r="Q153" s="9" t="n"/>
      <c r="R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10">
        <f>IFERROR(INDEX(Ремонты!$T$2:$T$200,MATCH(A154,Ремонты!$A$2:$A$200,0)),H154)</f>
        <v/>
      </c>
      <c r="J154" s="10">
        <f>IF(COUNTIF(Ремонты!$A$2:$A$200,A154)&gt;0,"Да","Нет")</f>
        <v/>
      </c>
      <c r="K154" s="9" t="n"/>
      <c r="L154" s="9" t="n"/>
      <c r="M154" s="9" t="n"/>
      <c r="N154" s="9" t="n"/>
      <c r="O154" s="11" t="n"/>
      <c r="P154" s="11" t="n"/>
      <c r="Q154" s="9" t="n"/>
      <c r="R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10">
        <f>IFERROR(INDEX(Ремонты!$T$2:$T$200,MATCH(A155,Ремонты!$A$2:$A$200,0)),H155)</f>
        <v/>
      </c>
      <c r="J155" s="10">
        <f>IF(COUNTIF(Ремонты!$A$2:$A$200,A155)&gt;0,"Да","Нет")</f>
        <v/>
      </c>
      <c r="K155" s="9" t="n"/>
      <c r="L155" s="9" t="n"/>
      <c r="M155" s="9" t="n"/>
      <c r="N155" s="9" t="n"/>
      <c r="O155" s="11" t="n"/>
      <c r="P155" s="11" t="n"/>
      <c r="Q155" s="9" t="n"/>
      <c r="R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10">
        <f>IFERROR(INDEX(Ремонты!$T$2:$T$200,MATCH(A156,Ремонты!$A$2:$A$200,0)),H156)</f>
        <v/>
      </c>
      <c r="J156" s="10">
        <f>IF(COUNTIF(Ремонты!$A$2:$A$200,A156)&gt;0,"Да","Нет")</f>
        <v/>
      </c>
      <c r="K156" s="9" t="n"/>
      <c r="L156" s="9" t="n"/>
      <c r="M156" s="9" t="n"/>
      <c r="N156" s="9" t="n"/>
      <c r="O156" s="11" t="n"/>
      <c r="P156" s="11" t="n"/>
      <c r="Q156" s="9" t="n"/>
      <c r="R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10">
        <f>IFERROR(INDEX(Ремонты!$T$2:$T$200,MATCH(A157,Ремонты!$A$2:$A$200,0)),H157)</f>
        <v/>
      </c>
      <c r="J157" s="10">
        <f>IF(COUNTIF(Ремонты!$A$2:$A$200,A157)&gt;0,"Да","Нет")</f>
        <v/>
      </c>
      <c r="K157" s="9" t="n"/>
      <c r="L157" s="9" t="n"/>
      <c r="M157" s="9" t="n"/>
      <c r="N157" s="9" t="n"/>
      <c r="O157" s="11" t="n"/>
      <c r="P157" s="11" t="n"/>
      <c r="Q157" s="9" t="n"/>
      <c r="R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10">
        <f>IFERROR(INDEX(Ремонты!$T$2:$T$200,MATCH(A158,Ремонты!$A$2:$A$200,0)),H158)</f>
        <v/>
      </c>
      <c r="J158" s="10">
        <f>IF(COUNTIF(Ремонты!$A$2:$A$200,A158)&gt;0,"Да","Нет")</f>
        <v/>
      </c>
      <c r="K158" s="9" t="n"/>
      <c r="L158" s="9" t="n"/>
      <c r="M158" s="9" t="n"/>
      <c r="N158" s="9" t="n"/>
      <c r="O158" s="11" t="n"/>
      <c r="P158" s="11" t="n"/>
      <c r="Q158" s="9" t="n"/>
      <c r="R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10">
        <f>IFERROR(INDEX(Ремонты!$T$2:$T$200,MATCH(A159,Ремонты!$A$2:$A$200,0)),H159)</f>
        <v/>
      </c>
      <c r="J159" s="10">
        <f>IF(COUNTIF(Ремонты!$A$2:$A$200,A159)&gt;0,"Да","Нет")</f>
        <v/>
      </c>
      <c r="K159" s="9" t="n"/>
      <c r="L159" s="9" t="n"/>
      <c r="M159" s="9" t="n"/>
      <c r="N159" s="9" t="n"/>
      <c r="O159" s="11" t="n"/>
      <c r="P159" s="11" t="n"/>
      <c r="Q159" s="9" t="n"/>
      <c r="R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10">
        <f>IFERROR(INDEX(Ремонты!$T$2:$T$200,MATCH(A160,Ремонты!$A$2:$A$200,0)),H160)</f>
        <v/>
      </c>
      <c r="J160" s="10">
        <f>IF(COUNTIF(Ремонты!$A$2:$A$200,A160)&gt;0,"Да","Нет")</f>
        <v/>
      </c>
      <c r="K160" s="9" t="n"/>
      <c r="L160" s="9" t="n"/>
      <c r="M160" s="9" t="n"/>
      <c r="N160" s="9" t="n"/>
      <c r="O160" s="11" t="n"/>
      <c r="P160" s="11" t="n"/>
      <c r="Q160" s="9" t="n"/>
      <c r="R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10">
        <f>IFERROR(INDEX(Ремонты!$T$2:$T$200,MATCH(A161,Ремонты!$A$2:$A$200,0)),H161)</f>
        <v/>
      </c>
      <c r="J161" s="10">
        <f>IF(COUNTIF(Ремонты!$A$2:$A$200,A161)&gt;0,"Да","Нет")</f>
        <v/>
      </c>
      <c r="K161" s="9" t="n"/>
      <c r="L161" s="9" t="n"/>
      <c r="M161" s="9" t="n"/>
      <c r="N161" s="9" t="n"/>
      <c r="O161" s="11" t="n"/>
      <c r="P161" s="11" t="n"/>
      <c r="Q161" s="9" t="n"/>
      <c r="R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10">
        <f>IFERROR(INDEX(Ремонты!$T$2:$T$200,MATCH(A162,Ремонты!$A$2:$A$200,0)),H162)</f>
        <v/>
      </c>
      <c r="J162" s="10">
        <f>IF(COUNTIF(Ремонты!$A$2:$A$200,A162)&gt;0,"Да","Нет")</f>
        <v/>
      </c>
      <c r="K162" s="9" t="n"/>
      <c r="L162" s="9" t="n"/>
      <c r="M162" s="9" t="n"/>
      <c r="N162" s="9" t="n"/>
      <c r="O162" s="11" t="n"/>
      <c r="P162" s="11" t="n"/>
      <c r="Q162" s="9" t="n"/>
      <c r="R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10">
        <f>IFERROR(INDEX(Ремонты!$T$2:$T$200,MATCH(A163,Ремонты!$A$2:$A$200,0)),H163)</f>
        <v/>
      </c>
      <c r="J163" s="10">
        <f>IF(COUNTIF(Ремонты!$A$2:$A$200,A163)&gt;0,"Да","Нет")</f>
        <v/>
      </c>
      <c r="K163" s="9" t="n"/>
      <c r="L163" s="9" t="n"/>
      <c r="M163" s="9" t="n"/>
      <c r="N163" s="9" t="n"/>
      <c r="O163" s="11" t="n"/>
      <c r="P163" s="11" t="n"/>
      <c r="Q163" s="9" t="n"/>
      <c r="R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10">
        <f>IFERROR(INDEX(Ремонты!$T$2:$T$200,MATCH(A164,Ремонты!$A$2:$A$200,0)),H164)</f>
        <v/>
      </c>
      <c r="J164" s="10">
        <f>IF(COUNTIF(Ремонты!$A$2:$A$200,A164)&gt;0,"Да","Нет")</f>
        <v/>
      </c>
      <c r="K164" s="9" t="n"/>
      <c r="L164" s="9" t="n"/>
      <c r="M164" s="9" t="n"/>
      <c r="N164" s="9" t="n"/>
      <c r="O164" s="11" t="n"/>
      <c r="P164" s="11" t="n"/>
      <c r="Q164" s="9" t="n"/>
      <c r="R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10">
        <f>IFERROR(INDEX(Ремонты!$T$2:$T$200,MATCH(A165,Ремонты!$A$2:$A$200,0)),H165)</f>
        <v/>
      </c>
      <c r="J165" s="10">
        <f>IF(COUNTIF(Ремонты!$A$2:$A$200,A165)&gt;0,"Да","Нет")</f>
        <v/>
      </c>
      <c r="K165" s="9" t="n"/>
      <c r="L165" s="9" t="n"/>
      <c r="M165" s="9" t="n"/>
      <c r="N165" s="9" t="n"/>
      <c r="O165" s="11" t="n"/>
      <c r="P165" s="11" t="n"/>
      <c r="Q165" s="9" t="n"/>
      <c r="R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10">
        <f>IFERROR(INDEX(Ремонты!$T$2:$T$200,MATCH(A166,Ремонты!$A$2:$A$200,0)),H166)</f>
        <v/>
      </c>
      <c r="J166" s="10">
        <f>IF(COUNTIF(Ремонты!$A$2:$A$200,A166)&gt;0,"Да","Нет")</f>
        <v/>
      </c>
      <c r="K166" s="9" t="n"/>
      <c r="L166" s="9" t="n"/>
      <c r="M166" s="9" t="n"/>
      <c r="N166" s="9" t="n"/>
      <c r="O166" s="11" t="n"/>
      <c r="P166" s="11" t="n"/>
      <c r="Q166" s="9" t="n"/>
      <c r="R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10">
        <f>IFERROR(INDEX(Ремонты!$T$2:$T$200,MATCH(A167,Ремонты!$A$2:$A$200,0)),H167)</f>
        <v/>
      </c>
      <c r="J167" s="10">
        <f>IF(COUNTIF(Ремонты!$A$2:$A$200,A167)&gt;0,"Да","Нет")</f>
        <v/>
      </c>
      <c r="K167" s="9" t="n"/>
      <c r="L167" s="9" t="n"/>
      <c r="M167" s="9" t="n"/>
      <c r="N167" s="9" t="n"/>
      <c r="O167" s="11" t="n"/>
      <c r="P167" s="11" t="n"/>
      <c r="Q167" s="9" t="n"/>
      <c r="R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10">
        <f>IFERROR(INDEX(Ремонты!$T$2:$T$200,MATCH(A168,Ремонты!$A$2:$A$200,0)),H168)</f>
        <v/>
      </c>
      <c r="J168" s="10">
        <f>IF(COUNTIF(Ремонты!$A$2:$A$200,A168)&gt;0,"Да","Нет")</f>
        <v/>
      </c>
      <c r="K168" s="9" t="n"/>
      <c r="L168" s="9" t="n"/>
      <c r="M168" s="9" t="n"/>
      <c r="N168" s="9" t="n"/>
      <c r="O168" s="11" t="n"/>
      <c r="P168" s="11" t="n"/>
      <c r="Q168" s="9" t="n"/>
      <c r="R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10">
        <f>IFERROR(INDEX(Ремонты!$T$2:$T$200,MATCH(A169,Ремонты!$A$2:$A$200,0)),H169)</f>
        <v/>
      </c>
      <c r="J169" s="10">
        <f>IF(COUNTIF(Ремонты!$A$2:$A$200,A169)&gt;0,"Да","Нет")</f>
        <v/>
      </c>
      <c r="K169" s="9" t="n"/>
      <c r="L169" s="9" t="n"/>
      <c r="M169" s="9" t="n"/>
      <c r="N169" s="9" t="n"/>
      <c r="O169" s="11" t="n"/>
      <c r="P169" s="11" t="n"/>
      <c r="Q169" s="9" t="n"/>
      <c r="R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10">
        <f>IFERROR(INDEX(Ремонты!$T$2:$T$200,MATCH(A170,Ремонты!$A$2:$A$200,0)),H170)</f>
        <v/>
      </c>
      <c r="J170" s="10">
        <f>IF(COUNTIF(Ремонты!$A$2:$A$200,A170)&gt;0,"Да","Нет")</f>
        <v/>
      </c>
      <c r="K170" s="9" t="n"/>
      <c r="L170" s="9" t="n"/>
      <c r="M170" s="9" t="n"/>
      <c r="N170" s="9" t="n"/>
      <c r="O170" s="11" t="n"/>
      <c r="P170" s="11" t="n"/>
      <c r="Q170" s="9" t="n"/>
      <c r="R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10">
        <f>IFERROR(INDEX(Ремонты!$T$2:$T$200,MATCH(A171,Ремонты!$A$2:$A$200,0)),H171)</f>
        <v/>
      </c>
      <c r="J171" s="10">
        <f>IF(COUNTIF(Ремонты!$A$2:$A$200,A171)&gt;0,"Да","Нет")</f>
        <v/>
      </c>
      <c r="K171" s="9" t="n"/>
      <c r="L171" s="9" t="n"/>
      <c r="M171" s="9" t="n"/>
      <c r="N171" s="9" t="n"/>
      <c r="O171" s="11" t="n"/>
      <c r="P171" s="11" t="n"/>
      <c r="Q171" s="9" t="n"/>
      <c r="R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10">
        <f>IFERROR(INDEX(Ремонты!$T$2:$T$200,MATCH(A172,Ремонты!$A$2:$A$200,0)),H172)</f>
        <v/>
      </c>
      <c r="J172" s="10">
        <f>IF(COUNTIF(Ремонты!$A$2:$A$200,A172)&gt;0,"Да","Нет")</f>
        <v/>
      </c>
      <c r="K172" s="9" t="n"/>
      <c r="L172" s="9" t="n"/>
      <c r="M172" s="9" t="n"/>
      <c r="N172" s="9" t="n"/>
      <c r="O172" s="11" t="n"/>
      <c r="P172" s="11" t="n"/>
      <c r="Q172" s="9" t="n"/>
      <c r="R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10">
        <f>IFERROR(INDEX(Ремонты!$T$2:$T$200,MATCH(A173,Ремонты!$A$2:$A$200,0)),H173)</f>
        <v/>
      </c>
      <c r="J173" s="10">
        <f>IF(COUNTIF(Ремонты!$A$2:$A$200,A173)&gt;0,"Да","Нет")</f>
        <v/>
      </c>
      <c r="K173" s="9" t="n"/>
      <c r="L173" s="9" t="n"/>
      <c r="M173" s="9" t="n"/>
      <c r="N173" s="9" t="n"/>
      <c r="O173" s="11" t="n"/>
      <c r="P173" s="11" t="n"/>
      <c r="Q173" s="9" t="n"/>
      <c r="R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10">
        <f>IFERROR(INDEX(Ремонты!$T$2:$T$200,MATCH(A174,Ремонты!$A$2:$A$200,0)),H174)</f>
        <v/>
      </c>
      <c r="J174" s="10">
        <f>IF(COUNTIF(Ремонты!$A$2:$A$200,A174)&gt;0,"Да","Нет")</f>
        <v/>
      </c>
      <c r="K174" s="9" t="n"/>
      <c r="L174" s="9" t="n"/>
      <c r="M174" s="9" t="n"/>
      <c r="N174" s="9" t="n"/>
      <c r="O174" s="11" t="n"/>
      <c r="P174" s="11" t="n"/>
      <c r="Q174" s="9" t="n"/>
      <c r="R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10">
        <f>IFERROR(INDEX(Ремонты!$T$2:$T$200,MATCH(A175,Ремонты!$A$2:$A$200,0)),H175)</f>
        <v/>
      </c>
      <c r="J175" s="10">
        <f>IF(COUNTIF(Ремонты!$A$2:$A$200,A175)&gt;0,"Да","Нет")</f>
        <v/>
      </c>
      <c r="K175" s="9" t="n"/>
      <c r="L175" s="9" t="n"/>
      <c r="M175" s="9" t="n"/>
      <c r="N175" s="9" t="n"/>
      <c r="O175" s="11" t="n"/>
      <c r="P175" s="11" t="n"/>
      <c r="Q175" s="9" t="n"/>
      <c r="R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10">
        <f>IFERROR(INDEX(Ремонты!$T$2:$T$200,MATCH(A176,Ремонты!$A$2:$A$200,0)),H176)</f>
        <v/>
      </c>
      <c r="J176" s="10">
        <f>IF(COUNTIF(Ремонты!$A$2:$A$200,A176)&gt;0,"Да","Нет")</f>
        <v/>
      </c>
      <c r="K176" s="9" t="n"/>
      <c r="L176" s="9" t="n"/>
      <c r="M176" s="9" t="n"/>
      <c r="N176" s="9" t="n"/>
      <c r="O176" s="11" t="n"/>
      <c r="P176" s="11" t="n"/>
      <c r="Q176" s="9" t="n"/>
      <c r="R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10">
        <f>IFERROR(INDEX(Ремонты!$T$2:$T$200,MATCH(A177,Ремонты!$A$2:$A$200,0)),H177)</f>
        <v/>
      </c>
      <c r="J177" s="10">
        <f>IF(COUNTIF(Ремонты!$A$2:$A$200,A177)&gt;0,"Да","Нет")</f>
        <v/>
      </c>
      <c r="K177" s="9" t="n"/>
      <c r="L177" s="9" t="n"/>
      <c r="M177" s="9" t="n"/>
      <c r="N177" s="9" t="n"/>
      <c r="O177" s="11" t="n"/>
      <c r="P177" s="11" t="n"/>
      <c r="Q177" s="9" t="n"/>
      <c r="R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10">
        <f>IFERROR(INDEX(Ремонты!$T$2:$T$200,MATCH(A178,Ремонты!$A$2:$A$200,0)),H178)</f>
        <v/>
      </c>
      <c r="J178" s="10">
        <f>IF(COUNTIF(Ремонты!$A$2:$A$200,A178)&gt;0,"Да","Нет")</f>
        <v/>
      </c>
      <c r="K178" s="9" t="n"/>
      <c r="L178" s="9" t="n"/>
      <c r="M178" s="9" t="n"/>
      <c r="N178" s="9" t="n"/>
      <c r="O178" s="11" t="n"/>
      <c r="P178" s="11" t="n"/>
      <c r="Q178" s="9" t="n"/>
      <c r="R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10">
        <f>IFERROR(INDEX(Ремонты!$T$2:$T$200,MATCH(A179,Ремонты!$A$2:$A$200,0)),H179)</f>
        <v/>
      </c>
      <c r="J179" s="10">
        <f>IF(COUNTIF(Ремонты!$A$2:$A$200,A179)&gt;0,"Да","Нет")</f>
        <v/>
      </c>
      <c r="K179" s="9" t="n"/>
      <c r="L179" s="9" t="n"/>
      <c r="M179" s="9" t="n"/>
      <c r="N179" s="9" t="n"/>
      <c r="O179" s="11" t="n"/>
      <c r="P179" s="11" t="n"/>
      <c r="Q179" s="9" t="n"/>
      <c r="R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10">
        <f>IFERROR(INDEX(Ремонты!$T$2:$T$200,MATCH(A180,Ремонты!$A$2:$A$200,0)),H180)</f>
        <v/>
      </c>
      <c r="J180" s="10">
        <f>IF(COUNTIF(Ремонты!$A$2:$A$200,A180)&gt;0,"Да","Нет")</f>
        <v/>
      </c>
      <c r="K180" s="9" t="n"/>
      <c r="L180" s="9" t="n"/>
      <c r="M180" s="9" t="n"/>
      <c r="N180" s="9" t="n"/>
      <c r="O180" s="11" t="n"/>
      <c r="P180" s="11" t="n"/>
      <c r="Q180" s="9" t="n"/>
      <c r="R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10">
        <f>IFERROR(INDEX(Ремонты!$T$2:$T$200,MATCH(A181,Ремонты!$A$2:$A$200,0)),H181)</f>
        <v/>
      </c>
      <c r="J181" s="10">
        <f>IF(COUNTIF(Ремонты!$A$2:$A$200,A181)&gt;0,"Да","Нет")</f>
        <v/>
      </c>
      <c r="K181" s="9" t="n"/>
      <c r="L181" s="9" t="n"/>
      <c r="M181" s="9" t="n"/>
      <c r="N181" s="9" t="n"/>
      <c r="O181" s="11" t="n"/>
      <c r="P181" s="11" t="n"/>
      <c r="Q181" s="9" t="n"/>
      <c r="R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10">
        <f>IFERROR(INDEX(Ремонты!$T$2:$T$200,MATCH(A182,Ремонты!$A$2:$A$200,0)),H182)</f>
        <v/>
      </c>
      <c r="J182" s="10">
        <f>IF(COUNTIF(Ремонты!$A$2:$A$200,A182)&gt;0,"Да","Нет")</f>
        <v/>
      </c>
      <c r="K182" s="9" t="n"/>
      <c r="L182" s="9" t="n"/>
      <c r="M182" s="9" t="n"/>
      <c r="N182" s="9" t="n"/>
      <c r="O182" s="11" t="n"/>
      <c r="P182" s="11" t="n"/>
      <c r="Q182" s="9" t="n"/>
      <c r="R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10">
        <f>IFERROR(INDEX(Ремонты!$T$2:$T$200,MATCH(A183,Ремонты!$A$2:$A$200,0)),H183)</f>
        <v/>
      </c>
      <c r="J183" s="10">
        <f>IF(COUNTIF(Ремонты!$A$2:$A$200,A183)&gt;0,"Да","Нет")</f>
        <v/>
      </c>
      <c r="K183" s="9" t="n"/>
      <c r="L183" s="9" t="n"/>
      <c r="M183" s="9" t="n"/>
      <c r="N183" s="9" t="n"/>
      <c r="O183" s="11" t="n"/>
      <c r="P183" s="11" t="n"/>
      <c r="Q183" s="9" t="n"/>
      <c r="R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10">
        <f>IFERROR(INDEX(Ремонты!$T$2:$T$200,MATCH(A184,Ремонты!$A$2:$A$200,0)),H184)</f>
        <v/>
      </c>
      <c r="J184" s="10">
        <f>IF(COUNTIF(Ремонты!$A$2:$A$200,A184)&gt;0,"Да","Нет")</f>
        <v/>
      </c>
      <c r="K184" s="9" t="n"/>
      <c r="L184" s="9" t="n"/>
      <c r="M184" s="9" t="n"/>
      <c r="N184" s="9" t="n"/>
      <c r="O184" s="11" t="n"/>
      <c r="P184" s="11" t="n"/>
      <c r="Q184" s="9" t="n"/>
      <c r="R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10">
        <f>IFERROR(INDEX(Ремонты!$T$2:$T$200,MATCH(A185,Ремонты!$A$2:$A$200,0)),H185)</f>
        <v/>
      </c>
      <c r="J185" s="10">
        <f>IF(COUNTIF(Ремонты!$A$2:$A$200,A185)&gt;0,"Да","Нет")</f>
        <v/>
      </c>
      <c r="K185" s="9" t="n"/>
      <c r="L185" s="9" t="n"/>
      <c r="M185" s="9" t="n"/>
      <c r="N185" s="9" t="n"/>
      <c r="O185" s="11" t="n"/>
      <c r="P185" s="11" t="n"/>
      <c r="Q185" s="9" t="n"/>
      <c r="R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10">
        <f>IFERROR(INDEX(Ремонты!$T$2:$T$200,MATCH(A186,Ремонты!$A$2:$A$200,0)),H186)</f>
        <v/>
      </c>
      <c r="J186" s="10">
        <f>IF(COUNTIF(Ремонты!$A$2:$A$200,A186)&gt;0,"Да","Нет")</f>
        <v/>
      </c>
      <c r="K186" s="9" t="n"/>
      <c r="L186" s="9" t="n"/>
      <c r="M186" s="9" t="n"/>
      <c r="N186" s="9" t="n"/>
      <c r="O186" s="11" t="n"/>
      <c r="P186" s="11" t="n"/>
      <c r="Q186" s="9" t="n"/>
      <c r="R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10">
        <f>IFERROR(INDEX(Ремонты!$T$2:$T$200,MATCH(A187,Ремонты!$A$2:$A$200,0)),H187)</f>
        <v/>
      </c>
      <c r="J187" s="10">
        <f>IF(COUNTIF(Ремонты!$A$2:$A$200,A187)&gt;0,"Да","Нет")</f>
        <v/>
      </c>
      <c r="K187" s="9" t="n"/>
      <c r="L187" s="9" t="n"/>
      <c r="M187" s="9" t="n"/>
      <c r="N187" s="9" t="n"/>
      <c r="O187" s="11" t="n"/>
      <c r="P187" s="11" t="n"/>
      <c r="Q187" s="9" t="n"/>
      <c r="R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10">
        <f>IFERROR(INDEX(Ремонты!$T$2:$T$200,MATCH(A188,Ремонты!$A$2:$A$200,0)),H188)</f>
        <v/>
      </c>
      <c r="J188" s="10">
        <f>IF(COUNTIF(Ремонты!$A$2:$A$200,A188)&gt;0,"Да","Нет")</f>
        <v/>
      </c>
      <c r="K188" s="9" t="n"/>
      <c r="L188" s="9" t="n"/>
      <c r="M188" s="9" t="n"/>
      <c r="N188" s="9" t="n"/>
      <c r="O188" s="11" t="n"/>
      <c r="P188" s="11" t="n"/>
      <c r="Q188" s="9" t="n"/>
      <c r="R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10">
        <f>IFERROR(INDEX(Ремонты!$T$2:$T$200,MATCH(A189,Ремонты!$A$2:$A$200,0)),H189)</f>
        <v/>
      </c>
      <c r="J189" s="10">
        <f>IF(COUNTIF(Ремонты!$A$2:$A$200,A189)&gt;0,"Да","Нет")</f>
        <v/>
      </c>
      <c r="K189" s="9" t="n"/>
      <c r="L189" s="9" t="n"/>
      <c r="M189" s="9" t="n"/>
      <c r="N189" s="9" t="n"/>
      <c r="O189" s="11" t="n"/>
      <c r="P189" s="11" t="n"/>
      <c r="Q189" s="9" t="n"/>
      <c r="R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10">
        <f>IFERROR(INDEX(Ремонты!$T$2:$T$200,MATCH(A190,Ремонты!$A$2:$A$200,0)),H190)</f>
        <v/>
      </c>
      <c r="J190" s="10">
        <f>IF(COUNTIF(Ремонты!$A$2:$A$200,A190)&gt;0,"Да","Нет")</f>
        <v/>
      </c>
      <c r="K190" s="9" t="n"/>
      <c r="L190" s="9" t="n"/>
      <c r="M190" s="9" t="n"/>
      <c r="N190" s="9" t="n"/>
      <c r="O190" s="11" t="n"/>
      <c r="P190" s="11" t="n"/>
      <c r="Q190" s="9" t="n"/>
      <c r="R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10">
        <f>IFERROR(INDEX(Ремонты!$T$2:$T$200,MATCH(A191,Ремонты!$A$2:$A$200,0)),H191)</f>
        <v/>
      </c>
      <c r="J191" s="10">
        <f>IF(COUNTIF(Ремонты!$A$2:$A$200,A191)&gt;0,"Да","Нет")</f>
        <v/>
      </c>
      <c r="K191" s="9" t="n"/>
      <c r="L191" s="9" t="n"/>
      <c r="M191" s="9" t="n"/>
      <c r="N191" s="9" t="n"/>
      <c r="O191" s="11" t="n"/>
      <c r="P191" s="11" t="n"/>
      <c r="Q191" s="9" t="n"/>
      <c r="R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10">
        <f>IFERROR(INDEX(Ремонты!$T$2:$T$200,MATCH(A192,Ремонты!$A$2:$A$200,0)),H192)</f>
        <v/>
      </c>
      <c r="J192" s="10">
        <f>IF(COUNTIF(Ремонты!$A$2:$A$200,A192)&gt;0,"Да","Нет")</f>
        <v/>
      </c>
      <c r="K192" s="9" t="n"/>
      <c r="L192" s="9" t="n"/>
      <c r="M192" s="9" t="n"/>
      <c r="N192" s="9" t="n"/>
      <c r="O192" s="11" t="n"/>
      <c r="P192" s="11" t="n"/>
      <c r="Q192" s="9" t="n"/>
      <c r="R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10">
        <f>IFERROR(INDEX(Ремонты!$T$2:$T$200,MATCH(A193,Ремонты!$A$2:$A$200,0)),H193)</f>
        <v/>
      </c>
      <c r="J193" s="10">
        <f>IF(COUNTIF(Ремонты!$A$2:$A$200,A193)&gt;0,"Да","Нет")</f>
        <v/>
      </c>
      <c r="K193" s="9" t="n"/>
      <c r="L193" s="9" t="n"/>
      <c r="M193" s="9" t="n"/>
      <c r="N193" s="9" t="n"/>
      <c r="O193" s="11" t="n"/>
      <c r="P193" s="11" t="n"/>
      <c r="Q193" s="9" t="n"/>
      <c r="R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10">
        <f>IFERROR(INDEX(Ремонты!$T$2:$T$200,MATCH(A194,Ремонты!$A$2:$A$200,0)),H194)</f>
        <v/>
      </c>
      <c r="J194" s="10">
        <f>IF(COUNTIF(Ремонты!$A$2:$A$200,A194)&gt;0,"Да","Нет")</f>
        <v/>
      </c>
      <c r="K194" s="9" t="n"/>
      <c r="L194" s="9" t="n"/>
      <c r="M194" s="9" t="n"/>
      <c r="N194" s="9" t="n"/>
      <c r="O194" s="11" t="n"/>
      <c r="P194" s="11" t="n"/>
      <c r="Q194" s="9" t="n"/>
      <c r="R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10">
        <f>IFERROR(INDEX(Ремонты!$T$2:$T$200,MATCH(A195,Ремонты!$A$2:$A$200,0)),H195)</f>
        <v/>
      </c>
      <c r="J195" s="10">
        <f>IF(COUNTIF(Ремонты!$A$2:$A$200,A195)&gt;0,"Да","Нет")</f>
        <v/>
      </c>
      <c r="K195" s="9" t="n"/>
      <c r="L195" s="9" t="n"/>
      <c r="M195" s="9" t="n"/>
      <c r="N195" s="9" t="n"/>
      <c r="O195" s="11" t="n"/>
      <c r="P195" s="11" t="n"/>
      <c r="Q195" s="9" t="n"/>
      <c r="R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10">
        <f>IFERROR(INDEX(Ремонты!$T$2:$T$200,MATCH(A196,Ремонты!$A$2:$A$200,0)),H196)</f>
        <v/>
      </c>
      <c r="J196" s="10">
        <f>IF(COUNTIF(Ремонты!$A$2:$A$200,A196)&gt;0,"Да","Нет")</f>
        <v/>
      </c>
      <c r="K196" s="9" t="n"/>
      <c r="L196" s="9" t="n"/>
      <c r="M196" s="9" t="n"/>
      <c r="N196" s="9" t="n"/>
      <c r="O196" s="11" t="n"/>
      <c r="P196" s="11" t="n"/>
      <c r="Q196" s="9" t="n"/>
      <c r="R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10">
        <f>IFERROR(INDEX(Ремонты!$T$2:$T$200,MATCH(A197,Ремонты!$A$2:$A$200,0)),H197)</f>
        <v/>
      </c>
      <c r="J197" s="10">
        <f>IF(COUNTIF(Ремонты!$A$2:$A$200,A197)&gt;0,"Да","Нет")</f>
        <v/>
      </c>
      <c r="K197" s="9" t="n"/>
      <c r="L197" s="9" t="n"/>
      <c r="M197" s="9" t="n"/>
      <c r="N197" s="9" t="n"/>
      <c r="O197" s="11" t="n"/>
      <c r="P197" s="11" t="n"/>
      <c r="Q197" s="9" t="n"/>
      <c r="R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10">
        <f>IFERROR(INDEX(Ремонты!$T$2:$T$200,MATCH(A198,Ремонты!$A$2:$A$200,0)),H198)</f>
        <v/>
      </c>
      <c r="J198" s="10">
        <f>IF(COUNTIF(Ремонты!$A$2:$A$200,A198)&gt;0,"Да","Нет")</f>
        <v/>
      </c>
      <c r="K198" s="9" t="n"/>
      <c r="L198" s="9" t="n"/>
      <c r="M198" s="9" t="n"/>
      <c r="N198" s="9" t="n"/>
      <c r="O198" s="11" t="n"/>
      <c r="P198" s="11" t="n"/>
      <c r="Q198" s="9" t="n"/>
      <c r="R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10">
        <f>IFERROR(INDEX(Ремонты!$T$2:$T$200,MATCH(A199,Ремонты!$A$2:$A$200,0)),H199)</f>
        <v/>
      </c>
      <c r="J199" s="10">
        <f>IF(COUNTIF(Ремонты!$A$2:$A$200,A199)&gt;0,"Да","Нет")</f>
        <v/>
      </c>
      <c r="K199" s="9" t="n"/>
      <c r="L199" s="9" t="n"/>
      <c r="M199" s="9" t="n"/>
      <c r="N199" s="9" t="n"/>
      <c r="O199" s="11" t="n"/>
      <c r="P199" s="11" t="n"/>
      <c r="Q199" s="9" t="n"/>
      <c r="R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10">
        <f>IFERROR(INDEX(Ремонты!$T$2:$T$200,MATCH(A200,Ремонты!$A$2:$A$200,0)),H200)</f>
        <v/>
      </c>
      <c r="J200" s="10">
        <f>IF(COUNTIF(Ремонты!$A$2:$A$200,A200)&gt;0,"Да","Нет")</f>
        <v/>
      </c>
      <c r="K200" s="9" t="n"/>
      <c r="L200" s="9" t="n"/>
      <c r="M200" s="9" t="n"/>
      <c r="N200" s="9" t="n"/>
      <c r="O200" s="11" t="n"/>
      <c r="P200" s="11" t="n"/>
      <c r="Q200" s="9" t="n"/>
      <c r="R200" s="9" t="n"/>
    </row>
  </sheetData>
  <conditionalFormatting sqref="K2:K200">
    <cfRule type="expression" priority="1" dxfId="0">
      <formula>$C2&lt;&gt;"СИ"</formula>
    </cfRule>
  </conditionalFormatting>
  <conditionalFormatting sqref="L2:L200">
    <cfRule type="expression" priority="2" dxfId="0">
      <formula>$C2&lt;&gt;"СИ"</formula>
    </cfRule>
  </conditionalFormatting>
  <conditionalFormatting sqref="M2:M200">
    <cfRule type="expression" priority="3" dxfId="0">
      <formula>$C2&lt;&gt;"СИ"</formula>
    </cfRule>
  </conditionalFormatting>
  <conditionalFormatting sqref="N2:N200">
    <cfRule type="expression" priority="4" dxfId="0">
      <formula>$C2&lt;&gt;"СИ"</formula>
    </cfRule>
  </conditionalFormatting>
  <conditionalFormatting sqref="O2:O200">
    <cfRule type="expression" priority="5" dxfId="0">
      <formula>$C2&lt;&gt;"СИ"</formula>
    </cfRule>
  </conditionalFormatting>
  <conditionalFormatting sqref="P2:P200">
    <cfRule type="expression" priority="6" dxfId="0">
      <formula>$C2&lt;&gt;"СИ"</formula>
    </cfRule>
  </conditionalFormatting>
  <conditionalFormatting sqref="Q2:Q200">
    <cfRule type="expression" priority="7" dxfId="0">
      <formula>$C2&lt;&gt;"СИ"</formula>
    </cfRule>
  </conditionalFormatting>
  <dataValidations count="2">
    <dataValidation sqref="C2:C200" showDropDown="0" showInputMessage="0" showErrorMessage="0" allowBlank="1" type="list">
      <formula1>=Справочники!$A$2:$A$5</formula1>
    </dataValidation>
    <dataValidation sqref="H2:H200" showDropDown="0" showInputMessage="0" showErrorMessage="0" allowBlank="1" type="list">
      <formula1>=Справочники!$C$2:$C$5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16" customWidth="1" min="5" max="5"/>
    <col width="18" customWidth="1" min="6" max="6"/>
    <col width="40" customWidth="1" min="7" max="7"/>
    <col width="16" customWidth="1" min="8" max="8"/>
    <col width="22" customWidth="1" min="9" max="9"/>
    <col width="16" customWidth="1" min="10" max="10"/>
    <col width="14" customWidth="1" min="11" max="11"/>
    <col width="18" customWidth="1" min="12" max="12"/>
    <col width="42" customWidth="1" min="13" max="13"/>
    <col width="12" customWidth="1" min="14" max="14"/>
    <col width="28" customWidth="1" min="15" max="15"/>
    <col width="18" customWidth="1" min="16" max="16"/>
    <col width="18" customWidth="1" min="17" max="17"/>
    <col width="52" customWidth="1" min="18" max="18"/>
  </cols>
  <sheetData>
    <row r="1" ht="30" customHeight="1">
      <c r="A1" s="1" t="inlineStr">
        <is>
          <t>ID прибора</t>
        </is>
      </c>
      <c r="B1" s="1" t="inlineStr">
        <is>
          <t>Регистрационный номер типа СИ</t>
        </is>
      </c>
      <c r="C1" s="1" t="inlineStr">
        <is>
          <t>Обозначение типа СИ</t>
        </is>
      </c>
      <c r="D1" s="1" t="inlineStr">
        <is>
          <t>Наименование типа СИ</t>
        </is>
      </c>
      <c r="E1" s="1" t="inlineStr">
        <is>
          <t>Заводской номер СИ</t>
        </is>
      </c>
      <c r="F1" s="1" t="inlineStr">
        <is>
          <t>Модификация СИ</t>
        </is>
      </c>
      <c r="G1" s="1" t="inlineStr">
        <is>
          <t>Организация-поверитель</t>
        </is>
      </c>
      <c r="H1" s="1" t="inlineStr">
        <is>
          <t>Шифр знака поверки</t>
        </is>
      </c>
      <c r="I1" s="1" t="inlineStr">
        <is>
          <t>Владелец СИ</t>
        </is>
      </c>
      <c r="J1" s="1" t="inlineStr">
        <is>
          <t>Тип поверки</t>
        </is>
      </c>
      <c r="K1" s="1" t="inlineStr">
        <is>
          <t>Дата поверки СИ</t>
        </is>
      </c>
      <c r="L1" s="1" t="inlineStr">
        <is>
          <t>Поверка действительна до</t>
        </is>
      </c>
      <c r="M1" s="1" t="inlineStr">
        <is>
          <t>Документ поверки</t>
        </is>
      </c>
      <c r="N1" s="1" t="inlineStr">
        <is>
          <t>СИ пригодно</t>
        </is>
      </c>
      <c r="O1" s="1" t="inlineStr">
        <is>
          <t>Номер свидетельства</t>
        </is>
      </c>
      <c r="P1" s="1" t="inlineStr">
        <is>
          <t>Знак поверки в паспорте</t>
        </is>
      </c>
      <c r="Q1" s="1" t="inlineStr">
        <is>
          <t>Знак поверки на СИ</t>
        </is>
      </c>
      <c r="R1" s="1" t="inlineStr">
        <is>
          <t>Средство поверки / эталон</t>
        </is>
      </c>
    </row>
    <row r="2">
      <c r="A2" s="9" t="inlineStr">
        <is>
          <t>SI-0001</t>
        </is>
      </c>
      <c r="B2" s="9" t="inlineStr">
        <is>
          <t>14557-15</t>
        </is>
      </c>
      <c r="C2" s="9" t="inlineStr">
        <is>
          <t>УДВН-1пм</t>
        </is>
      </c>
      <c r="D2" s="9" t="inlineStr">
        <is>
          <t>Влагомеры нефти поточные</t>
        </is>
      </c>
      <c r="E2" s="9" t="inlineStr">
        <is>
          <t>2459</t>
        </is>
      </c>
      <c r="F2" s="9" t="inlineStr">
        <is>
          <t>исп. УДВН-1пм</t>
        </is>
      </c>
      <c r="G2" s="9" t="inlineStr">
        <is>
          <t>АО "ТРАНСНЕФТЬ-АВТОМАТИЗАЦИЯ И МЕТРОЛОГИЯ"</t>
        </is>
      </c>
      <c r="H2" s="9" t="inlineStr">
        <is>
          <t>ББЮ</t>
        </is>
      </c>
      <c r="I2" s="9" t="inlineStr">
        <is>
          <t>АО «Транснефть - Приволга»</t>
        </is>
      </c>
      <c r="J2" s="9" t="inlineStr">
        <is>
          <t>Периодическая</t>
        </is>
      </c>
      <c r="K2" s="11" t="n">
        <v>46087</v>
      </c>
      <c r="L2" s="11" t="n">
        <v>46451</v>
      </c>
      <c r="M2" s="9" t="inlineStr">
        <is>
          <t>МП 0309-6-2015 «Инструкция. ГСИ. Влагомеры нефти поточные УДВН-1пм. Методика поверки»</t>
        </is>
      </c>
      <c r="N2" s="9" t="inlineStr">
        <is>
          <t>Да</t>
        </is>
      </c>
      <c r="O2" s="9" t="inlineStr">
        <is>
          <t>С-ББЮ/06-03-2026/509701256</t>
        </is>
      </c>
      <c r="P2" s="9" t="inlineStr">
        <is>
          <t>Нет</t>
        </is>
      </c>
      <c r="Q2" s="9" t="inlineStr">
        <is>
          <t>Нет</t>
        </is>
      </c>
      <c r="R2" s="9" t="inlineStr">
        <is>
          <t>59937-20; Влагомеры эталонные товарной нефти поточные; УДВН-1эп; Эталон 2-го разряда; ГОСТ 8.614-2013</t>
        </is>
      </c>
    </row>
    <row r="3">
      <c r="A3" s="9" t="inlineStr">
        <is>
          <t>SI-0002</t>
        </is>
      </c>
      <c r="B3" s="9" t="inlineStr">
        <is>
          <t>14557-15</t>
        </is>
      </c>
      <c r="C3" s="9" t="inlineStr">
        <is>
          <t>УДВН-1пм</t>
        </is>
      </c>
      <c r="D3" s="9" t="inlineStr">
        <is>
          <t>Влагомеры нефти поточные</t>
        </is>
      </c>
      <c r="E3" s="9" t="inlineStr">
        <is>
          <t>2460</t>
        </is>
      </c>
      <c r="F3" s="9" t="inlineStr">
        <is>
          <t>исп. УДВН-1пм</t>
        </is>
      </c>
      <c r="G3" s="9" t="inlineStr">
        <is>
          <t>АО "ТРАНСНЕФТЬ-АВТОМАТИЗАЦИЯ И МЕТРОЛОГИЯ"</t>
        </is>
      </c>
      <c r="H3" s="9" t="inlineStr">
        <is>
          <t>ББЮ</t>
        </is>
      </c>
      <c r="I3" s="9" t="inlineStr">
        <is>
          <t>АО «Транснефть - Приволга»</t>
        </is>
      </c>
      <c r="J3" s="9" t="inlineStr">
        <is>
          <t>Периодическая</t>
        </is>
      </c>
      <c r="K3" s="11" t="n">
        <v>46087</v>
      </c>
      <c r="L3" s="11" t="n">
        <v>46451</v>
      </c>
      <c r="M3" s="9" t="inlineStr">
        <is>
          <t>МП 0309-6-2015 «Инструкция. ГСИ. Влагомеры нефти поточные УДВН-1пм. Методика поверки»</t>
        </is>
      </c>
      <c r="N3" s="9" t="inlineStr">
        <is>
          <t>Да</t>
        </is>
      </c>
      <c r="O3" s="9" t="inlineStr">
        <is>
          <t>С-ББЮ/06-03-2026/509701256</t>
        </is>
      </c>
      <c r="P3" s="9" t="inlineStr">
        <is>
          <t>Нет</t>
        </is>
      </c>
      <c r="Q3" s="9" t="inlineStr">
        <is>
          <t>Нет</t>
        </is>
      </c>
      <c r="R3" s="9" t="inlineStr">
        <is>
          <t>59937-20; Влагомеры эталонные товарной нефти поточные; УДВН-1эп; Эталон 2-го разряда; ГОСТ 8.614-2013</t>
        </is>
      </c>
    </row>
    <row r="4">
      <c r="A4" s="9" t="inlineStr">
        <is>
          <t>SI-0003</t>
        </is>
      </c>
      <c r="B4" s="9" t="inlineStr">
        <is>
          <t>14557-15</t>
        </is>
      </c>
      <c r="C4" s="9" t="inlineStr">
        <is>
          <t>УДВН-1пм</t>
        </is>
      </c>
      <c r="D4" s="9" t="inlineStr">
        <is>
          <t>Влагомеры нефти поточные</t>
        </is>
      </c>
      <c r="E4" s="9" t="inlineStr">
        <is>
          <t>2461</t>
        </is>
      </c>
      <c r="F4" s="9" t="inlineStr">
        <is>
          <t>исп. УДВН-1пм</t>
        </is>
      </c>
      <c r="G4" s="9" t="inlineStr">
        <is>
          <t>АО "ТРАНСНЕФТЬ-АВТОМАТИЗАЦИЯ И МЕТРОЛОГИЯ"</t>
        </is>
      </c>
      <c r="H4" s="9" t="inlineStr">
        <is>
          <t>ББЮ</t>
        </is>
      </c>
      <c r="I4" s="9" t="inlineStr">
        <is>
          <t>АО «Транснефть - Приволга»</t>
        </is>
      </c>
      <c r="J4" s="9" t="inlineStr">
        <is>
          <t>Периодическая</t>
        </is>
      </c>
      <c r="K4" s="11" t="n">
        <v>46087</v>
      </c>
      <c r="L4" s="11" t="n">
        <v>46451</v>
      </c>
      <c r="M4" s="9" t="inlineStr">
        <is>
          <t>МП 0309-6-2015 «Инструкция. ГСИ. Влагомеры нефти поточные УДВН-1пм. Методика поверки»</t>
        </is>
      </c>
      <c r="N4" s="9" t="inlineStr">
        <is>
          <t>Да</t>
        </is>
      </c>
      <c r="O4" s="9" t="inlineStr">
        <is>
          <t>С-ББЮ/06-03-2026/509701256</t>
        </is>
      </c>
      <c r="P4" s="9" t="inlineStr">
        <is>
          <t>Нет</t>
        </is>
      </c>
      <c r="Q4" s="9" t="inlineStr">
        <is>
          <t>Нет</t>
        </is>
      </c>
      <c r="R4" s="9" t="inlineStr">
        <is>
          <t>59937-20; Влагомеры эталонные товарной нефти поточные; УДВН-1эп; Эталон 2-го разряда; ГОСТ 8.614-2013</t>
        </is>
      </c>
    </row>
    <row r="5">
      <c r="A5" s="9" t="inlineStr">
        <is>
          <t>SI-0004</t>
        </is>
      </c>
      <c r="B5" s="9" t="inlineStr">
        <is>
          <t>14557-15</t>
        </is>
      </c>
      <c r="C5" s="9" t="inlineStr">
        <is>
          <t>УДВН-1пм</t>
        </is>
      </c>
      <c r="D5" s="9" t="inlineStr">
        <is>
          <t>Влагомеры нефти поточные</t>
        </is>
      </c>
      <c r="E5" s="9" t="inlineStr">
        <is>
          <t>2462</t>
        </is>
      </c>
      <c r="F5" s="9" t="inlineStr">
        <is>
          <t>исп. УДВН-1пм</t>
        </is>
      </c>
      <c r="G5" s="9" t="inlineStr">
        <is>
          <t>АО "ТРАНСНЕФТЬ-АВТОМАТИЗАЦИЯ И МЕТРОЛОГИЯ"</t>
        </is>
      </c>
      <c r="H5" s="9" t="inlineStr">
        <is>
          <t>ББЮ</t>
        </is>
      </c>
      <c r="I5" s="9" t="inlineStr">
        <is>
          <t>АО «Транснефть - Приволга»</t>
        </is>
      </c>
      <c r="J5" s="9" t="inlineStr">
        <is>
          <t>Периодическая</t>
        </is>
      </c>
      <c r="K5" s="11" t="n">
        <v>46087</v>
      </c>
      <c r="L5" s="11" t="n">
        <v>46451</v>
      </c>
      <c r="M5" s="9" t="inlineStr">
        <is>
          <t>МП 0309-6-2015 «Инструкция. ГСИ. Влагомеры нефти поточные УДВН-1пм. Методика поверки»</t>
        </is>
      </c>
      <c r="N5" s="9" t="inlineStr">
        <is>
          <t>Да</t>
        </is>
      </c>
      <c r="O5" s="9" t="inlineStr">
        <is>
          <t>С-ББЮ/06-03-2026/509701256</t>
        </is>
      </c>
      <c r="P5" s="9" t="inlineStr">
        <is>
          <t>Нет</t>
        </is>
      </c>
      <c r="Q5" s="9" t="inlineStr">
        <is>
          <t>Нет</t>
        </is>
      </c>
      <c r="R5" s="9" t="inlineStr">
        <is>
          <t>59937-20; Влагомеры эталонные товарной нефти поточные; УДВН-1эп; Эталон 2-го разряда; ГОСТ 8.614-2013</t>
        </is>
      </c>
    </row>
    <row r="6">
      <c r="A6" s="9" t="inlineStr">
        <is>
          <t>SI-0005</t>
        </is>
      </c>
      <c r="B6" s="9" t="inlineStr">
        <is>
          <t>14557-15</t>
        </is>
      </c>
      <c r="C6" s="9" t="inlineStr">
        <is>
          <t>УДВН-1пм</t>
        </is>
      </c>
      <c r="D6" s="9" t="inlineStr">
        <is>
          <t>Влагомеры нефти поточные</t>
        </is>
      </c>
      <c r="E6" s="9" t="inlineStr">
        <is>
          <t>2463</t>
        </is>
      </c>
      <c r="F6" s="9" t="inlineStr">
        <is>
          <t>исп. УДВН-1пм</t>
        </is>
      </c>
      <c r="G6" s="9" t="inlineStr">
        <is>
          <t>АО "ТРАНСНЕФТЬ-АВТОМАТИЗАЦИЯ И МЕТРОЛОГИЯ"</t>
        </is>
      </c>
      <c r="H6" s="9" t="inlineStr">
        <is>
          <t>ББЮ</t>
        </is>
      </c>
      <c r="I6" s="9" t="inlineStr">
        <is>
          <t>АО «Транснефть - Приволга»</t>
        </is>
      </c>
      <c r="J6" s="9" t="inlineStr">
        <is>
          <t>Периодическая</t>
        </is>
      </c>
      <c r="K6" s="11" t="n">
        <v>46087</v>
      </c>
      <c r="L6" s="11" t="n">
        <v>46451</v>
      </c>
      <c r="M6" s="9" t="inlineStr">
        <is>
          <t>МП 0309-6-2015 «Инструкция. ГСИ. Влагомеры нефти поточные УДВН-1пм. Методика поверки»</t>
        </is>
      </c>
      <c r="N6" s="9" t="inlineStr">
        <is>
          <t>Да</t>
        </is>
      </c>
      <c r="O6" s="9" t="inlineStr">
        <is>
          <t>С-ББЮ/06-03-2026/509701256</t>
        </is>
      </c>
      <c r="P6" s="9" t="inlineStr">
        <is>
          <t>Нет</t>
        </is>
      </c>
      <c r="Q6" s="9" t="inlineStr">
        <is>
          <t>Нет</t>
        </is>
      </c>
      <c r="R6" s="9" t="inlineStr">
        <is>
          <t>59937-20; Влагомеры эталонные товарной нефти поточные; УДВН-1эп; Эталон 2-го разряда; ГОСТ 8.614-2013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9" t="n"/>
      <c r="N7" s="9" t="n"/>
      <c r="O7" s="9" t="n"/>
      <c r="P7" s="9" t="n"/>
      <c r="Q7" s="9" t="n"/>
      <c r="R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9" t="n"/>
      <c r="N8" s="9" t="n"/>
      <c r="O8" s="9" t="n"/>
      <c r="P8" s="9" t="n"/>
      <c r="Q8" s="9" t="n"/>
      <c r="R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9" t="n"/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11" t="n"/>
      <c r="L10" s="11" t="n"/>
      <c r="M10" s="9" t="n"/>
      <c r="N10" s="9" t="n"/>
      <c r="O10" s="9" t="n"/>
      <c r="P10" s="9" t="n"/>
      <c r="Q10" s="9" t="n"/>
      <c r="R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1" t="n"/>
      <c r="L11" s="11" t="n"/>
      <c r="M11" s="9" t="n"/>
      <c r="N11" s="9" t="n"/>
      <c r="O11" s="9" t="n"/>
      <c r="P11" s="9" t="n"/>
      <c r="Q11" s="9" t="n"/>
      <c r="R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1" t="n"/>
      <c r="L12" s="11" t="n"/>
      <c r="M12" s="9" t="n"/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1" t="n"/>
      <c r="L13" s="11" t="n"/>
      <c r="M13" s="9" t="n"/>
      <c r="N13" s="9" t="n"/>
      <c r="O13" s="9" t="n"/>
      <c r="P13" s="9" t="n"/>
      <c r="Q13" s="9" t="n"/>
      <c r="R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1" t="n"/>
      <c r="L14" s="11" t="n"/>
      <c r="M14" s="9" t="n"/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1" t="n"/>
      <c r="L15" s="11" t="n"/>
      <c r="M15" s="9" t="n"/>
      <c r="N15" s="9" t="n"/>
      <c r="O15" s="9" t="n"/>
      <c r="P15" s="9" t="n"/>
      <c r="Q15" s="9" t="n"/>
      <c r="R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11" t="n"/>
      <c r="L16" s="11" t="n"/>
      <c r="M16" s="9" t="n"/>
      <c r="N16" s="9" t="n"/>
      <c r="O16" s="9" t="n"/>
      <c r="P16" s="9" t="n"/>
      <c r="Q16" s="9" t="n"/>
      <c r="R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1" t="n"/>
      <c r="L17" s="11" t="n"/>
      <c r="M17" s="9" t="n"/>
      <c r="N17" s="9" t="n"/>
      <c r="O17" s="9" t="n"/>
      <c r="P17" s="9" t="n"/>
      <c r="Q17" s="9" t="n"/>
      <c r="R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11" t="n"/>
      <c r="L18" s="11" t="n"/>
      <c r="M18" s="9" t="n"/>
      <c r="N18" s="9" t="n"/>
      <c r="O18" s="9" t="n"/>
      <c r="P18" s="9" t="n"/>
      <c r="Q18" s="9" t="n"/>
      <c r="R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11" t="n"/>
      <c r="L19" s="11" t="n"/>
      <c r="M19" s="9" t="n"/>
      <c r="N19" s="9" t="n"/>
      <c r="O19" s="9" t="n"/>
      <c r="P19" s="9" t="n"/>
      <c r="Q19" s="9" t="n"/>
      <c r="R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11" t="n"/>
      <c r="L20" s="11" t="n"/>
      <c r="M20" s="9" t="n"/>
      <c r="N20" s="9" t="n"/>
      <c r="O20" s="9" t="n"/>
      <c r="P20" s="9" t="n"/>
      <c r="Q20" s="9" t="n"/>
      <c r="R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1" t="n"/>
      <c r="L21" s="11" t="n"/>
      <c r="M21" s="9" t="n"/>
      <c r="N21" s="9" t="n"/>
      <c r="O21" s="9" t="n"/>
      <c r="P21" s="9" t="n"/>
      <c r="Q21" s="9" t="n"/>
      <c r="R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1" t="n"/>
      <c r="L22" s="11" t="n"/>
      <c r="M22" s="9" t="n"/>
      <c r="N22" s="9" t="n"/>
      <c r="O22" s="9" t="n"/>
      <c r="P22" s="9" t="n"/>
      <c r="Q22" s="9" t="n"/>
      <c r="R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1" t="n"/>
      <c r="L23" s="11" t="n"/>
      <c r="M23" s="9" t="n"/>
      <c r="N23" s="9" t="n"/>
      <c r="O23" s="9" t="n"/>
      <c r="P23" s="9" t="n"/>
      <c r="Q23" s="9" t="n"/>
      <c r="R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1" t="n"/>
      <c r="L24" s="11" t="n"/>
      <c r="M24" s="9" t="n"/>
      <c r="N24" s="9" t="n"/>
      <c r="O24" s="9" t="n"/>
      <c r="P24" s="9" t="n"/>
      <c r="Q24" s="9" t="n"/>
      <c r="R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1" t="n"/>
      <c r="L25" s="11" t="n"/>
      <c r="M25" s="9" t="n"/>
      <c r="N25" s="9" t="n"/>
      <c r="O25" s="9" t="n"/>
      <c r="P25" s="9" t="n"/>
      <c r="Q25" s="9" t="n"/>
      <c r="R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11" t="n"/>
      <c r="L26" s="11" t="n"/>
      <c r="M26" s="9" t="n"/>
      <c r="N26" s="9" t="n"/>
      <c r="O26" s="9" t="n"/>
      <c r="P26" s="9" t="n"/>
      <c r="Q26" s="9" t="n"/>
      <c r="R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1" t="n"/>
      <c r="L27" s="11" t="n"/>
      <c r="M27" s="9" t="n"/>
      <c r="N27" s="9" t="n"/>
      <c r="O27" s="9" t="n"/>
      <c r="P27" s="9" t="n"/>
      <c r="Q27" s="9" t="n"/>
      <c r="R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11" t="n"/>
      <c r="L28" s="11" t="n"/>
      <c r="M28" s="9" t="n"/>
      <c r="N28" s="9" t="n"/>
      <c r="O28" s="9" t="n"/>
      <c r="P28" s="9" t="n"/>
      <c r="Q28" s="9" t="n"/>
      <c r="R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1" t="n"/>
      <c r="L29" s="11" t="n"/>
      <c r="M29" s="9" t="n"/>
      <c r="N29" s="9" t="n"/>
      <c r="O29" s="9" t="n"/>
      <c r="P29" s="9" t="n"/>
      <c r="Q29" s="9" t="n"/>
      <c r="R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11" t="n"/>
      <c r="L30" s="11" t="n"/>
      <c r="M30" s="9" t="n"/>
      <c r="N30" s="9" t="n"/>
      <c r="O30" s="9" t="n"/>
      <c r="P30" s="9" t="n"/>
      <c r="Q30" s="9" t="n"/>
      <c r="R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11" t="n"/>
      <c r="L31" s="11" t="n"/>
      <c r="M31" s="9" t="n"/>
      <c r="N31" s="9" t="n"/>
      <c r="O31" s="9" t="n"/>
      <c r="P31" s="9" t="n"/>
      <c r="Q31" s="9" t="n"/>
      <c r="R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1" t="n"/>
      <c r="L32" s="11" t="n"/>
      <c r="M32" s="9" t="n"/>
      <c r="N32" s="9" t="n"/>
      <c r="O32" s="9" t="n"/>
      <c r="P32" s="9" t="n"/>
      <c r="Q32" s="9" t="n"/>
      <c r="R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1" t="n"/>
      <c r="L33" s="11" t="n"/>
      <c r="M33" s="9" t="n"/>
      <c r="N33" s="9" t="n"/>
      <c r="O33" s="9" t="n"/>
      <c r="P33" s="9" t="n"/>
      <c r="Q33" s="9" t="n"/>
      <c r="R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1" t="n"/>
      <c r="L34" s="11" t="n"/>
      <c r="M34" s="9" t="n"/>
      <c r="N34" s="9" t="n"/>
      <c r="O34" s="9" t="n"/>
      <c r="P34" s="9" t="n"/>
      <c r="Q34" s="9" t="n"/>
      <c r="R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11" t="n"/>
      <c r="L35" s="11" t="n"/>
      <c r="M35" s="9" t="n"/>
      <c r="N35" s="9" t="n"/>
      <c r="O35" s="9" t="n"/>
      <c r="P35" s="9" t="n"/>
      <c r="Q35" s="9" t="n"/>
      <c r="R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11" t="n"/>
      <c r="L36" s="11" t="n"/>
      <c r="M36" s="9" t="n"/>
      <c r="N36" s="9" t="n"/>
      <c r="O36" s="9" t="n"/>
      <c r="P36" s="9" t="n"/>
      <c r="Q36" s="9" t="n"/>
      <c r="R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11" t="n"/>
      <c r="L37" s="11" t="n"/>
      <c r="M37" s="9" t="n"/>
      <c r="N37" s="9" t="n"/>
      <c r="O37" s="9" t="n"/>
      <c r="P37" s="9" t="n"/>
      <c r="Q37" s="9" t="n"/>
      <c r="R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11" t="n"/>
      <c r="L38" s="11" t="n"/>
      <c r="M38" s="9" t="n"/>
      <c r="N38" s="9" t="n"/>
      <c r="O38" s="9" t="n"/>
      <c r="P38" s="9" t="n"/>
      <c r="Q38" s="9" t="n"/>
      <c r="R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11" t="n"/>
      <c r="L39" s="11" t="n"/>
      <c r="M39" s="9" t="n"/>
      <c r="N39" s="9" t="n"/>
      <c r="O39" s="9" t="n"/>
      <c r="P39" s="9" t="n"/>
      <c r="Q39" s="9" t="n"/>
      <c r="R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11" t="n"/>
      <c r="L40" s="11" t="n"/>
      <c r="M40" s="9" t="n"/>
      <c r="N40" s="9" t="n"/>
      <c r="O40" s="9" t="n"/>
      <c r="P40" s="9" t="n"/>
      <c r="Q40" s="9" t="n"/>
      <c r="R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11" t="n"/>
      <c r="L41" s="11" t="n"/>
      <c r="M41" s="9" t="n"/>
      <c r="N41" s="9" t="n"/>
      <c r="O41" s="9" t="n"/>
      <c r="P41" s="9" t="n"/>
      <c r="Q41" s="9" t="n"/>
      <c r="R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1" t="n"/>
      <c r="L42" s="11" t="n"/>
      <c r="M42" s="9" t="n"/>
      <c r="N42" s="9" t="n"/>
      <c r="O42" s="9" t="n"/>
      <c r="P42" s="9" t="n"/>
      <c r="Q42" s="9" t="n"/>
      <c r="R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1" t="n"/>
      <c r="L43" s="11" t="n"/>
      <c r="M43" s="9" t="n"/>
      <c r="N43" s="9" t="n"/>
      <c r="O43" s="9" t="n"/>
      <c r="P43" s="9" t="n"/>
      <c r="Q43" s="9" t="n"/>
      <c r="R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1" t="n"/>
      <c r="L44" s="11" t="n"/>
      <c r="M44" s="9" t="n"/>
      <c r="N44" s="9" t="n"/>
      <c r="O44" s="9" t="n"/>
      <c r="P44" s="9" t="n"/>
      <c r="Q44" s="9" t="n"/>
      <c r="R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11" t="n"/>
      <c r="L45" s="11" t="n"/>
      <c r="M45" s="9" t="n"/>
      <c r="N45" s="9" t="n"/>
      <c r="O45" s="9" t="n"/>
      <c r="P45" s="9" t="n"/>
      <c r="Q45" s="9" t="n"/>
      <c r="R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11" t="n"/>
      <c r="L46" s="11" t="n"/>
      <c r="M46" s="9" t="n"/>
      <c r="N46" s="9" t="n"/>
      <c r="O46" s="9" t="n"/>
      <c r="P46" s="9" t="n"/>
      <c r="Q46" s="9" t="n"/>
      <c r="R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11" t="n"/>
      <c r="L47" s="11" t="n"/>
      <c r="M47" s="9" t="n"/>
      <c r="N47" s="9" t="n"/>
      <c r="O47" s="9" t="n"/>
      <c r="P47" s="9" t="n"/>
      <c r="Q47" s="9" t="n"/>
      <c r="R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1" t="n"/>
      <c r="L48" s="11" t="n"/>
      <c r="M48" s="9" t="n"/>
      <c r="N48" s="9" t="n"/>
      <c r="O48" s="9" t="n"/>
      <c r="P48" s="9" t="n"/>
      <c r="Q48" s="9" t="n"/>
      <c r="R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11" t="n"/>
      <c r="L49" s="11" t="n"/>
      <c r="M49" s="9" t="n"/>
      <c r="N49" s="9" t="n"/>
      <c r="O49" s="9" t="n"/>
      <c r="P49" s="9" t="n"/>
      <c r="Q49" s="9" t="n"/>
      <c r="R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11" t="n"/>
      <c r="L50" s="11" t="n"/>
      <c r="M50" s="9" t="n"/>
      <c r="N50" s="9" t="n"/>
      <c r="O50" s="9" t="n"/>
      <c r="P50" s="9" t="n"/>
      <c r="Q50" s="9" t="n"/>
      <c r="R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11" t="n"/>
      <c r="L51" s="11" t="n"/>
      <c r="M51" s="9" t="n"/>
      <c r="N51" s="9" t="n"/>
      <c r="O51" s="9" t="n"/>
      <c r="P51" s="9" t="n"/>
      <c r="Q51" s="9" t="n"/>
      <c r="R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1" t="n"/>
      <c r="L52" s="11" t="n"/>
      <c r="M52" s="9" t="n"/>
      <c r="N52" s="9" t="n"/>
      <c r="O52" s="9" t="n"/>
      <c r="P52" s="9" t="n"/>
      <c r="Q52" s="9" t="n"/>
      <c r="R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1" t="n"/>
      <c r="L53" s="11" t="n"/>
      <c r="M53" s="9" t="n"/>
      <c r="N53" s="9" t="n"/>
      <c r="O53" s="9" t="n"/>
      <c r="P53" s="9" t="n"/>
      <c r="Q53" s="9" t="n"/>
      <c r="R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1" t="n"/>
      <c r="L54" s="11" t="n"/>
      <c r="M54" s="9" t="n"/>
      <c r="N54" s="9" t="n"/>
      <c r="O54" s="9" t="n"/>
      <c r="P54" s="9" t="n"/>
      <c r="Q54" s="9" t="n"/>
      <c r="R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11" t="n"/>
      <c r="L55" s="11" t="n"/>
      <c r="M55" s="9" t="n"/>
      <c r="N55" s="9" t="n"/>
      <c r="O55" s="9" t="n"/>
      <c r="P55" s="9" t="n"/>
      <c r="Q55" s="9" t="n"/>
      <c r="R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11" t="n"/>
      <c r="L56" s="11" t="n"/>
      <c r="M56" s="9" t="n"/>
      <c r="N56" s="9" t="n"/>
      <c r="O56" s="9" t="n"/>
      <c r="P56" s="9" t="n"/>
      <c r="Q56" s="9" t="n"/>
      <c r="R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11" t="n"/>
      <c r="L57" s="11" t="n"/>
      <c r="M57" s="9" t="n"/>
      <c r="N57" s="9" t="n"/>
      <c r="O57" s="9" t="n"/>
      <c r="P57" s="9" t="n"/>
      <c r="Q57" s="9" t="n"/>
      <c r="R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11" t="n"/>
      <c r="L58" s="11" t="n"/>
      <c r="M58" s="9" t="n"/>
      <c r="N58" s="9" t="n"/>
      <c r="O58" s="9" t="n"/>
      <c r="P58" s="9" t="n"/>
      <c r="Q58" s="9" t="n"/>
      <c r="R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11" t="n"/>
      <c r="L59" s="11" t="n"/>
      <c r="M59" s="9" t="n"/>
      <c r="N59" s="9" t="n"/>
      <c r="O59" s="9" t="n"/>
      <c r="P59" s="9" t="n"/>
      <c r="Q59" s="9" t="n"/>
      <c r="R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11" t="n"/>
      <c r="L60" s="11" t="n"/>
      <c r="M60" s="9" t="n"/>
      <c r="N60" s="9" t="n"/>
      <c r="O60" s="9" t="n"/>
      <c r="P60" s="9" t="n"/>
      <c r="Q60" s="9" t="n"/>
      <c r="R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11" t="n"/>
      <c r="L61" s="11" t="n"/>
      <c r="M61" s="9" t="n"/>
      <c r="N61" s="9" t="n"/>
      <c r="O61" s="9" t="n"/>
      <c r="P61" s="9" t="n"/>
      <c r="Q61" s="9" t="n"/>
      <c r="R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1" t="n"/>
      <c r="L62" s="11" t="n"/>
      <c r="M62" s="9" t="n"/>
      <c r="N62" s="9" t="n"/>
      <c r="O62" s="9" t="n"/>
      <c r="P62" s="9" t="n"/>
      <c r="Q62" s="9" t="n"/>
      <c r="R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1" t="n"/>
      <c r="L63" s="11" t="n"/>
      <c r="M63" s="9" t="n"/>
      <c r="N63" s="9" t="n"/>
      <c r="O63" s="9" t="n"/>
      <c r="P63" s="9" t="n"/>
      <c r="Q63" s="9" t="n"/>
      <c r="R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1" t="n"/>
      <c r="L64" s="11" t="n"/>
      <c r="M64" s="9" t="n"/>
      <c r="N64" s="9" t="n"/>
      <c r="O64" s="9" t="n"/>
      <c r="P64" s="9" t="n"/>
      <c r="Q64" s="9" t="n"/>
      <c r="R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11" t="n"/>
      <c r="L65" s="11" t="n"/>
      <c r="M65" s="9" t="n"/>
      <c r="N65" s="9" t="n"/>
      <c r="O65" s="9" t="n"/>
      <c r="P65" s="9" t="n"/>
      <c r="Q65" s="9" t="n"/>
      <c r="R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11" t="n"/>
      <c r="L66" s="11" t="n"/>
      <c r="M66" s="9" t="n"/>
      <c r="N66" s="9" t="n"/>
      <c r="O66" s="9" t="n"/>
      <c r="P66" s="9" t="n"/>
      <c r="Q66" s="9" t="n"/>
      <c r="R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11" t="n"/>
      <c r="L67" s="11" t="n"/>
      <c r="M67" s="9" t="n"/>
      <c r="N67" s="9" t="n"/>
      <c r="O67" s="9" t="n"/>
      <c r="P67" s="9" t="n"/>
      <c r="Q67" s="9" t="n"/>
      <c r="R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11" t="n"/>
      <c r="L68" s="11" t="n"/>
      <c r="M68" s="9" t="n"/>
      <c r="N68" s="9" t="n"/>
      <c r="O68" s="9" t="n"/>
      <c r="P68" s="9" t="n"/>
      <c r="Q68" s="9" t="n"/>
      <c r="R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11" t="n"/>
      <c r="L69" s="11" t="n"/>
      <c r="M69" s="9" t="n"/>
      <c r="N69" s="9" t="n"/>
      <c r="O69" s="9" t="n"/>
      <c r="P69" s="9" t="n"/>
      <c r="Q69" s="9" t="n"/>
      <c r="R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11" t="n"/>
      <c r="L70" s="11" t="n"/>
      <c r="M70" s="9" t="n"/>
      <c r="N70" s="9" t="n"/>
      <c r="O70" s="9" t="n"/>
      <c r="P70" s="9" t="n"/>
      <c r="Q70" s="9" t="n"/>
      <c r="R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11" t="n"/>
      <c r="L71" s="11" t="n"/>
      <c r="M71" s="9" t="n"/>
      <c r="N71" s="9" t="n"/>
      <c r="O71" s="9" t="n"/>
      <c r="P71" s="9" t="n"/>
      <c r="Q71" s="9" t="n"/>
      <c r="R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1" t="n"/>
      <c r="L72" s="11" t="n"/>
      <c r="M72" s="9" t="n"/>
      <c r="N72" s="9" t="n"/>
      <c r="O72" s="9" t="n"/>
      <c r="P72" s="9" t="n"/>
      <c r="Q72" s="9" t="n"/>
      <c r="R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1" t="n"/>
      <c r="L73" s="11" t="n"/>
      <c r="M73" s="9" t="n"/>
      <c r="N73" s="9" t="n"/>
      <c r="O73" s="9" t="n"/>
      <c r="P73" s="9" t="n"/>
      <c r="Q73" s="9" t="n"/>
      <c r="R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1" t="n"/>
      <c r="L74" s="11" t="n"/>
      <c r="M74" s="9" t="n"/>
      <c r="N74" s="9" t="n"/>
      <c r="O74" s="9" t="n"/>
      <c r="P74" s="9" t="n"/>
      <c r="Q74" s="9" t="n"/>
      <c r="R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11" t="n"/>
      <c r="L75" s="11" t="n"/>
      <c r="M75" s="9" t="n"/>
      <c r="N75" s="9" t="n"/>
      <c r="O75" s="9" t="n"/>
      <c r="P75" s="9" t="n"/>
      <c r="Q75" s="9" t="n"/>
      <c r="R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11" t="n"/>
      <c r="L76" s="11" t="n"/>
      <c r="M76" s="9" t="n"/>
      <c r="N76" s="9" t="n"/>
      <c r="O76" s="9" t="n"/>
      <c r="P76" s="9" t="n"/>
      <c r="Q76" s="9" t="n"/>
      <c r="R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11" t="n"/>
      <c r="L77" s="11" t="n"/>
      <c r="M77" s="9" t="n"/>
      <c r="N77" s="9" t="n"/>
      <c r="O77" s="9" t="n"/>
      <c r="P77" s="9" t="n"/>
      <c r="Q77" s="9" t="n"/>
      <c r="R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11" t="n"/>
      <c r="L78" s="11" t="n"/>
      <c r="M78" s="9" t="n"/>
      <c r="N78" s="9" t="n"/>
      <c r="O78" s="9" t="n"/>
      <c r="P78" s="9" t="n"/>
      <c r="Q78" s="9" t="n"/>
      <c r="R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11" t="n"/>
      <c r="L79" s="11" t="n"/>
      <c r="M79" s="9" t="n"/>
      <c r="N79" s="9" t="n"/>
      <c r="O79" s="9" t="n"/>
      <c r="P79" s="9" t="n"/>
      <c r="Q79" s="9" t="n"/>
      <c r="R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11" t="n"/>
      <c r="L80" s="11" t="n"/>
      <c r="M80" s="9" t="n"/>
      <c r="N80" s="9" t="n"/>
      <c r="O80" s="9" t="n"/>
      <c r="P80" s="9" t="n"/>
      <c r="Q80" s="9" t="n"/>
      <c r="R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11" t="n"/>
      <c r="L81" s="11" t="n"/>
      <c r="M81" s="9" t="n"/>
      <c r="N81" s="9" t="n"/>
      <c r="O81" s="9" t="n"/>
      <c r="P81" s="9" t="n"/>
      <c r="Q81" s="9" t="n"/>
      <c r="R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11" t="n"/>
      <c r="L82" s="11" t="n"/>
      <c r="M82" s="9" t="n"/>
      <c r="N82" s="9" t="n"/>
      <c r="O82" s="9" t="n"/>
      <c r="P82" s="9" t="n"/>
      <c r="Q82" s="9" t="n"/>
      <c r="R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11" t="n"/>
      <c r="L83" s="11" t="n"/>
      <c r="M83" s="9" t="n"/>
      <c r="N83" s="9" t="n"/>
      <c r="O83" s="9" t="n"/>
      <c r="P83" s="9" t="n"/>
      <c r="Q83" s="9" t="n"/>
      <c r="R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11" t="n"/>
      <c r="L84" s="11" t="n"/>
      <c r="M84" s="9" t="n"/>
      <c r="N84" s="9" t="n"/>
      <c r="O84" s="9" t="n"/>
      <c r="P84" s="9" t="n"/>
      <c r="Q84" s="9" t="n"/>
      <c r="R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11" t="n"/>
      <c r="L85" s="11" t="n"/>
      <c r="M85" s="9" t="n"/>
      <c r="N85" s="9" t="n"/>
      <c r="O85" s="9" t="n"/>
      <c r="P85" s="9" t="n"/>
      <c r="Q85" s="9" t="n"/>
      <c r="R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11" t="n"/>
      <c r="L86" s="11" t="n"/>
      <c r="M86" s="9" t="n"/>
      <c r="N86" s="9" t="n"/>
      <c r="O86" s="9" t="n"/>
      <c r="P86" s="9" t="n"/>
      <c r="Q86" s="9" t="n"/>
      <c r="R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11" t="n"/>
      <c r="L87" s="11" t="n"/>
      <c r="M87" s="9" t="n"/>
      <c r="N87" s="9" t="n"/>
      <c r="O87" s="9" t="n"/>
      <c r="P87" s="9" t="n"/>
      <c r="Q87" s="9" t="n"/>
      <c r="R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11" t="n"/>
      <c r="L88" s="11" t="n"/>
      <c r="M88" s="9" t="n"/>
      <c r="N88" s="9" t="n"/>
      <c r="O88" s="9" t="n"/>
      <c r="P88" s="9" t="n"/>
      <c r="Q88" s="9" t="n"/>
      <c r="R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11" t="n"/>
      <c r="L89" s="11" t="n"/>
      <c r="M89" s="9" t="n"/>
      <c r="N89" s="9" t="n"/>
      <c r="O89" s="9" t="n"/>
      <c r="P89" s="9" t="n"/>
      <c r="Q89" s="9" t="n"/>
      <c r="R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11" t="n"/>
      <c r="L90" s="11" t="n"/>
      <c r="M90" s="9" t="n"/>
      <c r="N90" s="9" t="n"/>
      <c r="O90" s="9" t="n"/>
      <c r="P90" s="9" t="n"/>
      <c r="Q90" s="9" t="n"/>
      <c r="R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11" t="n"/>
      <c r="L91" s="11" t="n"/>
      <c r="M91" s="9" t="n"/>
      <c r="N91" s="9" t="n"/>
      <c r="O91" s="9" t="n"/>
      <c r="P91" s="9" t="n"/>
      <c r="Q91" s="9" t="n"/>
      <c r="R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11" t="n"/>
      <c r="L92" s="11" t="n"/>
      <c r="M92" s="9" t="n"/>
      <c r="N92" s="9" t="n"/>
      <c r="O92" s="9" t="n"/>
      <c r="P92" s="9" t="n"/>
      <c r="Q92" s="9" t="n"/>
      <c r="R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11" t="n"/>
      <c r="L93" s="11" t="n"/>
      <c r="M93" s="9" t="n"/>
      <c r="N93" s="9" t="n"/>
      <c r="O93" s="9" t="n"/>
      <c r="P93" s="9" t="n"/>
      <c r="Q93" s="9" t="n"/>
      <c r="R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11" t="n"/>
      <c r="L94" s="11" t="n"/>
      <c r="M94" s="9" t="n"/>
      <c r="N94" s="9" t="n"/>
      <c r="O94" s="9" t="n"/>
      <c r="P94" s="9" t="n"/>
      <c r="Q94" s="9" t="n"/>
      <c r="R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11" t="n"/>
      <c r="L95" s="11" t="n"/>
      <c r="M95" s="9" t="n"/>
      <c r="N95" s="9" t="n"/>
      <c r="O95" s="9" t="n"/>
      <c r="P95" s="9" t="n"/>
      <c r="Q95" s="9" t="n"/>
      <c r="R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11" t="n"/>
      <c r="L96" s="11" t="n"/>
      <c r="M96" s="9" t="n"/>
      <c r="N96" s="9" t="n"/>
      <c r="O96" s="9" t="n"/>
      <c r="P96" s="9" t="n"/>
      <c r="Q96" s="9" t="n"/>
      <c r="R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11" t="n"/>
      <c r="L97" s="11" t="n"/>
      <c r="M97" s="9" t="n"/>
      <c r="N97" s="9" t="n"/>
      <c r="O97" s="9" t="n"/>
      <c r="P97" s="9" t="n"/>
      <c r="Q97" s="9" t="n"/>
      <c r="R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11" t="n"/>
      <c r="L98" s="11" t="n"/>
      <c r="M98" s="9" t="n"/>
      <c r="N98" s="9" t="n"/>
      <c r="O98" s="9" t="n"/>
      <c r="P98" s="9" t="n"/>
      <c r="Q98" s="9" t="n"/>
      <c r="R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11" t="n"/>
      <c r="L99" s="11" t="n"/>
      <c r="M99" s="9" t="n"/>
      <c r="N99" s="9" t="n"/>
      <c r="O99" s="9" t="n"/>
      <c r="P99" s="9" t="n"/>
      <c r="Q99" s="9" t="n"/>
      <c r="R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11" t="n"/>
      <c r="L100" s="11" t="n"/>
      <c r="M100" s="9" t="n"/>
      <c r="N100" s="9" t="n"/>
      <c r="O100" s="9" t="n"/>
      <c r="P100" s="9" t="n"/>
      <c r="Q100" s="9" t="n"/>
      <c r="R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11" t="n"/>
      <c r="L101" s="11" t="n"/>
      <c r="M101" s="9" t="n"/>
      <c r="N101" s="9" t="n"/>
      <c r="O101" s="9" t="n"/>
      <c r="P101" s="9" t="n"/>
      <c r="Q101" s="9" t="n"/>
      <c r="R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11" t="n"/>
      <c r="L102" s="11" t="n"/>
      <c r="M102" s="9" t="n"/>
      <c r="N102" s="9" t="n"/>
      <c r="O102" s="9" t="n"/>
      <c r="P102" s="9" t="n"/>
      <c r="Q102" s="9" t="n"/>
      <c r="R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11" t="n"/>
      <c r="L103" s="11" t="n"/>
      <c r="M103" s="9" t="n"/>
      <c r="N103" s="9" t="n"/>
      <c r="O103" s="9" t="n"/>
      <c r="P103" s="9" t="n"/>
      <c r="Q103" s="9" t="n"/>
      <c r="R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11" t="n"/>
      <c r="L104" s="11" t="n"/>
      <c r="M104" s="9" t="n"/>
      <c r="N104" s="9" t="n"/>
      <c r="O104" s="9" t="n"/>
      <c r="P104" s="9" t="n"/>
      <c r="Q104" s="9" t="n"/>
      <c r="R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11" t="n"/>
      <c r="L105" s="11" t="n"/>
      <c r="M105" s="9" t="n"/>
      <c r="N105" s="9" t="n"/>
      <c r="O105" s="9" t="n"/>
      <c r="P105" s="9" t="n"/>
      <c r="Q105" s="9" t="n"/>
      <c r="R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11" t="n"/>
      <c r="L106" s="11" t="n"/>
      <c r="M106" s="9" t="n"/>
      <c r="N106" s="9" t="n"/>
      <c r="O106" s="9" t="n"/>
      <c r="P106" s="9" t="n"/>
      <c r="Q106" s="9" t="n"/>
      <c r="R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11" t="n"/>
      <c r="L107" s="11" t="n"/>
      <c r="M107" s="9" t="n"/>
      <c r="N107" s="9" t="n"/>
      <c r="O107" s="9" t="n"/>
      <c r="P107" s="9" t="n"/>
      <c r="Q107" s="9" t="n"/>
      <c r="R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1" t="n"/>
      <c r="L108" s="11" t="n"/>
      <c r="M108" s="9" t="n"/>
      <c r="N108" s="9" t="n"/>
      <c r="O108" s="9" t="n"/>
      <c r="P108" s="9" t="n"/>
      <c r="Q108" s="9" t="n"/>
      <c r="R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11" t="n"/>
      <c r="L109" s="11" t="n"/>
      <c r="M109" s="9" t="n"/>
      <c r="N109" s="9" t="n"/>
      <c r="O109" s="9" t="n"/>
      <c r="P109" s="9" t="n"/>
      <c r="Q109" s="9" t="n"/>
      <c r="R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1" t="n"/>
      <c r="L110" s="11" t="n"/>
      <c r="M110" s="9" t="n"/>
      <c r="N110" s="9" t="n"/>
      <c r="O110" s="9" t="n"/>
      <c r="P110" s="9" t="n"/>
      <c r="Q110" s="9" t="n"/>
      <c r="R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11" t="n"/>
      <c r="L111" s="11" t="n"/>
      <c r="M111" s="9" t="n"/>
      <c r="N111" s="9" t="n"/>
      <c r="O111" s="9" t="n"/>
      <c r="P111" s="9" t="n"/>
      <c r="Q111" s="9" t="n"/>
      <c r="R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11" t="n"/>
      <c r="L112" s="11" t="n"/>
      <c r="M112" s="9" t="n"/>
      <c r="N112" s="9" t="n"/>
      <c r="O112" s="9" t="n"/>
      <c r="P112" s="9" t="n"/>
      <c r="Q112" s="9" t="n"/>
      <c r="R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11" t="n"/>
      <c r="L113" s="11" t="n"/>
      <c r="M113" s="9" t="n"/>
      <c r="N113" s="9" t="n"/>
      <c r="O113" s="9" t="n"/>
      <c r="P113" s="9" t="n"/>
      <c r="Q113" s="9" t="n"/>
      <c r="R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1" t="n"/>
      <c r="L114" s="11" t="n"/>
      <c r="M114" s="9" t="n"/>
      <c r="N114" s="9" t="n"/>
      <c r="O114" s="9" t="n"/>
      <c r="P114" s="9" t="n"/>
      <c r="Q114" s="9" t="n"/>
      <c r="R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11" t="n"/>
      <c r="L115" s="11" t="n"/>
      <c r="M115" s="9" t="n"/>
      <c r="N115" s="9" t="n"/>
      <c r="O115" s="9" t="n"/>
      <c r="P115" s="9" t="n"/>
      <c r="Q115" s="9" t="n"/>
      <c r="R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11" t="n"/>
      <c r="L116" s="11" t="n"/>
      <c r="M116" s="9" t="n"/>
      <c r="N116" s="9" t="n"/>
      <c r="O116" s="9" t="n"/>
      <c r="P116" s="9" t="n"/>
      <c r="Q116" s="9" t="n"/>
      <c r="R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11" t="n"/>
      <c r="L117" s="11" t="n"/>
      <c r="M117" s="9" t="n"/>
      <c r="N117" s="9" t="n"/>
      <c r="O117" s="9" t="n"/>
      <c r="P117" s="9" t="n"/>
      <c r="Q117" s="9" t="n"/>
      <c r="R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11" t="n"/>
      <c r="L118" s="11" t="n"/>
      <c r="M118" s="9" t="n"/>
      <c r="N118" s="9" t="n"/>
      <c r="O118" s="9" t="n"/>
      <c r="P118" s="9" t="n"/>
      <c r="Q118" s="9" t="n"/>
      <c r="R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11" t="n"/>
      <c r="L119" s="11" t="n"/>
      <c r="M119" s="9" t="n"/>
      <c r="N119" s="9" t="n"/>
      <c r="O119" s="9" t="n"/>
      <c r="P119" s="9" t="n"/>
      <c r="Q119" s="9" t="n"/>
      <c r="R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11" t="n"/>
      <c r="L120" s="11" t="n"/>
      <c r="M120" s="9" t="n"/>
      <c r="N120" s="9" t="n"/>
      <c r="O120" s="9" t="n"/>
      <c r="P120" s="9" t="n"/>
      <c r="Q120" s="9" t="n"/>
      <c r="R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11" t="n"/>
      <c r="L121" s="11" t="n"/>
      <c r="M121" s="9" t="n"/>
      <c r="N121" s="9" t="n"/>
      <c r="O121" s="9" t="n"/>
      <c r="P121" s="9" t="n"/>
      <c r="Q121" s="9" t="n"/>
      <c r="R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11" t="n"/>
      <c r="L122" s="11" t="n"/>
      <c r="M122" s="9" t="n"/>
      <c r="N122" s="9" t="n"/>
      <c r="O122" s="9" t="n"/>
      <c r="P122" s="9" t="n"/>
      <c r="Q122" s="9" t="n"/>
      <c r="R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11" t="n"/>
      <c r="L123" s="11" t="n"/>
      <c r="M123" s="9" t="n"/>
      <c r="N123" s="9" t="n"/>
      <c r="O123" s="9" t="n"/>
      <c r="P123" s="9" t="n"/>
      <c r="Q123" s="9" t="n"/>
      <c r="R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11" t="n"/>
      <c r="L124" s="11" t="n"/>
      <c r="M124" s="9" t="n"/>
      <c r="N124" s="9" t="n"/>
      <c r="O124" s="9" t="n"/>
      <c r="P124" s="9" t="n"/>
      <c r="Q124" s="9" t="n"/>
      <c r="R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11" t="n"/>
      <c r="L125" s="11" t="n"/>
      <c r="M125" s="9" t="n"/>
      <c r="N125" s="9" t="n"/>
      <c r="O125" s="9" t="n"/>
      <c r="P125" s="9" t="n"/>
      <c r="Q125" s="9" t="n"/>
      <c r="R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11" t="n"/>
      <c r="L126" s="11" t="n"/>
      <c r="M126" s="9" t="n"/>
      <c r="N126" s="9" t="n"/>
      <c r="O126" s="9" t="n"/>
      <c r="P126" s="9" t="n"/>
      <c r="Q126" s="9" t="n"/>
      <c r="R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11" t="n"/>
      <c r="L127" s="11" t="n"/>
      <c r="M127" s="9" t="n"/>
      <c r="N127" s="9" t="n"/>
      <c r="O127" s="9" t="n"/>
      <c r="P127" s="9" t="n"/>
      <c r="Q127" s="9" t="n"/>
      <c r="R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11" t="n"/>
      <c r="L128" s="11" t="n"/>
      <c r="M128" s="9" t="n"/>
      <c r="N128" s="9" t="n"/>
      <c r="O128" s="9" t="n"/>
      <c r="P128" s="9" t="n"/>
      <c r="Q128" s="9" t="n"/>
      <c r="R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11" t="n"/>
      <c r="L129" s="11" t="n"/>
      <c r="M129" s="9" t="n"/>
      <c r="N129" s="9" t="n"/>
      <c r="O129" s="9" t="n"/>
      <c r="P129" s="9" t="n"/>
      <c r="Q129" s="9" t="n"/>
      <c r="R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11" t="n"/>
      <c r="L130" s="11" t="n"/>
      <c r="M130" s="9" t="n"/>
      <c r="N130" s="9" t="n"/>
      <c r="O130" s="9" t="n"/>
      <c r="P130" s="9" t="n"/>
      <c r="Q130" s="9" t="n"/>
      <c r="R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11" t="n"/>
      <c r="L131" s="11" t="n"/>
      <c r="M131" s="9" t="n"/>
      <c r="N131" s="9" t="n"/>
      <c r="O131" s="9" t="n"/>
      <c r="P131" s="9" t="n"/>
      <c r="Q131" s="9" t="n"/>
      <c r="R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1" t="n"/>
      <c r="L132" s="11" t="n"/>
      <c r="M132" s="9" t="n"/>
      <c r="N132" s="9" t="n"/>
      <c r="O132" s="9" t="n"/>
      <c r="P132" s="9" t="n"/>
      <c r="Q132" s="9" t="n"/>
      <c r="R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11" t="n"/>
      <c r="M133" s="9" t="n"/>
      <c r="N133" s="9" t="n"/>
      <c r="O133" s="9" t="n"/>
      <c r="P133" s="9" t="n"/>
      <c r="Q133" s="9" t="n"/>
      <c r="R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11" t="n"/>
      <c r="M134" s="9" t="n"/>
      <c r="N134" s="9" t="n"/>
      <c r="O134" s="9" t="n"/>
      <c r="P134" s="9" t="n"/>
      <c r="Q134" s="9" t="n"/>
      <c r="R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11" t="n"/>
      <c r="L135" s="11" t="n"/>
      <c r="M135" s="9" t="n"/>
      <c r="N135" s="9" t="n"/>
      <c r="O135" s="9" t="n"/>
      <c r="P135" s="9" t="n"/>
      <c r="Q135" s="9" t="n"/>
      <c r="R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11" t="n"/>
      <c r="L136" s="11" t="n"/>
      <c r="M136" s="9" t="n"/>
      <c r="N136" s="9" t="n"/>
      <c r="O136" s="9" t="n"/>
      <c r="P136" s="9" t="n"/>
      <c r="Q136" s="9" t="n"/>
      <c r="R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11" t="n"/>
      <c r="L137" s="11" t="n"/>
      <c r="M137" s="9" t="n"/>
      <c r="N137" s="9" t="n"/>
      <c r="O137" s="9" t="n"/>
      <c r="P137" s="9" t="n"/>
      <c r="Q137" s="9" t="n"/>
      <c r="R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1" t="n"/>
      <c r="L138" s="11" t="n"/>
      <c r="M138" s="9" t="n"/>
      <c r="N138" s="9" t="n"/>
      <c r="O138" s="9" t="n"/>
      <c r="P138" s="9" t="n"/>
      <c r="Q138" s="9" t="n"/>
      <c r="R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11" t="n"/>
      <c r="L139" s="11" t="n"/>
      <c r="M139" s="9" t="n"/>
      <c r="N139" s="9" t="n"/>
      <c r="O139" s="9" t="n"/>
      <c r="P139" s="9" t="n"/>
      <c r="Q139" s="9" t="n"/>
      <c r="R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11" t="n"/>
      <c r="L140" s="11" t="n"/>
      <c r="M140" s="9" t="n"/>
      <c r="N140" s="9" t="n"/>
      <c r="O140" s="9" t="n"/>
      <c r="P140" s="9" t="n"/>
      <c r="Q140" s="9" t="n"/>
      <c r="R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11" t="n"/>
      <c r="L141" s="11" t="n"/>
      <c r="M141" s="9" t="n"/>
      <c r="N141" s="9" t="n"/>
      <c r="O141" s="9" t="n"/>
      <c r="P141" s="9" t="n"/>
      <c r="Q141" s="9" t="n"/>
      <c r="R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11" t="n"/>
      <c r="L142" s="11" t="n"/>
      <c r="M142" s="9" t="n"/>
      <c r="N142" s="9" t="n"/>
      <c r="O142" s="9" t="n"/>
      <c r="P142" s="9" t="n"/>
      <c r="Q142" s="9" t="n"/>
      <c r="R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11" t="n"/>
      <c r="L143" s="11" t="n"/>
      <c r="M143" s="9" t="n"/>
      <c r="N143" s="9" t="n"/>
      <c r="O143" s="9" t="n"/>
      <c r="P143" s="9" t="n"/>
      <c r="Q143" s="9" t="n"/>
      <c r="R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11" t="n"/>
      <c r="L144" s="11" t="n"/>
      <c r="M144" s="9" t="n"/>
      <c r="N144" s="9" t="n"/>
      <c r="O144" s="9" t="n"/>
      <c r="P144" s="9" t="n"/>
      <c r="Q144" s="9" t="n"/>
      <c r="R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11" t="n"/>
      <c r="L145" s="11" t="n"/>
      <c r="M145" s="9" t="n"/>
      <c r="N145" s="9" t="n"/>
      <c r="O145" s="9" t="n"/>
      <c r="P145" s="9" t="n"/>
      <c r="Q145" s="9" t="n"/>
      <c r="R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11" t="n"/>
      <c r="L146" s="11" t="n"/>
      <c r="M146" s="9" t="n"/>
      <c r="N146" s="9" t="n"/>
      <c r="O146" s="9" t="n"/>
      <c r="P146" s="9" t="n"/>
      <c r="Q146" s="9" t="n"/>
      <c r="R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11" t="n"/>
      <c r="L147" s="11" t="n"/>
      <c r="M147" s="9" t="n"/>
      <c r="N147" s="9" t="n"/>
      <c r="O147" s="9" t="n"/>
      <c r="P147" s="9" t="n"/>
      <c r="Q147" s="9" t="n"/>
      <c r="R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11" t="n"/>
      <c r="L148" s="11" t="n"/>
      <c r="M148" s="9" t="n"/>
      <c r="N148" s="9" t="n"/>
      <c r="O148" s="9" t="n"/>
      <c r="P148" s="9" t="n"/>
      <c r="Q148" s="9" t="n"/>
      <c r="R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11" t="n"/>
      <c r="L149" s="11" t="n"/>
      <c r="M149" s="9" t="n"/>
      <c r="N149" s="9" t="n"/>
      <c r="O149" s="9" t="n"/>
      <c r="P149" s="9" t="n"/>
      <c r="Q149" s="9" t="n"/>
      <c r="R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1" t="n"/>
      <c r="L150" s="11" t="n"/>
      <c r="M150" s="9" t="n"/>
      <c r="N150" s="9" t="n"/>
      <c r="O150" s="9" t="n"/>
      <c r="P150" s="9" t="n"/>
      <c r="Q150" s="9" t="n"/>
      <c r="R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11" t="n"/>
      <c r="L151" s="11" t="n"/>
      <c r="M151" s="9" t="n"/>
      <c r="N151" s="9" t="n"/>
      <c r="O151" s="9" t="n"/>
      <c r="P151" s="9" t="n"/>
      <c r="Q151" s="9" t="n"/>
      <c r="R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11" t="n"/>
      <c r="L152" s="11" t="n"/>
      <c r="M152" s="9" t="n"/>
      <c r="N152" s="9" t="n"/>
      <c r="O152" s="9" t="n"/>
      <c r="P152" s="9" t="n"/>
      <c r="Q152" s="9" t="n"/>
      <c r="R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11" t="n"/>
      <c r="L153" s="11" t="n"/>
      <c r="M153" s="9" t="n"/>
      <c r="N153" s="9" t="n"/>
      <c r="O153" s="9" t="n"/>
      <c r="P153" s="9" t="n"/>
      <c r="Q153" s="9" t="n"/>
      <c r="R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11" t="n"/>
      <c r="L154" s="11" t="n"/>
      <c r="M154" s="9" t="n"/>
      <c r="N154" s="9" t="n"/>
      <c r="O154" s="9" t="n"/>
      <c r="P154" s="9" t="n"/>
      <c r="Q154" s="9" t="n"/>
      <c r="R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11" t="n"/>
      <c r="L155" s="11" t="n"/>
      <c r="M155" s="9" t="n"/>
      <c r="N155" s="9" t="n"/>
      <c r="O155" s="9" t="n"/>
      <c r="P155" s="9" t="n"/>
      <c r="Q155" s="9" t="n"/>
      <c r="R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1" t="n"/>
      <c r="L156" s="11" t="n"/>
      <c r="M156" s="9" t="n"/>
      <c r="N156" s="9" t="n"/>
      <c r="O156" s="9" t="n"/>
      <c r="P156" s="9" t="n"/>
      <c r="Q156" s="9" t="n"/>
      <c r="R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11" t="n"/>
      <c r="L157" s="11" t="n"/>
      <c r="M157" s="9" t="n"/>
      <c r="N157" s="9" t="n"/>
      <c r="O157" s="9" t="n"/>
      <c r="P157" s="9" t="n"/>
      <c r="Q157" s="9" t="n"/>
      <c r="R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11" t="n"/>
      <c r="L158" s="11" t="n"/>
      <c r="M158" s="9" t="n"/>
      <c r="N158" s="9" t="n"/>
      <c r="O158" s="9" t="n"/>
      <c r="P158" s="9" t="n"/>
      <c r="Q158" s="9" t="n"/>
      <c r="R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11" t="n"/>
      <c r="L159" s="11" t="n"/>
      <c r="M159" s="9" t="n"/>
      <c r="N159" s="9" t="n"/>
      <c r="O159" s="9" t="n"/>
      <c r="P159" s="9" t="n"/>
      <c r="Q159" s="9" t="n"/>
      <c r="R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11" t="n"/>
      <c r="L160" s="11" t="n"/>
      <c r="M160" s="9" t="n"/>
      <c r="N160" s="9" t="n"/>
      <c r="O160" s="9" t="n"/>
      <c r="P160" s="9" t="n"/>
      <c r="Q160" s="9" t="n"/>
      <c r="R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11" t="n"/>
      <c r="M161" s="9" t="n"/>
      <c r="N161" s="9" t="n"/>
      <c r="O161" s="9" t="n"/>
      <c r="P161" s="9" t="n"/>
      <c r="Q161" s="9" t="n"/>
      <c r="R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11" t="n"/>
      <c r="M162" s="9" t="n"/>
      <c r="N162" s="9" t="n"/>
      <c r="O162" s="9" t="n"/>
      <c r="P162" s="9" t="n"/>
      <c r="Q162" s="9" t="n"/>
      <c r="R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11" t="n"/>
      <c r="L163" s="11" t="n"/>
      <c r="M163" s="9" t="n"/>
      <c r="N163" s="9" t="n"/>
      <c r="O163" s="9" t="n"/>
      <c r="P163" s="9" t="n"/>
      <c r="Q163" s="9" t="n"/>
      <c r="R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11" t="n"/>
      <c r="L164" s="11" t="n"/>
      <c r="M164" s="9" t="n"/>
      <c r="N164" s="9" t="n"/>
      <c r="O164" s="9" t="n"/>
      <c r="P164" s="9" t="n"/>
      <c r="Q164" s="9" t="n"/>
      <c r="R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11" t="n"/>
      <c r="L165" s="11" t="n"/>
      <c r="M165" s="9" t="n"/>
      <c r="N165" s="9" t="n"/>
      <c r="O165" s="9" t="n"/>
      <c r="P165" s="9" t="n"/>
      <c r="Q165" s="9" t="n"/>
      <c r="R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11" t="n"/>
      <c r="L166" s="11" t="n"/>
      <c r="M166" s="9" t="n"/>
      <c r="N166" s="9" t="n"/>
      <c r="O166" s="9" t="n"/>
      <c r="P166" s="9" t="n"/>
      <c r="Q166" s="9" t="n"/>
      <c r="R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11" t="n"/>
      <c r="L167" s="11" t="n"/>
      <c r="M167" s="9" t="n"/>
      <c r="N167" s="9" t="n"/>
      <c r="O167" s="9" t="n"/>
      <c r="P167" s="9" t="n"/>
      <c r="Q167" s="9" t="n"/>
      <c r="R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11" t="n"/>
      <c r="L168" s="11" t="n"/>
      <c r="M168" s="9" t="n"/>
      <c r="N168" s="9" t="n"/>
      <c r="O168" s="9" t="n"/>
      <c r="P168" s="9" t="n"/>
      <c r="Q168" s="9" t="n"/>
      <c r="R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11" t="n"/>
      <c r="L169" s="11" t="n"/>
      <c r="M169" s="9" t="n"/>
      <c r="N169" s="9" t="n"/>
      <c r="O169" s="9" t="n"/>
      <c r="P169" s="9" t="n"/>
      <c r="Q169" s="9" t="n"/>
      <c r="R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11" t="n"/>
      <c r="L170" s="11" t="n"/>
      <c r="M170" s="9" t="n"/>
      <c r="N170" s="9" t="n"/>
      <c r="O170" s="9" t="n"/>
      <c r="P170" s="9" t="n"/>
      <c r="Q170" s="9" t="n"/>
      <c r="R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11" t="n"/>
      <c r="L171" s="11" t="n"/>
      <c r="M171" s="9" t="n"/>
      <c r="N171" s="9" t="n"/>
      <c r="O171" s="9" t="n"/>
      <c r="P171" s="9" t="n"/>
      <c r="Q171" s="9" t="n"/>
      <c r="R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11" t="n"/>
      <c r="L172" s="11" t="n"/>
      <c r="M172" s="9" t="n"/>
      <c r="N172" s="9" t="n"/>
      <c r="O172" s="9" t="n"/>
      <c r="P172" s="9" t="n"/>
      <c r="Q172" s="9" t="n"/>
      <c r="R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1" t="n"/>
      <c r="L173" s="11" t="n"/>
      <c r="M173" s="9" t="n"/>
      <c r="N173" s="9" t="n"/>
      <c r="O173" s="9" t="n"/>
      <c r="P173" s="9" t="n"/>
      <c r="Q173" s="9" t="n"/>
      <c r="R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11" t="n"/>
      <c r="L174" s="11" t="n"/>
      <c r="M174" s="9" t="n"/>
      <c r="N174" s="9" t="n"/>
      <c r="O174" s="9" t="n"/>
      <c r="P174" s="9" t="n"/>
      <c r="Q174" s="9" t="n"/>
      <c r="R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11" t="n"/>
      <c r="L175" s="11" t="n"/>
      <c r="M175" s="9" t="n"/>
      <c r="N175" s="9" t="n"/>
      <c r="O175" s="9" t="n"/>
      <c r="P175" s="9" t="n"/>
      <c r="Q175" s="9" t="n"/>
      <c r="R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11" t="n"/>
      <c r="L176" s="11" t="n"/>
      <c r="M176" s="9" t="n"/>
      <c r="N176" s="9" t="n"/>
      <c r="O176" s="9" t="n"/>
      <c r="P176" s="9" t="n"/>
      <c r="Q176" s="9" t="n"/>
      <c r="R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11" t="n"/>
      <c r="L177" s="11" t="n"/>
      <c r="M177" s="9" t="n"/>
      <c r="N177" s="9" t="n"/>
      <c r="O177" s="9" t="n"/>
      <c r="P177" s="9" t="n"/>
      <c r="Q177" s="9" t="n"/>
      <c r="R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11" t="n"/>
      <c r="L178" s="11" t="n"/>
      <c r="M178" s="9" t="n"/>
      <c r="N178" s="9" t="n"/>
      <c r="O178" s="9" t="n"/>
      <c r="P178" s="9" t="n"/>
      <c r="Q178" s="9" t="n"/>
      <c r="R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11" t="n"/>
      <c r="L179" s="11" t="n"/>
      <c r="M179" s="9" t="n"/>
      <c r="N179" s="9" t="n"/>
      <c r="O179" s="9" t="n"/>
      <c r="P179" s="9" t="n"/>
      <c r="Q179" s="9" t="n"/>
      <c r="R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11" t="n"/>
      <c r="L180" s="11" t="n"/>
      <c r="M180" s="9" t="n"/>
      <c r="N180" s="9" t="n"/>
      <c r="O180" s="9" t="n"/>
      <c r="P180" s="9" t="n"/>
      <c r="Q180" s="9" t="n"/>
      <c r="R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11" t="n"/>
      <c r="L181" s="11" t="n"/>
      <c r="M181" s="9" t="n"/>
      <c r="N181" s="9" t="n"/>
      <c r="O181" s="9" t="n"/>
      <c r="P181" s="9" t="n"/>
      <c r="Q181" s="9" t="n"/>
      <c r="R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11" t="n"/>
      <c r="L182" s="11" t="n"/>
      <c r="M182" s="9" t="n"/>
      <c r="N182" s="9" t="n"/>
      <c r="O182" s="9" t="n"/>
      <c r="P182" s="9" t="n"/>
      <c r="Q182" s="9" t="n"/>
      <c r="R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11" t="n"/>
      <c r="L183" s="11" t="n"/>
      <c r="M183" s="9" t="n"/>
      <c r="N183" s="9" t="n"/>
      <c r="O183" s="9" t="n"/>
      <c r="P183" s="9" t="n"/>
      <c r="Q183" s="9" t="n"/>
      <c r="R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11" t="n"/>
      <c r="L184" s="11" t="n"/>
      <c r="M184" s="9" t="n"/>
      <c r="N184" s="9" t="n"/>
      <c r="O184" s="9" t="n"/>
      <c r="P184" s="9" t="n"/>
      <c r="Q184" s="9" t="n"/>
      <c r="R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11" t="n"/>
      <c r="L185" s="11" t="n"/>
      <c r="M185" s="9" t="n"/>
      <c r="N185" s="9" t="n"/>
      <c r="O185" s="9" t="n"/>
      <c r="P185" s="9" t="n"/>
      <c r="Q185" s="9" t="n"/>
      <c r="R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11" t="n"/>
      <c r="L186" s="11" t="n"/>
      <c r="M186" s="9" t="n"/>
      <c r="N186" s="9" t="n"/>
      <c r="O186" s="9" t="n"/>
      <c r="P186" s="9" t="n"/>
      <c r="Q186" s="9" t="n"/>
      <c r="R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11" t="n"/>
      <c r="L187" s="11" t="n"/>
      <c r="M187" s="9" t="n"/>
      <c r="N187" s="9" t="n"/>
      <c r="O187" s="9" t="n"/>
      <c r="P187" s="9" t="n"/>
      <c r="Q187" s="9" t="n"/>
      <c r="R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11" t="n"/>
      <c r="L188" s="11" t="n"/>
      <c r="M188" s="9" t="n"/>
      <c r="N188" s="9" t="n"/>
      <c r="O188" s="9" t="n"/>
      <c r="P188" s="9" t="n"/>
      <c r="Q188" s="9" t="n"/>
      <c r="R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11" t="n"/>
      <c r="L189" s="11" t="n"/>
      <c r="M189" s="9" t="n"/>
      <c r="N189" s="9" t="n"/>
      <c r="O189" s="9" t="n"/>
      <c r="P189" s="9" t="n"/>
      <c r="Q189" s="9" t="n"/>
      <c r="R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11" t="n"/>
      <c r="L190" s="11" t="n"/>
      <c r="M190" s="9" t="n"/>
      <c r="N190" s="9" t="n"/>
      <c r="O190" s="9" t="n"/>
      <c r="P190" s="9" t="n"/>
      <c r="Q190" s="9" t="n"/>
      <c r="R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11" t="n"/>
      <c r="L191" s="11" t="n"/>
      <c r="M191" s="9" t="n"/>
      <c r="N191" s="9" t="n"/>
      <c r="O191" s="9" t="n"/>
      <c r="P191" s="9" t="n"/>
      <c r="Q191" s="9" t="n"/>
      <c r="R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11" t="n"/>
      <c r="L192" s="11" t="n"/>
      <c r="M192" s="9" t="n"/>
      <c r="N192" s="9" t="n"/>
      <c r="O192" s="9" t="n"/>
      <c r="P192" s="9" t="n"/>
      <c r="Q192" s="9" t="n"/>
      <c r="R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11" t="n"/>
      <c r="L193" s="11" t="n"/>
      <c r="M193" s="9" t="n"/>
      <c r="N193" s="9" t="n"/>
      <c r="O193" s="9" t="n"/>
      <c r="P193" s="9" t="n"/>
      <c r="Q193" s="9" t="n"/>
      <c r="R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11" t="n"/>
      <c r="L194" s="11" t="n"/>
      <c r="M194" s="9" t="n"/>
      <c r="N194" s="9" t="n"/>
      <c r="O194" s="9" t="n"/>
      <c r="P194" s="9" t="n"/>
      <c r="Q194" s="9" t="n"/>
      <c r="R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11" t="n"/>
      <c r="L195" s="11" t="n"/>
      <c r="M195" s="9" t="n"/>
      <c r="N195" s="9" t="n"/>
      <c r="O195" s="9" t="n"/>
      <c r="P195" s="9" t="n"/>
      <c r="Q195" s="9" t="n"/>
      <c r="R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11" t="n"/>
      <c r="L196" s="11" t="n"/>
      <c r="M196" s="9" t="n"/>
      <c r="N196" s="9" t="n"/>
      <c r="O196" s="9" t="n"/>
      <c r="P196" s="9" t="n"/>
      <c r="Q196" s="9" t="n"/>
      <c r="R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11" t="n"/>
      <c r="L197" s="11" t="n"/>
      <c r="M197" s="9" t="n"/>
      <c r="N197" s="9" t="n"/>
      <c r="O197" s="9" t="n"/>
      <c r="P197" s="9" t="n"/>
      <c r="Q197" s="9" t="n"/>
      <c r="R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11" t="n"/>
      <c r="L198" s="11" t="n"/>
      <c r="M198" s="9" t="n"/>
      <c r="N198" s="9" t="n"/>
      <c r="O198" s="9" t="n"/>
      <c r="P198" s="9" t="n"/>
      <c r="Q198" s="9" t="n"/>
      <c r="R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11" t="n"/>
      <c r="L199" s="11" t="n"/>
      <c r="M199" s="9" t="n"/>
      <c r="N199" s="9" t="n"/>
      <c r="O199" s="9" t="n"/>
      <c r="P199" s="9" t="n"/>
      <c r="Q199" s="9" t="n"/>
      <c r="R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11" t="n"/>
      <c r="L200" s="11" t="n"/>
      <c r="M200" s="9" t="n"/>
      <c r="N200" s="9" t="n"/>
      <c r="O200" s="9" t="n"/>
      <c r="P200" s="9" t="n"/>
      <c r="Q200" s="9" t="n"/>
      <c r="R200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0" customWidth="1" min="4" max="4"/>
    <col width="26" customWidth="1" min="5" max="5"/>
    <col width="18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6" customWidth="1" min="19" max="19"/>
    <col width="24" customWidth="1" min="20" max="20"/>
    <col width="16" customWidth="1" min="21" max="21"/>
    <col width="18" customWidth="1" min="22" max="22"/>
    <col width="18" customWidth="1" min="23" max="23"/>
    <col width="16" customWidth="1" min="24" max="24"/>
    <col width="16" customWidth="1" min="25" max="25"/>
  </cols>
  <sheetData>
    <row r="1" ht="30" customHeight="1">
      <c r="A1" s="1" t="inlineStr">
        <is>
          <t>ID прибора</t>
        </is>
      </c>
      <c r="B1" s="1" t="inlineStr">
        <is>
          <t>Сценарий</t>
        </is>
      </c>
      <c r="C1" s="1" t="inlineStr">
        <is>
          <t>Объект</t>
        </is>
      </c>
      <c r="D1" s="1" t="inlineStr">
        <is>
          <t>Тип</t>
        </is>
      </c>
      <c r="E1" s="1" t="inlineStr">
        <is>
          <t>Наименование</t>
        </is>
      </c>
      <c r="F1" s="1" t="inlineStr">
        <is>
          <t>Статус из реестра</t>
        </is>
      </c>
      <c r="G1" s="1" t="inlineStr">
        <is>
          <t>Дата отправки в ремонт</t>
        </is>
      </c>
      <c r="H1" s="1" t="inlineStr">
        <is>
          <t>Дедлайн ремонта (100)</t>
        </is>
      </c>
      <c r="I1" s="1" t="inlineStr">
        <is>
          <t>Дата отправки из ремонта</t>
        </is>
      </c>
      <c r="J1" s="1" t="inlineStr">
        <is>
          <t>Дата отправки из Иркутска</t>
        </is>
      </c>
      <c r="K1" s="1" t="inlineStr">
        <is>
          <t>Дата прибытия в Ленск</t>
        </is>
      </c>
      <c r="L1" s="1" t="inlineStr">
        <is>
          <t>Дедлайн регистрации (5)</t>
        </is>
      </c>
      <c r="M1" s="1" t="inlineStr">
        <is>
          <t>Фактическое получение</t>
        </is>
      </c>
      <c r="N1" s="1" t="inlineStr">
        <is>
          <t>Начало контроля</t>
        </is>
      </c>
      <c r="O1" s="1" t="inlineStr">
        <is>
          <t>Дедлайн контроля (40)</t>
        </is>
      </c>
      <c r="P1" s="1" t="inlineStr">
        <is>
          <t>Дата входного контроля</t>
        </is>
      </c>
      <c r="Q1" s="1" t="inlineStr">
        <is>
          <t>Начало оплаты</t>
        </is>
      </c>
      <c r="R1" s="1" t="inlineStr">
        <is>
          <t>Дедлайн оплаты (70)</t>
        </is>
      </c>
      <c r="S1" s="1" t="inlineStr">
        <is>
          <t>Дата оплаты</t>
        </is>
      </c>
      <c r="T1" s="1" t="inlineStr">
        <is>
          <t>Где сейчас прибор</t>
        </is>
      </c>
      <c r="U1" s="1" t="inlineStr">
        <is>
          <t>Просрочка ремонта</t>
        </is>
      </c>
      <c r="V1" s="1" t="inlineStr">
        <is>
          <t>Просрочка регистрации</t>
        </is>
      </c>
      <c r="W1" s="1" t="inlineStr">
        <is>
          <t>Просрочка контроля</t>
        </is>
      </c>
      <c r="X1" s="1" t="inlineStr">
        <is>
          <t>Просрочка оплаты</t>
        </is>
      </c>
      <c r="Y1" s="1" t="inlineStr">
        <is>
          <t>Макс. просрочка</t>
        </is>
      </c>
    </row>
    <row r="2">
      <c r="A2" s="9" t="inlineStr">
        <is>
          <t>SI-0001</t>
        </is>
      </c>
      <c r="B2" s="9" t="inlineStr">
        <is>
          <t>Ремонт в срок</t>
        </is>
      </c>
      <c r="C2" s="10">
        <f>IFERROR(INDEX(Оборудование!$B$2:$B$200,MATCH(A2,Оборудование!$A$2:$A$200,0)),"")</f>
        <v/>
      </c>
      <c r="D2" s="10">
        <f>IFERROR(INDEX(Оборудование!$C$2:$C$200,MATCH(A2,Оборудование!$A$2:$A$200,0)),"")</f>
        <v/>
      </c>
      <c r="E2" s="10">
        <f>IFERROR(INDEX(Оборудование!$D$2:$D$200,MATCH(A2,Оборудование!$A$2:$A$200,0)),"")</f>
        <v/>
      </c>
      <c r="F2" s="10">
        <f>IFERROR(INDEX(Оборудование!$H$2:$H$200,MATCH(A2,Оборудование!$A$2:$A$200,0)),"")</f>
        <v/>
      </c>
      <c r="G2" s="11" t="n">
        <v>46054</v>
      </c>
      <c r="H2" s="12">
        <f>IF(G2="","",G2+100)</f>
        <v/>
      </c>
      <c r="I2" s="11" t="n"/>
      <c r="J2" s="11" t="n"/>
      <c r="K2" s="11" t="n"/>
      <c r="L2" s="12">
        <f>IF(K2="","",K2+5)</f>
        <v/>
      </c>
      <c r="M2" s="11" t="n"/>
      <c r="N2" s="12">
        <f>IF(M2&lt;&gt;"",M2,IF(L2="","",L2))</f>
        <v/>
      </c>
      <c r="O2" s="12">
        <f>IF(N2="","",N2+40)</f>
        <v/>
      </c>
      <c r="P2" s="11" t="n"/>
      <c r="Q2" s="12">
        <f>IF(P2&lt;&gt;"",P2,IF(O2="","",O2))</f>
        <v/>
      </c>
      <c r="R2" s="12">
        <f>IF(Q2="","",Q2+70)</f>
        <v/>
      </c>
      <c r="S2" s="11" t="n"/>
      <c r="T2" s="10">
        <f>IF(G2="","",IF(S2&lt;&gt;"","Завершено",IF(P2&lt;&gt;"","Ожидание оплаты",IF(M2&lt;&gt;"","Входной контроль",IF(K2&lt;&gt;"","Ожидание получения в Ленске",IF(I2&lt;&gt;"","В пути Иркутск → Ленск","Ремонт у подрядчика"))))))</f>
        <v/>
      </c>
      <c r="U2" s="10">
        <f>IF(H2="","",MAX(0,IF(I2&lt;&gt;"",I2,Настройки!$B$2)-H2))</f>
        <v/>
      </c>
      <c r="V2" s="10">
        <f>IF(L2="","",MAX(0,IF(M2&lt;&gt;"",M2,Настройки!$B$2)-L2))</f>
        <v/>
      </c>
      <c r="W2" s="10">
        <f>IF(O2="","",MAX(0,IF(P2&lt;&gt;"",P2,Настройки!$B$2)-O2))</f>
        <v/>
      </c>
      <c r="X2" s="10">
        <f>IF(R2="","",MAX(0,IF(S2&lt;&gt;"",S2,Настройки!$B$2)-R2))</f>
        <v/>
      </c>
      <c r="Y2" s="10">
        <f>MAX(U2:X2)</f>
        <v/>
      </c>
    </row>
    <row r="3">
      <c r="A3" s="9" t="inlineStr">
        <is>
          <t>SI-0002</t>
        </is>
      </c>
      <c r="B3" s="9" t="inlineStr">
        <is>
          <t>Ожидание получения в Ленске</t>
        </is>
      </c>
      <c r="C3" s="10">
        <f>IFERROR(INDEX(Оборудование!$B$2:$B$200,MATCH(A3,Оборудование!$A$2:$A$200,0)),"")</f>
        <v/>
      </c>
      <c r="D3" s="10">
        <f>IFERROR(INDEX(Оборудование!$C$2:$C$200,MATCH(A3,Оборудование!$A$2:$A$200,0)),"")</f>
        <v/>
      </c>
      <c r="E3" s="10">
        <f>IFERROR(INDEX(Оборудование!$D$2:$D$200,MATCH(A3,Оборудование!$A$2:$A$200,0)),"")</f>
        <v/>
      </c>
      <c r="F3" s="10">
        <f>IFERROR(INDEX(Оборудование!$H$2:$H$200,MATCH(A3,Оборудование!$A$2:$A$200,0)),"")</f>
        <v/>
      </c>
      <c r="G3" s="11" t="n">
        <v>45971</v>
      </c>
      <c r="H3" s="12">
        <f>IF(G3="","",G3+100)</f>
        <v/>
      </c>
      <c r="I3" s="11" t="n">
        <v>46068</v>
      </c>
      <c r="J3" s="11" t="n">
        <v>46071</v>
      </c>
      <c r="K3" s="11" t="n">
        <v>46085</v>
      </c>
      <c r="L3" s="12">
        <f>IF(K3="","",K3+5)</f>
        <v/>
      </c>
      <c r="M3" s="11" t="n"/>
      <c r="N3" s="12">
        <f>IF(M3&lt;&gt;"",M3,IF(L3="","",L3))</f>
        <v/>
      </c>
      <c r="O3" s="12">
        <f>IF(N3="","",N3+40)</f>
        <v/>
      </c>
      <c r="P3" s="11" t="n"/>
      <c r="Q3" s="12">
        <f>IF(P3&lt;&gt;"",P3,IF(O3="","",O3))</f>
        <v/>
      </c>
      <c r="R3" s="12">
        <f>IF(Q3="","",Q3+70)</f>
        <v/>
      </c>
      <c r="S3" s="11" t="n"/>
      <c r="T3" s="10">
        <f>IF(G3="","",IF(S3&lt;&gt;"","Завершено",IF(P3&lt;&gt;"","Ожидание оплаты",IF(M3&lt;&gt;"","Входной контроль",IF(K3&lt;&gt;"","Ожидание получения в Ленске",IF(I3&lt;&gt;"","В пути Иркутск → Ленск","Ремонт у подрядчика"))))))</f>
        <v/>
      </c>
      <c r="U3" s="10">
        <f>IF(H3="","",MAX(0,IF(I3&lt;&gt;"",I3,Настройки!$B$2)-H3))</f>
        <v/>
      </c>
      <c r="V3" s="10">
        <f>IF(L3="","",MAX(0,IF(M3&lt;&gt;"",M3,Настройки!$B$2)-L3))</f>
        <v/>
      </c>
      <c r="W3" s="10">
        <f>IF(O3="","",MAX(0,IF(P3&lt;&gt;"",P3,Настройки!$B$2)-O3))</f>
        <v/>
      </c>
      <c r="X3" s="10">
        <f>IF(R3="","",MAX(0,IF(S3&lt;&gt;"",S3,Настройки!$B$2)-R3))</f>
        <v/>
      </c>
      <c r="Y3" s="10">
        <f>MAX(U3:X3)</f>
        <v/>
      </c>
    </row>
    <row r="4">
      <c r="A4" s="9" t="inlineStr">
        <is>
          <t>SI-0003</t>
        </is>
      </c>
      <c r="B4" s="9" t="inlineStr">
        <is>
          <t>Просрочен входной контроль</t>
        </is>
      </c>
      <c r="C4" s="10">
        <f>IFERROR(INDEX(Оборудование!$B$2:$B$200,MATCH(A4,Оборудование!$A$2:$A$200,0)),"")</f>
        <v/>
      </c>
      <c r="D4" s="10">
        <f>IFERROR(INDEX(Оборудование!$C$2:$C$200,MATCH(A4,Оборудование!$A$2:$A$200,0)),"")</f>
        <v/>
      </c>
      <c r="E4" s="10">
        <f>IFERROR(INDEX(Оборудование!$D$2:$D$200,MATCH(A4,Оборудование!$A$2:$A$200,0)),"")</f>
        <v/>
      </c>
      <c r="F4" s="10">
        <f>IFERROR(INDEX(Оборудование!$H$2:$H$200,MATCH(A4,Оборудование!$A$2:$A$200,0)),"")</f>
        <v/>
      </c>
      <c r="G4" s="11" t="n">
        <v>45931</v>
      </c>
      <c r="H4" s="12">
        <f>IF(G4="","",G4+100)</f>
        <v/>
      </c>
      <c r="I4" s="11" t="n">
        <v>46027</v>
      </c>
      <c r="J4" s="11" t="n">
        <v>46030</v>
      </c>
      <c r="K4" s="11" t="n">
        <v>46032</v>
      </c>
      <c r="L4" s="12">
        <f>IF(K4="","",K4+5)</f>
        <v/>
      </c>
      <c r="M4" s="11" t="n">
        <v>46034</v>
      </c>
      <c r="N4" s="12">
        <f>IF(M4&lt;&gt;"",M4,IF(L4="","",L4))</f>
        <v/>
      </c>
      <c r="O4" s="12">
        <f>IF(N4="","",N4+40)</f>
        <v/>
      </c>
      <c r="P4" s="11" t="n"/>
      <c r="Q4" s="12">
        <f>IF(P4&lt;&gt;"",P4,IF(O4="","",O4))</f>
        <v/>
      </c>
      <c r="R4" s="12">
        <f>IF(Q4="","",Q4+70)</f>
        <v/>
      </c>
      <c r="S4" s="11" t="n"/>
      <c r="T4" s="10">
        <f>IF(G4="","",IF(S4&lt;&gt;"","Завершено",IF(P4&lt;&gt;"","Ожидание оплаты",IF(M4&lt;&gt;"","Входной контроль",IF(K4&lt;&gt;"","Ожидание получения в Ленске",IF(I4&lt;&gt;"","В пути Иркутск → Ленск","Ремонт у подрядчика"))))))</f>
        <v/>
      </c>
      <c r="U4" s="10">
        <f>IF(H4="","",MAX(0,IF(I4&lt;&gt;"",I4,Настройки!$B$2)-H4))</f>
        <v/>
      </c>
      <c r="V4" s="10">
        <f>IF(L4="","",MAX(0,IF(M4&lt;&gt;"",M4,Настройки!$B$2)-L4))</f>
        <v/>
      </c>
      <c r="W4" s="10">
        <f>IF(O4="","",MAX(0,IF(P4&lt;&gt;"",P4,Настройки!$B$2)-O4))</f>
        <v/>
      </c>
      <c r="X4" s="10">
        <f>IF(R4="","",MAX(0,IF(S4&lt;&gt;"",S4,Настройки!$B$2)-R4))</f>
        <v/>
      </c>
      <c r="Y4" s="10">
        <f>MAX(U4:X4)</f>
        <v/>
      </c>
    </row>
    <row r="5">
      <c r="A5" s="9" t="inlineStr">
        <is>
          <t>SI-0004</t>
        </is>
      </c>
      <c r="B5" s="9" t="inlineStr">
        <is>
          <t>Просрочена оплата</t>
        </is>
      </c>
      <c r="C5" s="10">
        <f>IFERROR(INDEX(Оборудование!$B$2:$B$200,MATCH(A5,Оборудование!$A$2:$A$200,0)),"")</f>
        <v/>
      </c>
      <c r="D5" s="10">
        <f>IFERROR(INDEX(Оборудование!$C$2:$C$200,MATCH(A5,Оборудование!$A$2:$A$200,0)),"")</f>
        <v/>
      </c>
      <c r="E5" s="10">
        <f>IFERROR(INDEX(Оборудование!$D$2:$D$200,MATCH(A5,Оборудование!$A$2:$A$200,0)),"")</f>
        <v/>
      </c>
      <c r="F5" s="10">
        <f>IFERROR(INDEX(Оборудование!$H$2:$H$200,MATCH(A5,Оборудование!$A$2:$A$200,0)),"")</f>
        <v/>
      </c>
      <c r="G5" s="11" t="n">
        <v>45839</v>
      </c>
      <c r="H5" s="12">
        <f>IF(G5="","",G5+100)</f>
        <v/>
      </c>
      <c r="I5" s="11" t="n">
        <v>45935</v>
      </c>
      <c r="J5" s="11" t="n">
        <v>45937</v>
      </c>
      <c r="K5" s="11" t="n">
        <v>45940</v>
      </c>
      <c r="L5" s="12">
        <f>IF(K5="","",K5+5)</f>
        <v/>
      </c>
      <c r="M5" s="11" t="n">
        <v>45942</v>
      </c>
      <c r="N5" s="12">
        <f>IF(M5&lt;&gt;"",M5,IF(L5="","",L5))</f>
        <v/>
      </c>
      <c r="O5" s="12">
        <f>IF(N5="","",N5+40)</f>
        <v/>
      </c>
      <c r="P5" s="11" t="n">
        <v>45981</v>
      </c>
      <c r="Q5" s="12">
        <f>IF(P5&lt;&gt;"",P5,IF(O5="","",O5))</f>
        <v/>
      </c>
      <c r="R5" s="12">
        <f>IF(Q5="","",Q5+70)</f>
        <v/>
      </c>
      <c r="S5" s="11" t="n"/>
      <c r="T5" s="10">
        <f>IF(G5="","",IF(S5&lt;&gt;"","Завершено",IF(P5&lt;&gt;"","Ожидание оплаты",IF(M5&lt;&gt;"","Входной контроль",IF(K5&lt;&gt;"","Ожидание получения в Ленске",IF(I5&lt;&gt;"","В пути Иркутск → Ленск","Ремонт у подрядчика"))))))</f>
        <v/>
      </c>
      <c r="U5" s="10">
        <f>IF(H5="","",MAX(0,IF(I5&lt;&gt;"",I5,Настройки!$B$2)-H5))</f>
        <v/>
      </c>
      <c r="V5" s="10">
        <f>IF(L5="","",MAX(0,IF(M5&lt;&gt;"",M5,Настройки!$B$2)-L5))</f>
        <v/>
      </c>
      <c r="W5" s="10">
        <f>IF(O5="","",MAX(0,IF(P5&lt;&gt;"",P5,Настройки!$B$2)-O5))</f>
        <v/>
      </c>
      <c r="X5" s="10">
        <f>IF(R5="","",MAX(0,IF(S5&lt;&gt;"",S5,Настройки!$B$2)-R5))</f>
        <v/>
      </c>
      <c r="Y5" s="10">
        <f>MAX(U5:X5)</f>
        <v/>
      </c>
    </row>
    <row r="6">
      <c r="A6" s="9" t="inlineStr">
        <is>
          <t>SI-0005</t>
        </is>
      </c>
      <c r="B6" s="9" t="inlineStr">
        <is>
          <t>Ремонт завершен</t>
        </is>
      </c>
      <c r="C6" s="10">
        <f>IFERROR(INDEX(Оборудование!$B$2:$B$200,MATCH(A6,Оборудование!$A$2:$A$200,0)),"")</f>
        <v/>
      </c>
      <c r="D6" s="10">
        <f>IFERROR(INDEX(Оборудование!$C$2:$C$200,MATCH(A6,Оборудование!$A$2:$A$200,0)),"")</f>
        <v/>
      </c>
      <c r="E6" s="10">
        <f>IFERROR(INDEX(Оборудование!$D$2:$D$200,MATCH(A6,Оборудование!$A$2:$A$200,0)),"")</f>
        <v/>
      </c>
      <c r="F6" s="10">
        <f>IFERROR(INDEX(Оборудование!$H$2:$H$200,MATCH(A6,Оборудование!$A$2:$A$200,0)),"")</f>
        <v/>
      </c>
      <c r="G6" s="11" t="n">
        <v>45992</v>
      </c>
      <c r="H6" s="12">
        <f>IF(G6="","",G6+100)</f>
        <v/>
      </c>
      <c r="I6" s="11" t="n">
        <v>46037</v>
      </c>
      <c r="J6" s="11" t="n">
        <v>46039</v>
      </c>
      <c r="K6" s="11" t="n">
        <v>46043</v>
      </c>
      <c r="L6" s="12">
        <f>IF(K6="","",K6+5)</f>
        <v/>
      </c>
      <c r="M6" s="11" t="n">
        <v>46044</v>
      </c>
      <c r="N6" s="12">
        <f>IF(M6&lt;&gt;"",M6,IF(L6="","",L6))</f>
        <v/>
      </c>
      <c r="O6" s="12">
        <f>IF(N6="","",N6+40)</f>
        <v/>
      </c>
      <c r="P6" s="11" t="n">
        <v>46058</v>
      </c>
      <c r="Q6" s="12">
        <f>IF(P6&lt;&gt;"",P6,IF(O6="","",O6))</f>
        <v/>
      </c>
      <c r="R6" s="12">
        <f>IF(Q6="","",Q6+70)</f>
        <v/>
      </c>
      <c r="S6" s="11" t="n">
        <v>46073</v>
      </c>
      <c r="T6" s="10">
        <f>IF(G6="","",IF(S6&lt;&gt;"","Завершено",IF(P6&lt;&gt;"","Ожидание оплаты",IF(M6&lt;&gt;"","Входной контроль",IF(K6&lt;&gt;"","Ожидание получения в Ленске",IF(I6&lt;&gt;"","В пути Иркутск → Ленск","Ремонт у подрядчика"))))))</f>
        <v/>
      </c>
      <c r="U6" s="10">
        <f>IF(H6="","",MAX(0,IF(I6&lt;&gt;"",I6,Настройки!$B$2)-H6))</f>
        <v/>
      </c>
      <c r="V6" s="10">
        <f>IF(L6="","",MAX(0,IF(M6&lt;&gt;"",M6,Настройки!$B$2)-L6))</f>
        <v/>
      </c>
      <c r="W6" s="10">
        <f>IF(O6="","",MAX(0,IF(P6&lt;&gt;"",P6,Настройки!$B$2)-O6))</f>
        <v/>
      </c>
      <c r="X6" s="10">
        <f>IF(R6="","",MAX(0,IF(S6&lt;&gt;"",S6,Настройки!$B$2)-R6))</f>
        <v/>
      </c>
      <c r="Y6" s="10">
        <f>MAX(U6:X6)</f>
        <v/>
      </c>
    </row>
    <row r="7">
      <c r="A7" s="9" t="inlineStr">
        <is>
          <t>IO-0001</t>
        </is>
      </c>
      <c r="B7" s="9" t="inlineStr">
        <is>
          <t>ИО — пример</t>
        </is>
      </c>
      <c r="C7" s="10">
        <f>IFERROR(INDEX(Оборудование!$B$2:$B$200,MATCH(A7,Оборудование!$A$2:$A$200,0)),"")</f>
        <v/>
      </c>
      <c r="D7" s="10">
        <f>IFERROR(INDEX(Оборудование!$C$2:$C$200,MATCH(A7,Оборудование!$A$2:$A$200,0)),"")</f>
        <v/>
      </c>
      <c r="E7" s="10">
        <f>IFERROR(INDEX(Оборудование!$D$2:$D$200,MATCH(A7,Оборудование!$A$2:$A$200,0)),"")</f>
        <v/>
      </c>
      <c r="F7" s="10">
        <f>IFERROR(INDEX(Оборудование!$H$2:$H$200,MATCH(A7,Оборудование!$A$2:$A$200,0)),"")</f>
        <v/>
      </c>
      <c r="G7" s="11" t="n">
        <v>46042</v>
      </c>
      <c r="H7" s="12">
        <f>IF(G7="","",G7+100)</f>
        <v/>
      </c>
      <c r="I7" s="11" t="n">
        <v>46071</v>
      </c>
      <c r="J7" s="11" t="n">
        <v>46073</v>
      </c>
      <c r="K7" s="11" t="n">
        <v>46078</v>
      </c>
      <c r="L7" s="12">
        <f>IF(K7="","",K7+5)</f>
        <v/>
      </c>
      <c r="M7" s="11" t="n">
        <v>46079</v>
      </c>
      <c r="N7" s="12">
        <f>IF(M7&lt;&gt;"",M7,IF(L7="","",L7))</f>
        <v/>
      </c>
      <c r="O7" s="12">
        <f>IF(N7="","",N7+40)</f>
        <v/>
      </c>
      <c r="P7" s="11" t="n"/>
      <c r="Q7" s="12">
        <f>IF(P7&lt;&gt;"",P7,IF(O7="","",O7))</f>
        <v/>
      </c>
      <c r="R7" s="12">
        <f>IF(Q7="","",Q7+70)</f>
        <v/>
      </c>
      <c r="S7" s="11" t="n"/>
      <c r="T7" s="10">
        <f>IF(G7="","",IF(S7&lt;&gt;"","Завершено",IF(P7&lt;&gt;"","Ожидание оплаты",IF(M7&lt;&gt;"","Входной контроль",IF(K7&lt;&gt;"","Ожидание получения в Ленске",IF(I7&lt;&gt;"","В пути Иркутск → Ленск","Ремонт у подрядчика"))))))</f>
        <v/>
      </c>
      <c r="U7" s="10">
        <f>IF(H7="","",MAX(0,IF(I7&lt;&gt;"",I7,Настройки!$B$2)-H7))</f>
        <v/>
      </c>
      <c r="V7" s="10">
        <f>IF(L7="","",MAX(0,IF(M7&lt;&gt;"",M7,Настройки!$B$2)-L7))</f>
        <v/>
      </c>
      <c r="W7" s="10">
        <f>IF(O7="","",MAX(0,IF(P7&lt;&gt;"",P7,Настройки!$B$2)-O7))</f>
        <v/>
      </c>
      <c r="X7" s="10">
        <f>IF(R7="","",MAX(0,IF(S7&lt;&gt;"",S7,Настройки!$B$2)-R7))</f>
        <v/>
      </c>
      <c r="Y7" s="10">
        <f>MAX(U7:X7)</f>
        <v/>
      </c>
    </row>
    <row r="8">
      <c r="A8" s="9" t="n"/>
      <c r="B8" s="9" t="n"/>
      <c r="C8" s="10">
        <f>IFERROR(INDEX(Оборудование!$B$2:$B$200,MATCH(A8,Оборудование!$A$2:$A$200,0)),"")</f>
        <v/>
      </c>
      <c r="D8" s="10">
        <f>IFERROR(INDEX(Оборудование!$C$2:$C$200,MATCH(A8,Оборудование!$A$2:$A$200,0)),"")</f>
        <v/>
      </c>
      <c r="E8" s="10">
        <f>IFERROR(INDEX(Оборудование!$D$2:$D$200,MATCH(A8,Оборудование!$A$2:$A$200,0)),"")</f>
        <v/>
      </c>
      <c r="F8" s="10">
        <f>IFERROR(INDEX(Оборудование!$H$2:$H$200,MATCH(A8,Оборудование!$A$2:$A$200,0)),"")</f>
        <v/>
      </c>
      <c r="G8" s="11" t="n"/>
      <c r="H8" s="12">
        <f>IF(G8="","",G8+100)</f>
        <v/>
      </c>
      <c r="I8" s="11" t="n"/>
      <c r="J8" s="11" t="n"/>
      <c r="K8" s="11" t="n"/>
      <c r="L8" s="12">
        <f>IF(K8="","",K8+5)</f>
        <v/>
      </c>
      <c r="M8" s="11" t="n"/>
      <c r="N8" s="12">
        <f>IF(M8&lt;&gt;"",M8,IF(L8="","",L8))</f>
        <v/>
      </c>
      <c r="O8" s="12">
        <f>IF(N8="","",N8+40)</f>
        <v/>
      </c>
      <c r="P8" s="11" t="n"/>
      <c r="Q8" s="12">
        <f>IF(P8&lt;&gt;"",P8,IF(O8="","",O8))</f>
        <v/>
      </c>
      <c r="R8" s="12">
        <f>IF(Q8="","",Q8+70)</f>
        <v/>
      </c>
      <c r="S8" s="11" t="n"/>
      <c r="T8" s="10">
        <f>IF(G8="","",IF(S8&lt;&gt;"","Завершено",IF(P8&lt;&gt;"","Ожидание оплаты",IF(M8&lt;&gt;"","Входной контроль",IF(K8&lt;&gt;"","Ожидание получения в Ленске",IF(I8&lt;&gt;"","В пути Иркутск → Ленск","Ремонт у подрядчика"))))))</f>
        <v/>
      </c>
      <c r="U8" s="10">
        <f>IF(H8="","",MAX(0,IF(I8&lt;&gt;"",I8,Настройки!$B$2)-H8))</f>
        <v/>
      </c>
      <c r="V8" s="10">
        <f>IF(L8="","",MAX(0,IF(M8&lt;&gt;"",M8,Настройки!$B$2)-L8))</f>
        <v/>
      </c>
      <c r="W8" s="10">
        <f>IF(O8="","",MAX(0,IF(P8&lt;&gt;"",P8,Настройки!$B$2)-O8))</f>
        <v/>
      </c>
      <c r="X8" s="10">
        <f>IF(R8="","",MAX(0,IF(S8&lt;&gt;"",S8,Настройки!$B$2)-R8))</f>
        <v/>
      </c>
      <c r="Y8" s="10">
        <f>MAX(U8:X8)</f>
        <v/>
      </c>
    </row>
    <row r="9">
      <c r="A9" s="9" t="n"/>
      <c r="B9" s="9" t="n"/>
      <c r="C9" s="10">
        <f>IFERROR(INDEX(Оборудование!$B$2:$B$200,MATCH(A9,Оборудование!$A$2:$A$200,0)),"")</f>
        <v/>
      </c>
      <c r="D9" s="10">
        <f>IFERROR(INDEX(Оборудование!$C$2:$C$200,MATCH(A9,Оборудование!$A$2:$A$200,0)),"")</f>
        <v/>
      </c>
      <c r="E9" s="10">
        <f>IFERROR(INDEX(Оборудование!$D$2:$D$200,MATCH(A9,Оборудование!$A$2:$A$200,0)),"")</f>
        <v/>
      </c>
      <c r="F9" s="10">
        <f>IFERROR(INDEX(Оборудование!$H$2:$H$200,MATCH(A9,Оборудование!$A$2:$A$200,0)),"")</f>
        <v/>
      </c>
      <c r="G9" s="11" t="n"/>
      <c r="H9" s="12">
        <f>IF(G9="","",G9+100)</f>
        <v/>
      </c>
      <c r="I9" s="11" t="n"/>
      <c r="J9" s="11" t="n"/>
      <c r="K9" s="11" t="n"/>
      <c r="L9" s="12">
        <f>IF(K9="","",K9+5)</f>
        <v/>
      </c>
      <c r="M9" s="11" t="n"/>
      <c r="N9" s="12">
        <f>IF(M9&lt;&gt;"",M9,IF(L9="","",L9))</f>
        <v/>
      </c>
      <c r="O9" s="12">
        <f>IF(N9="","",N9+40)</f>
        <v/>
      </c>
      <c r="P9" s="11" t="n"/>
      <c r="Q9" s="12">
        <f>IF(P9&lt;&gt;"",P9,IF(O9="","",O9))</f>
        <v/>
      </c>
      <c r="R9" s="12">
        <f>IF(Q9="","",Q9+70)</f>
        <v/>
      </c>
      <c r="S9" s="11" t="n"/>
      <c r="T9" s="10">
        <f>IF(G9="","",IF(S9&lt;&gt;"","Завершено",IF(P9&lt;&gt;"","Ожидание оплаты",IF(M9&lt;&gt;"","Входной контроль",IF(K9&lt;&gt;"","Ожидание получения в Ленске",IF(I9&lt;&gt;"","В пути Иркутск → Ленск","Ремонт у подрядчика"))))))</f>
        <v/>
      </c>
      <c r="U9" s="10">
        <f>IF(H9="","",MAX(0,IF(I9&lt;&gt;"",I9,Настройки!$B$2)-H9))</f>
        <v/>
      </c>
      <c r="V9" s="10">
        <f>IF(L9="","",MAX(0,IF(M9&lt;&gt;"",M9,Настройки!$B$2)-L9))</f>
        <v/>
      </c>
      <c r="W9" s="10">
        <f>IF(O9="","",MAX(0,IF(P9&lt;&gt;"",P9,Настройки!$B$2)-O9))</f>
        <v/>
      </c>
      <c r="X9" s="10">
        <f>IF(R9="","",MAX(0,IF(S9&lt;&gt;"",S9,Настройки!$B$2)-R9))</f>
        <v/>
      </c>
      <c r="Y9" s="10">
        <f>MAX(U9:X9)</f>
        <v/>
      </c>
    </row>
    <row r="10">
      <c r="A10" s="9" t="n"/>
      <c r="B10" s="9" t="n"/>
      <c r="C10" s="10">
        <f>IFERROR(INDEX(Оборудование!$B$2:$B$200,MATCH(A10,Оборудование!$A$2:$A$200,0)),"")</f>
        <v/>
      </c>
      <c r="D10" s="10">
        <f>IFERROR(INDEX(Оборудование!$C$2:$C$200,MATCH(A10,Оборудование!$A$2:$A$200,0)),"")</f>
        <v/>
      </c>
      <c r="E10" s="10">
        <f>IFERROR(INDEX(Оборудование!$D$2:$D$200,MATCH(A10,Оборудование!$A$2:$A$200,0)),"")</f>
        <v/>
      </c>
      <c r="F10" s="10">
        <f>IFERROR(INDEX(Оборудование!$H$2:$H$200,MATCH(A10,Оборудование!$A$2:$A$200,0)),"")</f>
        <v/>
      </c>
      <c r="G10" s="11" t="n"/>
      <c r="H10" s="12">
        <f>IF(G10="","",G10+100)</f>
        <v/>
      </c>
      <c r="I10" s="11" t="n"/>
      <c r="J10" s="11" t="n"/>
      <c r="K10" s="11" t="n"/>
      <c r="L10" s="12">
        <f>IF(K10="","",K10+5)</f>
        <v/>
      </c>
      <c r="M10" s="11" t="n"/>
      <c r="N10" s="12">
        <f>IF(M10&lt;&gt;"",M10,IF(L10="","",L10))</f>
        <v/>
      </c>
      <c r="O10" s="12">
        <f>IF(N10="","",N10+40)</f>
        <v/>
      </c>
      <c r="P10" s="11" t="n"/>
      <c r="Q10" s="12">
        <f>IF(P10&lt;&gt;"",P10,IF(O10="","",O10))</f>
        <v/>
      </c>
      <c r="R10" s="12">
        <f>IF(Q10="","",Q10+70)</f>
        <v/>
      </c>
      <c r="S10" s="11" t="n"/>
      <c r="T10" s="10">
        <f>IF(G10="","",IF(S10&lt;&gt;"","Завершено",IF(P10&lt;&gt;"","Ожидание оплаты",IF(M10&lt;&gt;"","Входной контроль",IF(K10&lt;&gt;"","Ожидание получения в Ленске",IF(I10&lt;&gt;"","В пути Иркутск → Ленск","Ремонт у подрядчика"))))))</f>
        <v/>
      </c>
      <c r="U10" s="10">
        <f>IF(H10="","",MAX(0,IF(I10&lt;&gt;"",I10,Настройки!$B$2)-H10))</f>
        <v/>
      </c>
      <c r="V10" s="10">
        <f>IF(L10="","",MAX(0,IF(M10&lt;&gt;"",M10,Настройки!$B$2)-L10))</f>
        <v/>
      </c>
      <c r="W10" s="10">
        <f>IF(O10="","",MAX(0,IF(P10&lt;&gt;"",P10,Настройки!$B$2)-O10))</f>
        <v/>
      </c>
      <c r="X10" s="10">
        <f>IF(R10="","",MAX(0,IF(S10&lt;&gt;"",S10,Настройки!$B$2)-R10))</f>
        <v/>
      </c>
      <c r="Y10" s="10">
        <f>MAX(U10:X10)</f>
        <v/>
      </c>
    </row>
    <row r="11">
      <c r="A11" s="9" t="n"/>
      <c r="B11" s="9" t="n"/>
      <c r="C11" s="10">
        <f>IFERROR(INDEX(Оборудование!$B$2:$B$200,MATCH(A11,Оборудование!$A$2:$A$200,0)),"")</f>
        <v/>
      </c>
      <c r="D11" s="10">
        <f>IFERROR(INDEX(Оборудование!$C$2:$C$200,MATCH(A11,Оборудование!$A$2:$A$200,0)),"")</f>
        <v/>
      </c>
      <c r="E11" s="10">
        <f>IFERROR(INDEX(Оборудование!$D$2:$D$200,MATCH(A11,Оборудование!$A$2:$A$200,0)),"")</f>
        <v/>
      </c>
      <c r="F11" s="10">
        <f>IFERROR(INDEX(Оборудование!$H$2:$H$200,MATCH(A11,Оборудование!$A$2:$A$200,0)),"")</f>
        <v/>
      </c>
      <c r="G11" s="11" t="n"/>
      <c r="H11" s="12">
        <f>IF(G11="","",G11+100)</f>
        <v/>
      </c>
      <c r="I11" s="11" t="n"/>
      <c r="J11" s="11" t="n"/>
      <c r="K11" s="11" t="n"/>
      <c r="L11" s="12">
        <f>IF(K11="","",K11+5)</f>
        <v/>
      </c>
      <c r="M11" s="11" t="n"/>
      <c r="N11" s="12">
        <f>IF(M11&lt;&gt;"",M11,IF(L11="","",L11))</f>
        <v/>
      </c>
      <c r="O11" s="12">
        <f>IF(N11="","",N11+40)</f>
        <v/>
      </c>
      <c r="P11" s="11" t="n"/>
      <c r="Q11" s="12">
        <f>IF(P11&lt;&gt;"",P11,IF(O11="","",O11))</f>
        <v/>
      </c>
      <c r="R11" s="12">
        <f>IF(Q11="","",Q11+70)</f>
        <v/>
      </c>
      <c r="S11" s="11" t="n"/>
      <c r="T11" s="10">
        <f>IF(G11="","",IF(S11&lt;&gt;"","Завершено",IF(P11&lt;&gt;"","Ожидание оплаты",IF(M11&lt;&gt;"","Входной контроль",IF(K11&lt;&gt;"","Ожидание получения в Ленске",IF(I11&lt;&gt;"","В пути Иркутск → Ленск","Ремонт у подрядчика"))))))</f>
        <v/>
      </c>
      <c r="U11" s="10">
        <f>IF(H11="","",MAX(0,IF(I11&lt;&gt;"",I11,Настройки!$B$2)-H11))</f>
        <v/>
      </c>
      <c r="V11" s="10">
        <f>IF(L11="","",MAX(0,IF(M11&lt;&gt;"",M11,Настройки!$B$2)-L11))</f>
        <v/>
      </c>
      <c r="W11" s="10">
        <f>IF(O11="","",MAX(0,IF(P11&lt;&gt;"",P11,Настройки!$B$2)-O11))</f>
        <v/>
      </c>
      <c r="X11" s="10">
        <f>IF(R11="","",MAX(0,IF(S11&lt;&gt;"",S11,Настройки!$B$2)-R11))</f>
        <v/>
      </c>
      <c r="Y11" s="10">
        <f>MAX(U11:X11)</f>
        <v/>
      </c>
    </row>
    <row r="12">
      <c r="A12" s="9" t="n"/>
      <c r="B12" s="9" t="n"/>
      <c r="C12" s="10">
        <f>IFERROR(INDEX(Оборудование!$B$2:$B$200,MATCH(A12,Оборудование!$A$2:$A$200,0)),"")</f>
        <v/>
      </c>
      <c r="D12" s="10">
        <f>IFERROR(INDEX(Оборудование!$C$2:$C$200,MATCH(A12,Оборудование!$A$2:$A$200,0)),"")</f>
        <v/>
      </c>
      <c r="E12" s="10">
        <f>IFERROR(INDEX(Оборудование!$D$2:$D$200,MATCH(A12,Оборудование!$A$2:$A$200,0)),"")</f>
        <v/>
      </c>
      <c r="F12" s="10">
        <f>IFERROR(INDEX(Оборудование!$H$2:$H$200,MATCH(A12,Оборудование!$A$2:$A$200,0)),"")</f>
        <v/>
      </c>
      <c r="G12" s="11" t="n"/>
      <c r="H12" s="12">
        <f>IF(G12="","",G12+100)</f>
        <v/>
      </c>
      <c r="I12" s="11" t="n"/>
      <c r="J12" s="11" t="n"/>
      <c r="K12" s="11" t="n"/>
      <c r="L12" s="12">
        <f>IF(K12="","",K12+5)</f>
        <v/>
      </c>
      <c r="M12" s="11" t="n"/>
      <c r="N12" s="12">
        <f>IF(M12&lt;&gt;"",M12,IF(L12="","",L12))</f>
        <v/>
      </c>
      <c r="O12" s="12">
        <f>IF(N12="","",N12+40)</f>
        <v/>
      </c>
      <c r="P12" s="11" t="n"/>
      <c r="Q12" s="12">
        <f>IF(P12&lt;&gt;"",P12,IF(O12="","",O12))</f>
        <v/>
      </c>
      <c r="R12" s="12">
        <f>IF(Q12="","",Q12+70)</f>
        <v/>
      </c>
      <c r="S12" s="11" t="n"/>
      <c r="T12" s="10">
        <f>IF(G12="","",IF(S12&lt;&gt;"","Завершено",IF(P12&lt;&gt;"","Ожидание оплаты",IF(M12&lt;&gt;"","Входной контроль",IF(K12&lt;&gt;"","Ожидание получения в Ленске",IF(I12&lt;&gt;"","В пути Иркутск → Ленск","Ремонт у подрядчика"))))))</f>
        <v/>
      </c>
      <c r="U12" s="10">
        <f>IF(H12="","",MAX(0,IF(I12&lt;&gt;"",I12,Настройки!$B$2)-H12))</f>
        <v/>
      </c>
      <c r="V12" s="10">
        <f>IF(L12="","",MAX(0,IF(M12&lt;&gt;"",M12,Настройки!$B$2)-L12))</f>
        <v/>
      </c>
      <c r="W12" s="10">
        <f>IF(O12="","",MAX(0,IF(P12&lt;&gt;"",P12,Настройки!$B$2)-O12))</f>
        <v/>
      </c>
      <c r="X12" s="10">
        <f>IF(R12="","",MAX(0,IF(S12&lt;&gt;"",S12,Настройки!$B$2)-R12))</f>
        <v/>
      </c>
      <c r="Y12" s="10">
        <f>MAX(U12:X12)</f>
        <v/>
      </c>
    </row>
    <row r="13">
      <c r="A13" s="9" t="n"/>
      <c r="B13" s="9" t="n"/>
      <c r="C13" s="10">
        <f>IFERROR(INDEX(Оборудование!$B$2:$B$200,MATCH(A13,Оборудование!$A$2:$A$200,0)),"")</f>
        <v/>
      </c>
      <c r="D13" s="10">
        <f>IFERROR(INDEX(Оборудование!$C$2:$C$200,MATCH(A13,Оборудование!$A$2:$A$200,0)),"")</f>
        <v/>
      </c>
      <c r="E13" s="10">
        <f>IFERROR(INDEX(Оборудование!$D$2:$D$200,MATCH(A13,Оборудование!$A$2:$A$200,0)),"")</f>
        <v/>
      </c>
      <c r="F13" s="10">
        <f>IFERROR(INDEX(Оборудование!$H$2:$H$200,MATCH(A13,Оборудование!$A$2:$A$200,0)),"")</f>
        <v/>
      </c>
      <c r="G13" s="11" t="n"/>
      <c r="H13" s="12">
        <f>IF(G13="","",G13+100)</f>
        <v/>
      </c>
      <c r="I13" s="11" t="n"/>
      <c r="J13" s="11" t="n"/>
      <c r="K13" s="11" t="n"/>
      <c r="L13" s="12">
        <f>IF(K13="","",K13+5)</f>
        <v/>
      </c>
      <c r="M13" s="11" t="n"/>
      <c r="N13" s="12">
        <f>IF(M13&lt;&gt;"",M13,IF(L13="","",L13))</f>
        <v/>
      </c>
      <c r="O13" s="12">
        <f>IF(N13="","",N13+40)</f>
        <v/>
      </c>
      <c r="P13" s="11" t="n"/>
      <c r="Q13" s="12">
        <f>IF(P13&lt;&gt;"",P13,IF(O13="","",O13))</f>
        <v/>
      </c>
      <c r="R13" s="12">
        <f>IF(Q13="","",Q13+70)</f>
        <v/>
      </c>
      <c r="S13" s="11" t="n"/>
      <c r="T13" s="10">
        <f>IF(G13="","",IF(S13&lt;&gt;"","Завершено",IF(P13&lt;&gt;"","Ожидание оплаты",IF(M13&lt;&gt;"","Входной контроль",IF(K13&lt;&gt;"","Ожидание получения в Ленске",IF(I13&lt;&gt;"","В пути Иркутск → Ленск","Ремонт у подрядчика"))))))</f>
        <v/>
      </c>
      <c r="U13" s="10">
        <f>IF(H13="","",MAX(0,IF(I13&lt;&gt;"",I13,Настройки!$B$2)-H13))</f>
        <v/>
      </c>
      <c r="V13" s="10">
        <f>IF(L13="","",MAX(0,IF(M13&lt;&gt;"",M13,Настройки!$B$2)-L13))</f>
        <v/>
      </c>
      <c r="W13" s="10">
        <f>IF(O13="","",MAX(0,IF(P13&lt;&gt;"",P13,Настройки!$B$2)-O13))</f>
        <v/>
      </c>
      <c r="X13" s="10">
        <f>IF(R13="","",MAX(0,IF(S13&lt;&gt;"",S13,Настройки!$B$2)-R13))</f>
        <v/>
      </c>
      <c r="Y13" s="10">
        <f>MAX(U13:X13)</f>
        <v/>
      </c>
    </row>
    <row r="14">
      <c r="A14" s="9" t="n"/>
      <c r="B14" s="9" t="n"/>
      <c r="C14" s="10">
        <f>IFERROR(INDEX(Оборудование!$B$2:$B$200,MATCH(A14,Оборудование!$A$2:$A$200,0)),"")</f>
        <v/>
      </c>
      <c r="D14" s="10">
        <f>IFERROR(INDEX(Оборудование!$C$2:$C$200,MATCH(A14,Оборудование!$A$2:$A$200,0)),"")</f>
        <v/>
      </c>
      <c r="E14" s="10">
        <f>IFERROR(INDEX(Оборудование!$D$2:$D$200,MATCH(A14,Оборудование!$A$2:$A$200,0)),"")</f>
        <v/>
      </c>
      <c r="F14" s="10">
        <f>IFERROR(INDEX(Оборудование!$H$2:$H$200,MATCH(A14,Оборудование!$A$2:$A$200,0)),"")</f>
        <v/>
      </c>
      <c r="G14" s="11" t="n"/>
      <c r="H14" s="12">
        <f>IF(G14="","",G14+100)</f>
        <v/>
      </c>
      <c r="I14" s="11" t="n"/>
      <c r="J14" s="11" t="n"/>
      <c r="K14" s="11" t="n"/>
      <c r="L14" s="12">
        <f>IF(K14="","",K14+5)</f>
        <v/>
      </c>
      <c r="M14" s="11" t="n"/>
      <c r="N14" s="12">
        <f>IF(M14&lt;&gt;"",M14,IF(L14="","",L14))</f>
        <v/>
      </c>
      <c r="O14" s="12">
        <f>IF(N14="","",N14+40)</f>
        <v/>
      </c>
      <c r="P14" s="11" t="n"/>
      <c r="Q14" s="12">
        <f>IF(P14&lt;&gt;"",P14,IF(O14="","",O14))</f>
        <v/>
      </c>
      <c r="R14" s="12">
        <f>IF(Q14="","",Q14+70)</f>
        <v/>
      </c>
      <c r="S14" s="11" t="n"/>
      <c r="T14" s="10">
        <f>IF(G14="","",IF(S14&lt;&gt;"","Завершено",IF(P14&lt;&gt;"","Ожидание оплаты",IF(M14&lt;&gt;"","Входной контроль",IF(K14&lt;&gt;"","Ожидание получения в Ленске",IF(I14&lt;&gt;"","В пути Иркутск → Ленск","Ремонт у подрядчика"))))))</f>
        <v/>
      </c>
      <c r="U14" s="10">
        <f>IF(H14="","",MAX(0,IF(I14&lt;&gt;"",I14,Настройки!$B$2)-H14))</f>
        <v/>
      </c>
      <c r="V14" s="10">
        <f>IF(L14="","",MAX(0,IF(M14&lt;&gt;"",M14,Настройки!$B$2)-L14))</f>
        <v/>
      </c>
      <c r="W14" s="10">
        <f>IF(O14="","",MAX(0,IF(P14&lt;&gt;"",P14,Настройки!$B$2)-O14))</f>
        <v/>
      </c>
      <c r="X14" s="10">
        <f>IF(R14="","",MAX(0,IF(S14&lt;&gt;"",S14,Настройки!$B$2)-R14))</f>
        <v/>
      </c>
      <c r="Y14" s="10">
        <f>MAX(U14:X14)</f>
        <v/>
      </c>
    </row>
    <row r="15">
      <c r="A15" s="9" t="n"/>
      <c r="B15" s="9" t="n"/>
      <c r="C15" s="10">
        <f>IFERROR(INDEX(Оборудование!$B$2:$B$200,MATCH(A15,Оборудование!$A$2:$A$200,0)),"")</f>
        <v/>
      </c>
      <c r="D15" s="10">
        <f>IFERROR(INDEX(Оборудование!$C$2:$C$200,MATCH(A15,Оборудование!$A$2:$A$200,0)),"")</f>
        <v/>
      </c>
      <c r="E15" s="10">
        <f>IFERROR(INDEX(Оборудование!$D$2:$D$200,MATCH(A15,Оборудование!$A$2:$A$200,0)),"")</f>
        <v/>
      </c>
      <c r="F15" s="10">
        <f>IFERROR(INDEX(Оборудование!$H$2:$H$200,MATCH(A15,Оборудование!$A$2:$A$200,0)),"")</f>
        <v/>
      </c>
      <c r="G15" s="11" t="n"/>
      <c r="H15" s="12">
        <f>IF(G15="","",G15+100)</f>
        <v/>
      </c>
      <c r="I15" s="11" t="n"/>
      <c r="J15" s="11" t="n"/>
      <c r="K15" s="11" t="n"/>
      <c r="L15" s="12">
        <f>IF(K15="","",K15+5)</f>
        <v/>
      </c>
      <c r="M15" s="11" t="n"/>
      <c r="N15" s="12">
        <f>IF(M15&lt;&gt;"",M15,IF(L15="","",L15))</f>
        <v/>
      </c>
      <c r="O15" s="12">
        <f>IF(N15="","",N15+40)</f>
        <v/>
      </c>
      <c r="P15" s="11" t="n"/>
      <c r="Q15" s="12">
        <f>IF(P15&lt;&gt;"",P15,IF(O15="","",O15))</f>
        <v/>
      </c>
      <c r="R15" s="12">
        <f>IF(Q15="","",Q15+70)</f>
        <v/>
      </c>
      <c r="S15" s="11" t="n"/>
      <c r="T15" s="10">
        <f>IF(G15="","",IF(S15&lt;&gt;"","Завершено",IF(P15&lt;&gt;"","Ожидание оплаты",IF(M15&lt;&gt;"","Входной контроль",IF(K15&lt;&gt;"","Ожидание получения в Ленске",IF(I15&lt;&gt;"","В пути Иркутск → Ленск","Ремонт у подрядчика"))))))</f>
        <v/>
      </c>
      <c r="U15" s="10">
        <f>IF(H15="","",MAX(0,IF(I15&lt;&gt;"",I15,Настройки!$B$2)-H15))</f>
        <v/>
      </c>
      <c r="V15" s="10">
        <f>IF(L15="","",MAX(0,IF(M15&lt;&gt;"",M15,Настройки!$B$2)-L15))</f>
        <v/>
      </c>
      <c r="W15" s="10">
        <f>IF(O15="","",MAX(0,IF(P15&lt;&gt;"",P15,Настройки!$B$2)-O15))</f>
        <v/>
      </c>
      <c r="X15" s="10">
        <f>IF(R15="","",MAX(0,IF(S15&lt;&gt;"",S15,Настройки!$B$2)-R15))</f>
        <v/>
      </c>
      <c r="Y15" s="10">
        <f>MAX(U15:X15)</f>
        <v/>
      </c>
    </row>
    <row r="16">
      <c r="A16" s="9" t="n"/>
      <c r="B16" s="9" t="n"/>
      <c r="C16" s="10">
        <f>IFERROR(INDEX(Оборудование!$B$2:$B$200,MATCH(A16,Оборудование!$A$2:$A$200,0)),"")</f>
        <v/>
      </c>
      <c r="D16" s="10">
        <f>IFERROR(INDEX(Оборудование!$C$2:$C$200,MATCH(A16,Оборудование!$A$2:$A$200,0)),"")</f>
        <v/>
      </c>
      <c r="E16" s="10">
        <f>IFERROR(INDEX(Оборудование!$D$2:$D$200,MATCH(A16,Оборудование!$A$2:$A$200,0)),"")</f>
        <v/>
      </c>
      <c r="F16" s="10">
        <f>IFERROR(INDEX(Оборудование!$H$2:$H$200,MATCH(A16,Оборудование!$A$2:$A$200,0)),"")</f>
        <v/>
      </c>
      <c r="G16" s="11" t="n"/>
      <c r="H16" s="12">
        <f>IF(G16="","",G16+100)</f>
        <v/>
      </c>
      <c r="I16" s="11" t="n"/>
      <c r="J16" s="11" t="n"/>
      <c r="K16" s="11" t="n"/>
      <c r="L16" s="12">
        <f>IF(K16="","",K16+5)</f>
        <v/>
      </c>
      <c r="M16" s="11" t="n"/>
      <c r="N16" s="12">
        <f>IF(M16&lt;&gt;"",M16,IF(L16="","",L16))</f>
        <v/>
      </c>
      <c r="O16" s="12">
        <f>IF(N16="","",N16+40)</f>
        <v/>
      </c>
      <c r="P16" s="11" t="n"/>
      <c r="Q16" s="12">
        <f>IF(P16&lt;&gt;"",P16,IF(O16="","",O16))</f>
        <v/>
      </c>
      <c r="R16" s="12">
        <f>IF(Q16="","",Q16+70)</f>
        <v/>
      </c>
      <c r="S16" s="11" t="n"/>
      <c r="T16" s="10">
        <f>IF(G16="","",IF(S16&lt;&gt;"","Завершено",IF(P16&lt;&gt;"","Ожидание оплаты",IF(M16&lt;&gt;"","Входной контроль",IF(K16&lt;&gt;"","Ожидание получения в Ленске",IF(I16&lt;&gt;"","В пути Иркутск → Ленск","Ремонт у подрядчика"))))))</f>
        <v/>
      </c>
      <c r="U16" s="10">
        <f>IF(H16="","",MAX(0,IF(I16&lt;&gt;"",I16,Настройки!$B$2)-H16))</f>
        <v/>
      </c>
      <c r="V16" s="10">
        <f>IF(L16="","",MAX(0,IF(M16&lt;&gt;"",M16,Настройки!$B$2)-L16))</f>
        <v/>
      </c>
      <c r="W16" s="10">
        <f>IF(O16="","",MAX(0,IF(P16&lt;&gt;"",P16,Настройки!$B$2)-O16))</f>
        <v/>
      </c>
      <c r="X16" s="10">
        <f>IF(R16="","",MAX(0,IF(S16&lt;&gt;"",S16,Настройки!$B$2)-R16))</f>
        <v/>
      </c>
      <c r="Y16" s="10">
        <f>MAX(U16:X16)</f>
        <v/>
      </c>
    </row>
    <row r="17">
      <c r="A17" s="9" t="n"/>
      <c r="B17" s="9" t="n"/>
      <c r="C17" s="10">
        <f>IFERROR(INDEX(Оборудование!$B$2:$B$200,MATCH(A17,Оборудование!$A$2:$A$200,0)),"")</f>
        <v/>
      </c>
      <c r="D17" s="10">
        <f>IFERROR(INDEX(Оборудование!$C$2:$C$200,MATCH(A17,Оборудование!$A$2:$A$200,0)),"")</f>
        <v/>
      </c>
      <c r="E17" s="10">
        <f>IFERROR(INDEX(Оборудование!$D$2:$D$200,MATCH(A17,Оборудование!$A$2:$A$200,0)),"")</f>
        <v/>
      </c>
      <c r="F17" s="10">
        <f>IFERROR(INDEX(Оборудование!$H$2:$H$200,MATCH(A17,Оборудование!$A$2:$A$200,0)),"")</f>
        <v/>
      </c>
      <c r="G17" s="11" t="n"/>
      <c r="H17" s="12">
        <f>IF(G17="","",G17+100)</f>
        <v/>
      </c>
      <c r="I17" s="11" t="n"/>
      <c r="J17" s="11" t="n"/>
      <c r="K17" s="11" t="n"/>
      <c r="L17" s="12">
        <f>IF(K17="","",K17+5)</f>
        <v/>
      </c>
      <c r="M17" s="11" t="n"/>
      <c r="N17" s="12">
        <f>IF(M17&lt;&gt;"",M17,IF(L17="","",L17))</f>
        <v/>
      </c>
      <c r="O17" s="12">
        <f>IF(N17="","",N17+40)</f>
        <v/>
      </c>
      <c r="P17" s="11" t="n"/>
      <c r="Q17" s="12">
        <f>IF(P17&lt;&gt;"",P17,IF(O17="","",O17))</f>
        <v/>
      </c>
      <c r="R17" s="12">
        <f>IF(Q17="","",Q17+70)</f>
        <v/>
      </c>
      <c r="S17" s="11" t="n"/>
      <c r="T17" s="10">
        <f>IF(G17="","",IF(S17&lt;&gt;"","Завершено",IF(P17&lt;&gt;"","Ожидание оплаты",IF(M17&lt;&gt;"","Входной контроль",IF(K17&lt;&gt;"","Ожидание получения в Ленске",IF(I17&lt;&gt;"","В пути Иркутск → Ленск","Ремонт у подрядчика"))))))</f>
        <v/>
      </c>
      <c r="U17" s="10">
        <f>IF(H17="","",MAX(0,IF(I17&lt;&gt;"",I17,Настройки!$B$2)-H17))</f>
        <v/>
      </c>
      <c r="V17" s="10">
        <f>IF(L17="","",MAX(0,IF(M17&lt;&gt;"",M17,Настройки!$B$2)-L17))</f>
        <v/>
      </c>
      <c r="W17" s="10">
        <f>IF(O17="","",MAX(0,IF(P17&lt;&gt;"",P17,Настройки!$B$2)-O17))</f>
        <v/>
      </c>
      <c r="X17" s="10">
        <f>IF(R17="","",MAX(0,IF(S17&lt;&gt;"",S17,Настройки!$B$2)-R17))</f>
        <v/>
      </c>
      <c r="Y17" s="10">
        <f>MAX(U17:X17)</f>
        <v/>
      </c>
    </row>
    <row r="18">
      <c r="A18" s="9" t="n"/>
      <c r="B18" s="9" t="n"/>
      <c r="C18" s="10">
        <f>IFERROR(INDEX(Оборудование!$B$2:$B$200,MATCH(A18,Оборудование!$A$2:$A$200,0)),"")</f>
        <v/>
      </c>
      <c r="D18" s="10">
        <f>IFERROR(INDEX(Оборудование!$C$2:$C$200,MATCH(A18,Оборудование!$A$2:$A$200,0)),"")</f>
        <v/>
      </c>
      <c r="E18" s="10">
        <f>IFERROR(INDEX(Оборудование!$D$2:$D$200,MATCH(A18,Оборудование!$A$2:$A$200,0)),"")</f>
        <v/>
      </c>
      <c r="F18" s="10">
        <f>IFERROR(INDEX(Оборудование!$H$2:$H$200,MATCH(A18,Оборудование!$A$2:$A$200,0)),"")</f>
        <v/>
      </c>
      <c r="G18" s="11" t="n"/>
      <c r="H18" s="12">
        <f>IF(G18="","",G18+100)</f>
        <v/>
      </c>
      <c r="I18" s="11" t="n"/>
      <c r="J18" s="11" t="n"/>
      <c r="K18" s="11" t="n"/>
      <c r="L18" s="12">
        <f>IF(K18="","",K18+5)</f>
        <v/>
      </c>
      <c r="M18" s="11" t="n"/>
      <c r="N18" s="12">
        <f>IF(M18&lt;&gt;"",M18,IF(L18="","",L18))</f>
        <v/>
      </c>
      <c r="O18" s="12">
        <f>IF(N18="","",N18+40)</f>
        <v/>
      </c>
      <c r="P18" s="11" t="n"/>
      <c r="Q18" s="12">
        <f>IF(P18&lt;&gt;"",P18,IF(O18="","",O18))</f>
        <v/>
      </c>
      <c r="R18" s="12">
        <f>IF(Q18="","",Q18+70)</f>
        <v/>
      </c>
      <c r="S18" s="11" t="n"/>
      <c r="T18" s="10">
        <f>IF(G18="","",IF(S18&lt;&gt;"","Завершено",IF(P18&lt;&gt;"","Ожидание оплаты",IF(M18&lt;&gt;"","Входной контроль",IF(K18&lt;&gt;"","Ожидание получения в Ленске",IF(I18&lt;&gt;"","В пути Иркутск → Ленск","Ремонт у подрядчика"))))))</f>
        <v/>
      </c>
      <c r="U18" s="10">
        <f>IF(H18="","",MAX(0,IF(I18&lt;&gt;"",I18,Настройки!$B$2)-H18))</f>
        <v/>
      </c>
      <c r="V18" s="10">
        <f>IF(L18="","",MAX(0,IF(M18&lt;&gt;"",M18,Настройки!$B$2)-L18))</f>
        <v/>
      </c>
      <c r="W18" s="10">
        <f>IF(O18="","",MAX(0,IF(P18&lt;&gt;"",P18,Настройки!$B$2)-O18))</f>
        <v/>
      </c>
      <c r="X18" s="10">
        <f>IF(R18="","",MAX(0,IF(S18&lt;&gt;"",S18,Настройки!$B$2)-R18))</f>
        <v/>
      </c>
      <c r="Y18" s="10">
        <f>MAX(U18:X18)</f>
        <v/>
      </c>
    </row>
    <row r="19">
      <c r="A19" s="9" t="n"/>
      <c r="B19" s="9" t="n"/>
      <c r="C19" s="10">
        <f>IFERROR(INDEX(Оборудование!$B$2:$B$200,MATCH(A19,Оборудование!$A$2:$A$200,0)),"")</f>
        <v/>
      </c>
      <c r="D19" s="10">
        <f>IFERROR(INDEX(Оборудование!$C$2:$C$200,MATCH(A19,Оборудование!$A$2:$A$200,0)),"")</f>
        <v/>
      </c>
      <c r="E19" s="10">
        <f>IFERROR(INDEX(Оборудование!$D$2:$D$200,MATCH(A19,Оборудование!$A$2:$A$200,0)),"")</f>
        <v/>
      </c>
      <c r="F19" s="10">
        <f>IFERROR(INDEX(Оборудование!$H$2:$H$200,MATCH(A19,Оборудование!$A$2:$A$200,0)),"")</f>
        <v/>
      </c>
      <c r="G19" s="11" t="n"/>
      <c r="H19" s="12">
        <f>IF(G19="","",G19+100)</f>
        <v/>
      </c>
      <c r="I19" s="11" t="n"/>
      <c r="J19" s="11" t="n"/>
      <c r="K19" s="11" t="n"/>
      <c r="L19" s="12">
        <f>IF(K19="","",K19+5)</f>
        <v/>
      </c>
      <c r="M19" s="11" t="n"/>
      <c r="N19" s="12">
        <f>IF(M19&lt;&gt;"",M19,IF(L19="","",L19))</f>
        <v/>
      </c>
      <c r="O19" s="12">
        <f>IF(N19="","",N19+40)</f>
        <v/>
      </c>
      <c r="P19" s="11" t="n"/>
      <c r="Q19" s="12">
        <f>IF(P19&lt;&gt;"",P19,IF(O19="","",O19))</f>
        <v/>
      </c>
      <c r="R19" s="12">
        <f>IF(Q19="","",Q19+70)</f>
        <v/>
      </c>
      <c r="S19" s="11" t="n"/>
      <c r="T19" s="10">
        <f>IF(G19="","",IF(S19&lt;&gt;"","Завершено",IF(P19&lt;&gt;"","Ожидание оплаты",IF(M19&lt;&gt;"","Входной контроль",IF(K19&lt;&gt;"","Ожидание получения в Ленске",IF(I19&lt;&gt;"","В пути Иркутск → Ленск","Ремонт у подрядчика"))))))</f>
        <v/>
      </c>
      <c r="U19" s="10">
        <f>IF(H19="","",MAX(0,IF(I19&lt;&gt;"",I19,Настройки!$B$2)-H19))</f>
        <v/>
      </c>
      <c r="V19" s="10">
        <f>IF(L19="","",MAX(0,IF(M19&lt;&gt;"",M19,Настройки!$B$2)-L19))</f>
        <v/>
      </c>
      <c r="W19" s="10">
        <f>IF(O19="","",MAX(0,IF(P19&lt;&gt;"",P19,Настройки!$B$2)-O19))</f>
        <v/>
      </c>
      <c r="X19" s="10">
        <f>IF(R19="","",MAX(0,IF(S19&lt;&gt;"",S19,Настройки!$B$2)-R19))</f>
        <v/>
      </c>
      <c r="Y19" s="10">
        <f>MAX(U19:X19)</f>
        <v/>
      </c>
    </row>
    <row r="20">
      <c r="A20" s="9" t="n"/>
      <c r="B20" s="9" t="n"/>
      <c r="C20" s="10">
        <f>IFERROR(INDEX(Оборудование!$B$2:$B$200,MATCH(A20,Оборудование!$A$2:$A$200,0)),"")</f>
        <v/>
      </c>
      <c r="D20" s="10">
        <f>IFERROR(INDEX(Оборудование!$C$2:$C$200,MATCH(A20,Оборудование!$A$2:$A$200,0)),"")</f>
        <v/>
      </c>
      <c r="E20" s="10">
        <f>IFERROR(INDEX(Оборудование!$D$2:$D$200,MATCH(A20,Оборудование!$A$2:$A$200,0)),"")</f>
        <v/>
      </c>
      <c r="F20" s="10">
        <f>IFERROR(INDEX(Оборудование!$H$2:$H$200,MATCH(A20,Оборудование!$A$2:$A$200,0)),"")</f>
        <v/>
      </c>
      <c r="G20" s="11" t="n"/>
      <c r="H20" s="12">
        <f>IF(G20="","",G20+100)</f>
        <v/>
      </c>
      <c r="I20" s="11" t="n"/>
      <c r="J20" s="11" t="n"/>
      <c r="K20" s="11" t="n"/>
      <c r="L20" s="12">
        <f>IF(K20="","",K20+5)</f>
        <v/>
      </c>
      <c r="M20" s="11" t="n"/>
      <c r="N20" s="12">
        <f>IF(M20&lt;&gt;"",M20,IF(L20="","",L20))</f>
        <v/>
      </c>
      <c r="O20" s="12">
        <f>IF(N20="","",N20+40)</f>
        <v/>
      </c>
      <c r="P20" s="11" t="n"/>
      <c r="Q20" s="12">
        <f>IF(P20&lt;&gt;"",P20,IF(O20="","",O20))</f>
        <v/>
      </c>
      <c r="R20" s="12">
        <f>IF(Q20="","",Q20+70)</f>
        <v/>
      </c>
      <c r="S20" s="11" t="n"/>
      <c r="T20" s="10">
        <f>IF(G20="","",IF(S20&lt;&gt;"","Завершено",IF(P20&lt;&gt;"","Ожидание оплаты",IF(M20&lt;&gt;"","Входной контроль",IF(K20&lt;&gt;"","Ожидание получения в Ленске",IF(I20&lt;&gt;"","В пути Иркутск → Ленск","Ремонт у подрядчика"))))))</f>
        <v/>
      </c>
      <c r="U20" s="10">
        <f>IF(H20="","",MAX(0,IF(I20&lt;&gt;"",I20,Настройки!$B$2)-H20))</f>
        <v/>
      </c>
      <c r="V20" s="10">
        <f>IF(L20="","",MAX(0,IF(M20&lt;&gt;"",M20,Настройки!$B$2)-L20))</f>
        <v/>
      </c>
      <c r="W20" s="10">
        <f>IF(O20="","",MAX(0,IF(P20&lt;&gt;"",P20,Настройки!$B$2)-O20))</f>
        <v/>
      </c>
      <c r="X20" s="10">
        <f>IF(R20="","",MAX(0,IF(S20&lt;&gt;"",S20,Настройки!$B$2)-R20))</f>
        <v/>
      </c>
      <c r="Y20" s="10">
        <f>MAX(U20:X20)</f>
        <v/>
      </c>
    </row>
    <row r="21">
      <c r="A21" s="9" t="n"/>
      <c r="B21" s="9" t="n"/>
      <c r="C21" s="10">
        <f>IFERROR(INDEX(Оборудование!$B$2:$B$200,MATCH(A21,Оборудование!$A$2:$A$200,0)),"")</f>
        <v/>
      </c>
      <c r="D21" s="10">
        <f>IFERROR(INDEX(Оборудование!$C$2:$C$200,MATCH(A21,Оборудование!$A$2:$A$200,0)),"")</f>
        <v/>
      </c>
      <c r="E21" s="10">
        <f>IFERROR(INDEX(Оборудование!$D$2:$D$200,MATCH(A21,Оборудование!$A$2:$A$200,0)),"")</f>
        <v/>
      </c>
      <c r="F21" s="10">
        <f>IFERROR(INDEX(Оборудование!$H$2:$H$200,MATCH(A21,Оборудование!$A$2:$A$200,0)),"")</f>
        <v/>
      </c>
      <c r="G21" s="11" t="n"/>
      <c r="H21" s="12">
        <f>IF(G21="","",G21+100)</f>
        <v/>
      </c>
      <c r="I21" s="11" t="n"/>
      <c r="J21" s="11" t="n"/>
      <c r="K21" s="11" t="n"/>
      <c r="L21" s="12">
        <f>IF(K21="","",K21+5)</f>
        <v/>
      </c>
      <c r="M21" s="11" t="n"/>
      <c r="N21" s="12">
        <f>IF(M21&lt;&gt;"",M21,IF(L21="","",L21))</f>
        <v/>
      </c>
      <c r="O21" s="12">
        <f>IF(N21="","",N21+40)</f>
        <v/>
      </c>
      <c r="P21" s="11" t="n"/>
      <c r="Q21" s="12">
        <f>IF(P21&lt;&gt;"",P21,IF(O21="","",O21))</f>
        <v/>
      </c>
      <c r="R21" s="12">
        <f>IF(Q21="","",Q21+70)</f>
        <v/>
      </c>
      <c r="S21" s="11" t="n"/>
      <c r="T21" s="10">
        <f>IF(G21="","",IF(S21&lt;&gt;"","Завершено",IF(P21&lt;&gt;"","Ожидание оплаты",IF(M21&lt;&gt;"","Входной контроль",IF(K21&lt;&gt;"","Ожидание получения в Ленске",IF(I21&lt;&gt;"","В пути Иркутск → Ленск","Ремонт у подрядчика"))))))</f>
        <v/>
      </c>
      <c r="U21" s="10">
        <f>IF(H21="","",MAX(0,IF(I21&lt;&gt;"",I21,Настройки!$B$2)-H21))</f>
        <v/>
      </c>
      <c r="V21" s="10">
        <f>IF(L21="","",MAX(0,IF(M21&lt;&gt;"",M21,Настройки!$B$2)-L21))</f>
        <v/>
      </c>
      <c r="W21" s="10">
        <f>IF(O21="","",MAX(0,IF(P21&lt;&gt;"",P21,Настройки!$B$2)-O21))</f>
        <v/>
      </c>
      <c r="X21" s="10">
        <f>IF(R21="","",MAX(0,IF(S21&lt;&gt;"",S21,Настройки!$B$2)-R21))</f>
        <v/>
      </c>
      <c r="Y21" s="10">
        <f>MAX(U21:X21)</f>
        <v/>
      </c>
    </row>
    <row r="22">
      <c r="A22" s="9" t="n"/>
      <c r="B22" s="9" t="n"/>
      <c r="C22" s="10">
        <f>IFERROR(INDEX(Оборудование!$B$2:$B$200,MATCH(A22,Оборудование!$A$2:$A$200,0)),"")</f>
        <v/>
      </c>
      <c r="D22" s="10">
        <f>IFERROR(INDEX(Оборудование!$C$2:$C$200,MATCH(A22,Оборудование!$A$2:$A$200,0)),"")</f>
        <v/>
      </c>
      <c r="E22" s="10">
        <f>IFERROR(INDEX(Оборудование!$D$2:$D$200,MATCH(A22,Оборудование!$A$2:$A$200,0)),"")</f>
        <v/>
      </c>
      <c r="F22" s="10">
        <f>IFERROR(INDEX(Оборудование!$H$2:$H$200,MATCH(A22,Оборудование!$A$2:$A$200,0)),"")</f>
        <v/>
      </c>
      <c r="G22" s="11" t="n"/>
      <c r="H22" s="12">
        <f>IF(G22="","",G22+100)</f>
        <v/>
      </c>
      <c r="I22" s="11" t="n"/>
      <c r="J22" s="11" t="n"/>
      <c r="K22" s="11" t="n"/>
      <c r="L22" s="12">
        <f>IF(K22="","",K22+5)</f>
        <v/>
      </c>
      <c r="M22" s="11" t="n"/>
      <c r="N22" s="12">
        <f>IF(M22&lt;&gt;"",M22,IF(L22="","",L22))</f>
        <v/>
      </c>
      <c r="O22" s="12">
        <f>IF(N22="","",N22+40)</f>
        <v/>
      </c>
      <c r="P22" s="11" t="n"/>
      <c r="Q22" s="12">
        <f>IF(P22&lt;&gt;"",P22,IF(O22="","",O22))</f>
        <v/>
      </c>
      <c r="R22" s="12">
        <f>IF(Q22="","",Q22+70)</f>
        <v/>
      </c>
      <c r="S22" s="11" t="n"/>
      <c r="T22" s="10">
        <f>IF(G22="","",IF(S22&lt;&gt;"","Завершено",IF(P22&lt;&gt;"","Ожидание оплаты",IF(M22&lt;&gt;"","Входной контроль",IF(K22&lt;&gt;"","Ожидание получения в Ленске",IF(I22&lt;&gt;"","В пути Иркутск → Ленск","Ремонт у подрядчика"))))))</f>
        <v/>
      </c>
      <c r="U22" s="10">
        <f>IF(H22="","",MAX(0,IF(I22&lt;&gt;"",I22,Настройки!$B$2)-H22))</f>
        <v/>
      </c>
      <c r="V22" s="10">
        <f>IF(L22="","",MAX(0,IF(M22&lt;&gt;"",M22,Настройки!$B$2)-L22))</f>
        <v/>
      </c>
      <c r="W22" s="10">
        <f>IF(O22="","",MAX(0,IF(P22&lt;&gt;"",P22,Настройки!$B$2)-O22))</f>
        <v/>
      </c>
      <c r="X22" s="10">
        <f>IF(R22="","",MAX(0,IF(S22&lt;&gt;"",S22,Настройки!$B$2)-R22))</f>
        <v/>
      </c>
      <c r="Y22" s="10">
        <f>MAX(U22:X22)</f>
        <v/>
      </c>
    </row>
    <row r="23">
      <c r="A23" s="9" t="n"/>
      <c r="B23" s="9" t="n"/>
      <c r="C23" s="10">
        <f>IFERROR(INDEX(Оборудование!$B$2:$B$200,MATCH(A23,Оборудование!$A$2:$A$200,0)),"")</f>
        <v/>
      </c>
      <c r="D23" s="10">
        <f>IFERROR(INDEX(Оборудование!$C$2:$C$200,MATCH(A23,Оборудование!$A$2:$A$200,0)),"")</f>
        <v/>
      </c>
      <c r="E23" s="10">
        <f>IFERROR(INDEX(Оборудование!$D$2:$D$200,MATCH(A23,Оборудование!$A$2:$A$200,0)),"")</f>
        <v/>
      </c>
      <c r="F23" s="10">
        <f>IFERROR(INDEX(Оборудование!$H$2:$H$200,MATCH(A23,Оборудование!$A$2:$A$200,0)),"")</f>
        <v/>
      </c>
      <c r="G23" s="11" t="n"/>
      <c r="H23" s="12">
        <f>IF(G23="","",G23+100)</f>
        <v/>
      </c>
      <c r="I23" s="11" t="n"/>
      <c r="J23" s="11" t="n"/>
      <c r="K23" s="11" t="n"/>
      <c r="L23" s="12">
        <f>IF(K23="","",K23+5)</f>
        <v/>
      </c>
      <c r="M23" s="11" t="n"/>
      <c r="N23" s="12">
        <f>IF(M23&lt;&gt;"",M23,IF(L23="","",L23))</f>
        <v/>
      </c>
      <c r="O23" s="12">
        <f>IF(N23="","",N23+40)</f>
        <v/>
      </c>
      <c r="P23" s="11" t="n"/>
      <c r="Q23" s="12">
        <f>IF(P23&lt;&gt;"",P23,IF(O23="","",O23))</f>
        <v/>
      </c>
      <c r="R23" s="12">
        <f>IF(Q23="","",Q23+70)</f>
        <v/>
      </c>
      <c r="S23" s="11" t="n"/>
      <c r="T23" s="10">
        <f>IF(G23="","",IF(S23&lt;&gt;"","Завершено",IF(P23&lt;&gt;"","Ожидание оплаты",IF(M23&lt;&gt;"","Входной контроль",IF(K23&lt;&gt;"","Ожидание получения в Ленске",IF(I23&lt;&gt;"","В пути Иркутск → Ленск","Ремонт у подрядчика"))))))</f>
        <v/>
      </c>
      <c r="U23" s="10">
        <f>IF(H23="","",MAX(0,IF(I23&lt;&gt;"",I23,Настройки!$B$2)-H23))</f>
        <v/>
      </c>
      <c r="V23" s="10">
        <f>IF(L23="","",MAX(0,IF(M23&lt;&gt;"",M23,Настройки!$B$2)-L23))</f>
        <v/>
      </c>
      <c r="W23" s="10">
        <f>IF(O23="","",MAX(0,IF(P23&lt;&gt;"",P23,Настройки!$B$2)-O23))</f>
        <v/>
      </c>
      <c r="X23" s="10">
        <f>IF(R23="","",MAX(0,IF(S23&lt;&gt;"",S23,Настройки!$B$2)-R23))</f>
        <v/>
      </c>
      <c r="Y23" s="10">
        <f>MAX(U23:X23)</f>
        <v/>
      </c>
    </row>
    <row r="24">
      <c r="A24" s="9" t="n"/>
      <c r="B24" s="9" t="n"/>
      <c r="C24" s="10">
        <f>IFERROR(INDEX(Оборудование!$B$2:$B$200,MATCH(A24,Оборудование!$A$2:$A$200,0)),"")</f>
        <v/>
      </c>
      <c r="D24" s="10">
        <f>IFERROR(INDEX(Оборудование!$C$2:$C$200,MATCH(A24,Оборудование!$A$2:$A$200,0)),"")</f>
        <v/>
      </c>
      <c r="E24" s="10">
        <f>IFERROR(INDEX(Оборудование!$D$2:$D$200,MATCH(A24,Оборудование!$A$2:$A$200,0)),"")</f>
        <v/>
      </c>
      <c r="F24" s="10">
        <f>IFERROR(INDEX(Оборудование!$H$2:$H$200,MATCH(A24,Оборудование!$A$2:$A$200,0)),"")</f>
        <v/>
      </c>
      <c r="G24" s="11" t="n"/>
      <c r="H24" s="12">
        <f>IF(G24="","",G24+100)</f>
        <v/>
      </c>
      <c r="I24" s="11" t="n"/>
      <c r="J24" s="11" t="n"/>
      <c r="K24" s="11" t="n"/>
      <c r="L24" s="12">
        <f>IF(K24="","",K24+5)</f>
        <v/>
      </c>
      <c r="M24" s="11" t="n"/>
      <c r="N24" s="12">
        <f>IF(M24&lt;&gt;"",M24,IF(L24="","",L24))</f>
        <v/>
      </c>
      <c r="O24" s="12">
        <f>IF(N24="","",N24+40)</f>
        <v/>
      </c>
      <c r="P24" s="11" t="n"/>
      <c r="Q24" s="12">
        <f>IF(P24&lt;&gt;"",P24,IF(O24="","",O24))</f>
        <v/>
      </c>
      <c r="R24" s="12">
        <f>IF(Q24="","",Q24+70)</f>
        <v/>
      </c>
      <c r="S24" s="11" t="n"/>
      <c r="T24" s="10">
        <f>IF(G24="","",IF(S24&lt;&gt;"","Завершено",IF(P24&lt;&gt;"","Ожидание оплаты",IF(M24&lt;&gt;"","Входной контроль",IF(K24&lt;&gt;"","Ожидание получения в Ленске",IF(I24&lt;&gt;"","В пути Иркутск → Ленск","Ремонт у подрядчика"))))))</f>
        <v/>
      </c>
      <c r="U24" s="10">
        <f>IF(H24="","",MAX(0,IF(I24&lt;&gt;"",I24,Настройки!$B$2)-H24))</f>
        <v/>
      </c>
      <c r="V24" s="10">
        <f>IF(L24="","",MAX(0,IF(M24&lt;&gt;"",M24,Настройки!$B$2)-L24))</f>
        <v/>
      </c>
      <c r="W24" s="10">
        <f>IF(O24="","",MAX(0,IF(P24&lt;&gt;"",P24,Настройки!$B$2)-O24))</f>
        <v/>
      </c>
      <c r="X24" s="10">
        <f>IF(R24="","",MAX(0,IF(S24&lt;&gt;"",S24,Настройки!$B$2)-R24))</f>
        <v/>
      </c>
      <c r="Y24" s="10">
        <f>MAX(U24:X24)</f>
        <v/>
      </c>
    </row>
    <row r="25">
      <c r="A25" s="9" t="n"/>
      <c r="B25" s="9" t="n"/>
      <c r="C25" s="10">
        <f>IFERROR(INDEX(Оборудование!$B$2:$B$200,MATCH(A25,Оборудование!$A$2:$A$200,0)),"")</f>
        <v/>
      </c>
      <c r="D25" s="10">
        <f>IFERROR(INDEX(Оборудование!$C$2:$C$200,MATCH(A25,Оборудование!$A$2:$A$200,0)),"")</f>
        <v/>
      </c>
      <c r="E25" s="10">
        <f>IFERROR(INDEX(Оборудование!$D$2:$D$200,MATCH(A25,Оборудование!$A$2:$A$200,0)),"")</f>
        <v/>
      </c>
      <c r="F25" s="10">
        <f>IFERROR(INDEX(Оборудование!$H$2:$H$200,MATCH(A25,Оборудование!$A$2:$A$200,0)),"")</f>
        <v/>
      </c>
      <c r="G25" s="11" t="n"/>
      <c r="H25" s="12">
        <f>IF(G25="","",G25+100)</f>
        <v/>
      </c>
      <c r="I25" s="11" t="n"/>
      <c r="J25" s="11" t="n"/>
      <c r="K25" s="11" t="n"/>
      <c r="L25" s="12">
        <f>IF(K25="","",K25+5)</f>
        <v/>
      </c>
      <c r="M25" s="11" t="n"/>
      <c r="N25" s="12">
        <f>IF(M25&lt;&gt;"",M25,IF(L25="","",L25))</f>
        <v/>
      </c>
      <c r="O25" s="12">
        <f>IF(N25="","",N25+40)</f>
        <v/>
      </c>
      <c r="P25" s="11" t="n"/>
      <c r="Q25" s="12">
        <f>IF(P25&lt;&gt;"",P25,IF(O25="","",O25))</f>
        <v/>
      </c>
      <c r="R25" s="12">
        <f>IF(Q25="","",Q25+70)</f>
        <v/>
      </c>
      <c r="S25" s="11" t="n"/>
      <c r="T25" s="10">
        <f>IF(G25="","",IF(S25&lt;&gt;"","Завершено",IF(P25&lt;&gt;"","Ожидание оплаты",IF(M25&lt;&gt;"","Входной контроль",IF(K25&lt;&gt;"","Ожидание получения в Ленске",IF(I25&lt;&gt;"","В пути Иркутск → Ленск","Ремонт у подрядчика"))))))</f>
        <v/>
      </c>
      <c r="U25" s="10">
        <f>IF(H25="","",MAX(0,IF(I25&lt;&gt;"",I25,Настройки!$B$2)-H25))</f>
        <v/>
      </c>
      <c r="V25" s="10">
        <f>IF(L25="","",MAX(0,IF(M25&lt;&gt;"",M25,Настройки!$B$2)-L25))</f>
        <v/>
      </c>
      <c r="W25" s="10">
        <f>IF(O25="","",MAX(0,IF(P25&lt;&gt;"",P25,Настройки!$B$2)-O25))</f>
        <v/>
      </c>
      <c r="X25" s="10">
        <f>IF(R25="","",MAX(0,IF(S25&lt;&gt;"",S25,Настройки!$B$2)-R25))</f>
        <v/>
      </c>
      <c r="Y25" s="10">
        <f>MAX(U25:X25)</f>
        <v/>
      </c>
    </row>
    <row r="26">
      <c r="A26" s="9" t="n"/>
      <c r="B26" s="9" t="n"/>
      <c r="C26" s="10">
        <f>IFERROR(INDEX(Оборудование!$B$2:$B$200,MATCH(A26,Оборудование!$A$2:$A$200,0)),"")</f>
        <v/>
      </c>
      <c r="D26" s="10">
        <f>IFERROR(INDEX(Оборудование!$C$2:$C$200,MATCH(A26,Оборудование!$A$2:$A$200,0)),"")</f>
        <v/>
      </c>
      <c r="E26" s="10">
        <f>IFERROR(INDEX(Оборудование!$D$2:$D$200,MATCH(A26,Оборудование!$A$2:$A$200,0)),"")</f>
        <v/>
      </c>
      <c r="F26" s="10">
        <f>IFERROR(INDEX(Оборудование!$H$2:$H$200,MATCH(A26,Оборудование!$A$2:$A$200,0)),"")</f>
        <v/>
      </c>
      <c r="G26" s="11" t="n"/>
      <c r="H26" s="12">
        <f>IF(G26="","",G26+100)</f>
        <v/>
      </c>
      <c r="I26" s="11" t="n"/>
      <c r="J26" s="11" t="n"/>
      <c r="K26" s="11" t="n"/>
      <c r="L26" s="12">
        <f>IF(K26="","",K26+5)</f>
        <v/>
      </c>
      <c r="M26" s="11" t="n"/>
      <c r="N26" s="12">
        <f>IF(M26&lt;&gt;"",M26,IF(L26="","",L26))</f>
        <v/>
      </c>
      <c r="O26" s="12">
        <f>IF(N26="","",N26+40)</f>
        <v/>
      </c>
      <c r="P26" s="11" t="n"/>
      <c r="Q26" s="12">
        <f>IF(P26&lt;&gt;"",P26,IF(O26="","",O26))</f>
        <v/>
      </c>
      <c r="R26" s="12">
        <f>IF(Q26="","",Q26+70)</f>
        <v/>
      </c>
      <c r="S26" s="11" t="n"/>
      <c r="T26" s="10">
        <f>IF(G26="","",IF(S26&lt;&gt;"","Завершено",IF(P26&lt;&gt;"","Ожидание оплаты",IF(M26&lt;&gt;"","Входной контроль",IF(K26&lt;&gt;"","Ожидание получения в Ленске",IF(I26&lt;&gt;"","В пути Иркутск → Ленск","Ремонт у подрядчика"))))))</f>
        <v/>
      </c>
      <c r="U26" s="10">
        <f>IF(H26="","",MAX(0,IF(I26&lt;&gt;"",I26,Настройки!$B$2)-H26))</f>
        <v/>
      </c>
      <c r="V26" s="10">
        <f>IF(L26="","",MAX(0,IF(M26&lt;&gt;"",M26,Настройки!$B$2)-L26))</f>
        <v/>
      </c>
      <c r="W26" s="10">
        <f>IF(O26="","",MAX(0,IF(P26&lt;&gt;"",P26,Настройки!$B$2)-O26))</f>
        <v/>
      </c>
      <c r="X26" s="10">
        <f>IF(R26="","",MAX(0,IF(S26&lt;&gt;"",S26,Настройки!$B$2)-R26))</f>
        <v/>
      </c>
      <c r="Y26" s="10">
        <f>MAX(U26:X26)</f>
        <v/>
      </c>
    </row>
    <row r="27">
      <c r="A27" s="9" t="n"/>
      <c r="B27" s="9" t="n"/>
      <c r="C27" s="10">
        <f>IFERROR(INDEX(Оборудование!$B$2:$B$200,MATCH(A27,Оборудование!$A$2:$A$200,0)),"")</f>
        <v/>
      </c>
      <c r="D27" s="10">
        <f>IFERROR(INDEX(Оборудование!$C$2:$C$200,MATCH(A27,Оборудование!$A$2:$A$200,0)),"")</f>
        <v/>
      </c>
      <c r="E27" s="10">
        <f>IFERROR(INDEX(Оборудование!$D$2:$D$200,MATCH(A27,Оборудование!$A$2:$A$200,0)),"")</f>
        <v/>
      </c>
      <c r="F27" s="10">
        <f>IFERROR(INDEX(Оборудование!$H$2:$H$200,MATCH(A27,Оборудование!$A$2:$A$200,0)),"")</f>
        <v/>
      </c>
      <c r="G27" s="11" t="n"/>
      <c r="H27" s="12">
        <f>IF(G27="","",G27+100)</f>
        <v/>
      </c>
      <c r="I27" s="11" t="n"/>
      <c r="J27" s="11" t="n"/>
      <c r="K27" s="11" t="n"/>
      <c r="L27" s="12">
        <f>IF(K27="","",K27+5)</f>
        <v/>
      </c>
      <c r="M27" s="11" t="n"/>
      <c r="N27" s="12">
        <f>IF(M27&lt;&gt;"",M27,IF(L27="","",L27))</f>
        <v/>
      </c>
      <c r="O27" s="12">
        <f>IF(N27="","",N27+40)</f>
        <v/>
      </c>
      <c r="P27" s="11" t="n"/>
      <c r="Q27" s="12">
        <f>IF(P27&lt;&gt;"",P27,IF(O27="","",O27))</f>
        <v/>
      </c>
      <c r="R27" s="12">
        <f>IF(Q27="","",Q27+70)</f>
        <v/>
      </c>
      <c r="S27" s="11" t="n"/>
      <c r="T27" s="10">
        <f>IF(G27="","",IF(S27&lt;&gt;"","Завершено",IF(P27&lt;&gt;"","Ожидание оплаты",IF(M27&lt;&gt;"","Входной контроль",IF(K27&lt;&gt;"","Ожидание получения в Ленске",IF(I27&lt;&gt;"","В пути Иркутск → Ленск","Ремонт у подрядчика"))))))</f>
        <v/>
      </c>
      <c r="U27" s="10">
        <f>IF(H27="","",MAX(0,IF(I27&lt;&gt;"",I27,Настройки!$B$2)-H27))</f>
        <v/>
      </c>
      <c r="V27" s="10">
        <f>IF(L27="","",MAX(0,IF(M27&lt;&gt;"",M27,Настройки!$B$2)-L27))</f>
        <v/>
      </c>
      <c r="W27" s="10">
        <f>IF(O27="","",MAX(0,IF(P27&lt;&gt;"",P27,Настройки!$B$2)-O27))</f>
        <v/>
      </c>
      <c r="X27" s="10">
        <f>IF(R27="","",MAX(0,IF(S27&lt;&gt;"",S27,Настройки!$B$2)-R27))</f>
        <v/>
      </c>
      <c r="Y27" s="10">
        <f>MAX(U27:X27)</f>
        <v/>
      </c>
    </row>
    <row r="28">
      <c r="A28" s="9" t="n"/>
      <c r="B28" s="9" t="n"/>
      <c r="C28" s="10">
        <f>IFERROR(INDEX(Оборудование!$B$2:$B$200,MATCH(A28,Оборудование!$A$2:$A$200,0)),"")</f>
        <v/>
      </c>
      <c r="D28" s="10">
        <f>IFERROR(INDEX(Оборудование!$C$2:$C$200,MATCH(A28,Оборудование!$A$2:$A$200,0)),"")</f>
        <v/>
      </c>
      <c r="E28" s="10">
        <f>IFERROR(INDEX(Оборудование!$D$2:$D$200,MATCH(A28,Оборудование!$A$2:$A$200,0)),"")</f>
        <v/>
      </c>
      <c r="F28" s="10">
        <f>IFERROR(INDEX(Оборудование!$H$2:$H$200,MATCH(A28,Оборудование!$A$2:$A$200,0)),"")</f>
        <v/>
      </c>
      <c r="G28" s="11" t="n"/>
      <c r="H28" s="12">
        <f>IF(G28="","",G28+100)</f>
        <v/>
      </c>
      <c r="I28" s="11" t="n"/>
      <c r="J28" s="11" t="n"/>
      <c r="K28" s="11" t="n"/>
      <c r="L28" s="12">
        <f>IF(K28="","",K28+5)</f>
        <v/>
      </c>
      <c r="M28" s="11" t="n"/>
      <c r="N28" s="12">
        <f>IF(M28&lt;&gt;"",M28,IF(L28="","",L28))</f>
        <v/>
      </c>
      <c r="O28" s="12">
        <f>IF(N28="","",N28+40)</f>
        <v/>
      </c>
      <c r="P28" s="11" t="n"/>
      <c r="Q28" s="12">
        <f>IF(P28&lt;&gt;"",P28,IF(O28="","",O28))</f>
        <v/>
      </c>
      <c r="R28" s="12">
        <f>IF(Q28="","",Q28+70)</f>
        <v/>
      </c>
      <c r="S28" s="11" t="n"/>
      <c r="T28" s="10">
        <f>IF(G28="","",IF(S28&lt;&gt;"","Завершено",IF(P28&lt;&gt;"","Ожидание оплаты",IF(M28&lt;&gt;"","Входной контроль",IF(K28&lt;&gt;"","Ожидание получения в Ленске",IF(I28&lt;&gt;"","В пути Иркутск → Ленск","Ремонт у подрядчика"))))))</f>
        <v/>
      </c>
      <c r="U28" s="10">
        <f>IF(H28="","",MAX(0,IF(I28&lt;&gt;"",I28,Настройки!$B$2)-H28))</f>
        <v/>
      </c>
      <c r="V28" s="10">
        <f>IF(L28="","",MAX(0,IF(M28&lt;&gt;"",M28,Настройки!$B$2)-L28))</f>
        <v/>
      </c>
      <c r="W28" s="10">
        <f>IF(O28="","",MAX(0,IF(P28&lt;&gt;"",P28,Настройки!$B$2)-O28))</f>
        <v/>
      </c>
      <c r="X28" s="10">
        <f>IF(R28="","",MAX(0,IF(S28&lt;&gt;"",S28,Настройки!$B$2)-R28))</f>
        <v/>
      </c>
      <c r="Y28" s="10">
        <f>MAX(U28:X28)</f>
        <v/>
      </c>
    </row>
    <row r="29">
      <c r="A29" s="9" t="n"/>
      <c r="B29" s="9" t="n"/>
      <c r="C29" s="10">
        <f>IFERROR(INDEX(Оборудование!$B$2:$B$200,MATCH(A29,Оборудование!$A$2:$A$200,0)),"")</f>
        <v/>
      </c>
      <c r="D29" s="10">
        <f>IFERROR(INDEX(Оборудование!$C$2:$C$200,MATCH(A29,Оборудование!$A$2:$A$200,0)),"")</f>
        <v/>
      </c>
      <c r="E29" s="10">
        <f>IFERROR(INDEX(Оборудование!$D$2:$D$200,MATCH(A29,Оборудование!$A$2:$A$200,0)),"")</f>
        <v/>
      </c>
      <c r="F29" s="10">
        <f>IFERROR(INDEX(Оборудование!$H$2:$H$200,MATCH(A29,Оборудование!$A$2:$A$200,0)),"")</f>
        <v/>
      </c>
      <c r="G29" s="11" t="n"/>
      <c r="H29" s="12">
        <f>IF(G29="","",G29+100)</f>
        <v/>
      </c>
      <c r="I29" s="11" t="n"/>
      <c r="J29" s="11" t="n"/>
      <c r="K29" s="11" t="n"/>
      <c r="L29" s="12">
        <f>IF(K29="","",K29+5)</f>
        <v/>
      </c>
      <c r="M29" s="11" t="n"/>
      <c r="N29" s="12">
        <f>IF(M29&lt;&gt;"",M29,IF(L29="","",L29))</f>
        <v/>
      </c>
      <c r="O29" s="12">
        <f>IF(N29="","",N29+40)</f>
        <v/>
      </c>
      <c r="P29" s="11" t="n"/>
      <c r="Q29" s="12">
        <f>IF(P29&lt;&gt;"",P29,IF(O29="","",O29))</f>
        <v/>
      </c>
      <c r="R29" s="12">
        <f>IF(Q29="","",Q29+70)</f>
        <v/>
      </c>
      <c r="S29" s="11" t="n"/>
      <c r="T29" s="10">
        <f>IF(G29="","",IF(S29&lt;&gt;"","Завершено",IF(P29&lt;&gt;"","Ожидание оплаты",IF(M29&lt;&gt;"","Входной контроль",IF(K29&lt;&gt;"","Ожидание получения в Ленске",IF(I29&lt;&gt;"","В пути Иркутск → Ленск","Ремонт у подрядчика"))))))</f>
        <v/>
      </c>
      <c r="U29" s="10">
        <f>IF(H29="","",MAX(0,IF(I29&lt;&gt;"",I29,Настройки!$B$2)-H29))</f>
        <v/>
      </c>
      <c r="V29" s="10">
        <f>IF(L29="","",MAX(0,IF(M29&lt;&gt;"",M29,Настройки!$B$2)-L29))</f>
        <v/>
      </c>
      <c r="W29" s="10">
        <f>IF(O29="","",MAX(0,IF(P29&lt;&gt;"",P29,Настройки!$B$2)-O29))</f>
        <v/>
      </c>
      <c r="X29" s="10">
        <f>IF(R29="","",MAX(0,IF(S29&lt;&gt;"",S29,Настройки!$B$2)-R29))</f>
        <v/>
      </c>
      <c r="Y29" s="10">
        <f>MAX(U29:X29)</f>
        <v/>
      </c>
    </row>
    <row r="30">
      <c r="A30" s="9" t="n"/>
      <c r="B30" s="9" t="n"/>
      <c r="C30" s="10">
        <f>IFERROR(INDEX(Оборудование!$B$2:$B$200,MATCH(A30,Оборудование!$A$2:$A$200,0)),"")</f>
        <v/>
      </c>
      <c r="D30" s="10">
        <f>IFERROR(INDEX(Оборудование!$C$2:$C$200,MATCH(A30,Оборудование!$A$2:$A$200,0)),"")</f>
        <v/>
      </c>
      <c r="E30" s="10">
        <f>IFERROR(INDEX(Оборудование!$D$2:$D$200,MATCH(A30,Оборудование!$A$2:$A$200,0)),"")</f>
        <v/>
      </c>
      <c r="F30" s="10">
        <f>IFERROR(INDEX(Оборудование!$H$2:$H$200,MATCH(A30,Оборудование!$A$2:$A$200,0)),"")</f>
        <v/>
      </c>
      <c r="G30" s="11" t="n"/>
      <c r="H30" s="12">
        <f>IF(G30="","",G30+100)</f>
        <v/>
      </c>
      <c r="I30" s="11" t="n"/>
      <c r="J30" s="11" t="n"/>
      <c r="K30" s="11" t="n"/>
      <c r="L30" s="12">
        <f>IF(K30="","",K30+5)</f>
        <v/>
      </c>
      <c r="M30" s="11" t="n"/>
      <c r="N30" s="12">
        <f>IF(M30&lt;&gt;"",M30,IF(L30="","",L30))</f>
        <v/>
      </c>
      <c r="O30" s="12">
        <f>IF(N30="","",N30+40)</f>
        <v/>
      </c>
      <c r="P30" s="11" t="n"/>
      <c r="Q30" s="12">
        <f>IF(P30&lt;&gt;"",P30,IF(O30="","",O30))</f>
        <v/>
      </c>
      <c r="R30" s="12">
        <f>IF(Q30="","",Q30+70)</f>
        <v/>
      </c>
      <c r="S30" s="11" t="n"/>
      <c r="T30" s="10">
        <f>IF(G30="","",IF(S30&lt;&gt;"","Завершено",IF(P30&lt;&gt;"","Ожидание оплаты",IF(M30&lt;&gt;"","Входной контроль",IF(K30&lt;&gt;"","Ожидание получения в Ленске",IF(I30&lt;&gt;"","В пути Иркутск → Ленск","Ремонт у подрядчика"))))))</f>
        <v/>
      </c>
      <c r="U30" s="10">
        <f>IF(H30="","",MAX(0,IF(I30&lt;&gt;"",I30,Настройки!$B$2)-H30))</f>
        <v/>
      </c>
      <c r="V30" s="10">
        <f>IF(L30="","",MAX(0,IF(M30&lt;&gt;"",M30,Настройки!$B$2)-L30))</f>
        <v/>
      </c>
      <c r="W30" s="10">
        <f>IF(O30="","",MAX(0,IF(P30&lt;&gt;"",P30,Настройки!$B$2)-O30))</f>
        <v/>
      </c>
      <c r="X30" s="10">
        <f>IF(R30="","",MAX(0,IF(S30&lt;&gt;"",S30,Настройки!$B$2)-R30))</f>
        <v/>
      </c>
      <c r="Y30" s="10">
        <f>MAX(U30:X30)</f>
        <v/>
      </c>
    </row>
    <row r="31">
      <c r="A31" s="9" t="n"/>
      <c r="B31" s="9" t="n"/>
      <c r="C31" s="10">
        <f>IFERROR(INDEX(Оборудование!$B$2:$B$200,MATCH(A31,Оборудование!$A$2:$A$200,0)),"")</f>
        <v/>
      </c>
      <c r="D31" s="10">
        <f>IFERROR(INDEX(Оборудование!$C$2:$C$200,MATCH(A31,Оборудование!$A$2:$A$200,0)),"")</f>
        <v/>
      </c>
      <c r="E31" s="10">
        <f>IFERROR(INDEX(Оборудование!$D$2:$D$200,MATCH(A31,Оборудование!$A$2:$A$200,0)),"")</f>
        <v/>
      </c>
      <c r="F31" s="10">
        <f>IFERROR(INDEX(Оборудование!$H$2:$H$200,MATCH(A31,Оборудование!$A$2:$A$200,0)),"")</f>
        <v/>
      </c>
      <c r="G31" s="11" t="n"/>
      <c r="H31" s="12">
        <f>IF(G31="","",G31+100)</f>
        <v/>
      </c>
      <c r="I31" s="11" t="n"/>
      <c r="J31" s="11" t="n"/>
      <c r="K31" s="11" t="n"/>
      <c r="L31" s="12">
        <f>IF(K31="","",K31+5)</f>
        <v/>
      </c>
      <c r="M31" s="11" t="n"/>
      <c r="N31" s="12">
        <f>IF(M31&lt;&gt;"",M31,IF(L31="","",L31))</f>
        <v/>
      </c>
      <c r="O31" s="12">
        <f>IF(N31="","",N31+40)</f>
        <v/>
      </c>
      <c r="P31" s="11" t="n"/>
      <c r="Q31" s="12">
        <f>IF(P31&lt;&gt;"",P31,IF(O31="","",O31))</f>
        <v/>
      </c>
      <c r="R31" s="12">
        <f>IF(Q31="","",Q31+70)</f>
        <v/>
      </c>
      <c r="S31" s="11" t="n"/>
      <c r="T31" s="10">
        <f>IF(G31="","",IF(S31&lt;&gt;"","Завершено",IF(P31&lt;&gt;"","Ожидание оплаты",IF(M31&lt;&gt;"","Входной контроль",IF(K31&lt;&gt;"","Ожидание получения в Ленске",IF(I31&lt;&gt;"","В пути Иркутск → Ленск","Ремонт у подрядчика"))))))</f>
        <v/>
      </c>
      <c r="U31" s="10">
        <f>IF(H31="","",MAX(0,IF(I31&lt;&gt;"",I31,Настройки!$B$2)-H31))</f>
        <v/>
      </c>
      <c r="V31" s="10">
        <f>IF(L31="","",MAX(0,IF(M31&lt;&gt;"",M31,Настройки!$B$2)-L31))</f>
        <v/>
      </c>
      <c r="W31" s="10">
        <f>IF(O31="","",MAX(0,IF(P31&lt;&gt;"",P31,Настройки!$B$2)-O31))</f>
        <v/>
      </c>
      <c r="X31" s="10">
        <f>IF(R31="","",MAX(0,IF(S31&lt;&gt;"",S31,Настройки!$B$2)-R31))</f>
        <v/>
      </c>
      <c r="Y31" s="10">
        <f>MAX(U31:X31)</f>
        <v/>
      </c>
    </row>
    <row r="32">
      <c r="A32" s="9" t="n"/>
      <c r="B32" s="9" t="n"/>
      <c r="C32" s="10">
        <f>IFERROR(INDEX(Оборудование!$B$2:$B$200,MATCH(A32,Оборудование!$A$2:$A$200,0)),"")</f>
        <v/>
      </c>
      <c r="D32" s="10">
        <f>IFERROR(INDEX(Оборудование!$C$2:$C$200,MATCH(A32,Оборудование!$A$2:$A$200,0)),"")</f>
        <v/>
      </c>
      <c r="E32" s="10">
        <f>IFERROR(INDEX(Оборудование!$D$2:$D$200,MATCH(A32,Оборудование!$A$2:$A$200,0)),"")</f>
        <v/>
      </c>
      <c r="F32" s="10">
        <f>IFERROR(INDEX(Оборудование!$H$2:$H$200,MATCH(A32,Оборудование!$A$2:$A$200,0)),"")</f>
        <v/>
      </c>
      <c r="G32" s="11" t="n"/>
      <c r="H32" s="12">
        <f>IF(G32="","",G32+100)</f>
        <v/>
      </c>
      <c r="I32" s="11" t="n"/>
      <c r="J32" s="11" t="n"/>
      <c r="K32" s="11" t="n"/>
      <c r="L32" s="12">
        <f>IF(K32="","",K32+5)</f>
        <v/>
      </c>
      <c r="M32" s="11" t="n"/>
      <c r="N32" s="12">
        <f>IF(M32&lt;&gt;"",M32,IF(L32="","",L32))</f>
        <v/>
      </c>
      <c r="O32" s="12">
        <f>IF(N32="","",N32+40)</f>
        <v/>
      </c>
      <c r="P32" s="11" t="n"/>
      <c r="Q32" s="12">
        <f>IF(P32&lt;&gt;"",P32,IF(O32="","",O32))</f>
        <v/>
      </c>
      <c r="R32" s="12">
        <f>IF(Q32="","",Q32+70)</f>
        <v/>
      </c>
      <c r="S32" s="11" t="n"/>
      <c r="T32" s="10">
        <f>IF(G32="","",IF(S32&lt;&gt;"","Завершено",IF(P32&lt;&gt;"","Ожидание оплаты",IF(M32&lt;&gt;"","Входной контроль",IF(K32&lt;&gt;"","Ожидание получения в Ленске",IF(I32&lt;&gt;"","В пути Иркутск → Ленск","Ремонт у подрядчика"))))))</f>
        <v/>
      </c>
      <c r="U32" s="10">
        <f>IF(H32="","",MAX(0,IF(I32&lt;&gt;"",I32,Настройки!$B$2)-H32))</f>
        <v/>
      </c>
      <c r="V32" s="10">
        <f>IF(L32="","",MAX(0,IF(M32&lt;&gt;"",M32,Настройки!$B$2)-L32))</f>
        <v/>
      </c>
      <c r="W32" s="10">
        <f>IF(O32="","",MAX(0,IF(P32&lt;&gt;"",P32,Настройки!$B$2)-O32))</f>
        <v/>
      </c>
      <c r="X32" s="10">
        <f>IF(R32="","",MAX(0,IF(S32&lt;&gt;"",S32,Настройки!$B$2)-R32))</f>
        <v/>
      </c>
      <c r="Y32" s="10">
        <f>MAX(U32:X32)</f>
        <v/>
      </c>
    </row>
    <row r="33">
      <c r="A33" s="9" t="n"/>
      <c r="B33" s="9" t="n"/>
      <c r="C33" s="10">
        <f>IFERROR(INDEX(Оборудование!$B$2:$B$200,MATCH(A33,Оборудование!$A$2:$A$200,0)),"")</f>
        <v/>
      </c>
      <c r="D33" s="10">
        <f>IFERROR(INDEX(Оборудование!$C$2:$C$200,MATCH(A33,Оборудование!$A$2:$A$200,0)),"")</f>
        <v/>
      </c>
      <c r="E33" s="10">
        <f>IFERROR(INDEX(Оборудование!$D$2:$D$200,MATCH(A33,Оборудование!$A$2:$A$200,0)),"")</f>
        <v/>
      </c>
      <c r="F33" s="10">
        <f>IFERROR(INDEX(Оборудование!$H$2:$H$200,MATCH(A33,Оборудование!$A$2:$A$200,0)),"")</f>
        <v/>
      </c>
      <c r="G33" s="11" t="n"/>
      <c r="H33" s="12">
        <f>IF(G33="","",G33+100)</f>
        <v/>
      </c>
      <c r="I33" s="11" t="n"/>
      <c r="J33" s="11" t="n"/>
      <c r="K33" s="11" t="n"/>
      <c r="L33" s="12">
        <f>IF(K33="","",K33+5)</f>
        <v/>
      </c>
      <c r="M33" s="11" t="n"/>
      <c r="N33" s="12">
        <f>IF(M33&lt;&gt;"",M33,IF(L33="","",L33))</f>
        <v/>
      </c>
      <c r="O33" s="12">
        <f>IF(N33="","",N33+40)</f>
        <v/>
      </c>
      <c r="P33" s="11" t="n"/>
      <c r="Q33" s="12">
        <f>IF(P33&lt;&gt;"",P33,IF(O33="","",O33))</f>
        <v/>
      </c>
      <c r="R33" s="12">
        <f>IF(Q33="","",Q33+70)</f>
        <v/>
      </c>
      <c r="S33" s="11" t="n"/>
      <c r="T33" s="10">
        <f>IF(G33="","",IF(S33&lt;&gt;"","Завершено",IF(P33&lt;&gt;"","Ожидание оплаты",IF(M33&lt;&gt;"","Входной контроль",IF(K33&lt;&gt;"","Ожидание получения в Ленске",IF(I33&lt;&gt;"","В пути Иркутск → Ленск","Ремонт у подрядчика"))))))</f>
        <v/>
      </c>
      <c r="U33" s="10">
        <f>IF(H33="","",MAX(0,IF(I33&lt;&gt;"",I33,Настройки!$B$2)-H33))</f>
        <v/>
      </c>
      <c r="V33" s="10">
        <f>IF(L33="","",MAX(0,IF(M33&lt;&gt;"",M33,Настройки!$B$2)-L33))</f>
        <v/>
      </c>
      <c r="W33" s="10">
        <f>IF(O33="","",MAX(0,IF(P33&lt;&gt;"",P33,Настройки!$B$2)-O33))</f>
        <v/>
      </c>
      <c r="X33" s="10">
        <f>IF(R33="","",MAX(0,IF(S33&lt;&gt;"",S33,Настройки!$B$2)-R33))</f>
        <v/>
      </c>
      <c r="Y33" s="10">
        <f>MAX(U33:X33)</f>
        <v/>
      </c>
    </row>
    <row r="34">
      <c r="A34" s="9" t="n"/>
      <c r="B34" s="9" t="n"/>
      <c r="C34" s="10">
        <f>IFERROR(INDEX(Оборудование!$B$2:$B$200,MATCH(A34,Оборудование!$A$2:$A$200,0)),"")</f>
        <v/>
      </c>
      <c r="D34" s="10">
        <f>IFERROR(INDEX(Оборудование!$C$2:$C$200,MATCH(A34,Оборудование!$A$2:$A$200,0)),"")</f>
        <v/>
      </c>
      <c r="E34" s="10">
        <f>IFERROR(INDEX(Оборудование!$D$2:$D$200,MATCH(A34,Оборудование!$A$2:$A$200,0)),"")</f>
        <v/>
      </c>
      <c r="F34" s="10">
        <f>IFERROR(INDEX(Оборудование!$H$2:$H$200,MATCH(A34,Оборудование!$A$2:$A$200,0)),"")</f>
        <v/>
      </c>
      <c r="G34" s="11" t="n"/>
      <c r="H34" s="12">
        <f>IF(G34="","",G34+100)</f>
        <v/>
      </c>
      <c r="I34" s="11" t="n"/>
      <c r="J34" s="11" t="n"/>
      <c r="K34" s="11" t="n"/>
      <c r="L34" s="12">
        <f>IF(K34="","",K34+5)</f>
        <v/>
      </c>
      <c r="M34" s="11" t="n"/>
      <c r="N34" s="12">
        <f>IF(M34&lt;&gt;"",M34,IF(L34="","",L34))</f>
        <v/>
      </c>
      <c r="O34" s="12">
        <f>IF(N34="","",N34+40)</f>
        <v/>
      </c>
      <c r="P34" s="11" t="n"/>
      <c r="Q34" s="12">
        <f>IF(P34&lt;&gt;"",P34,IF(O34="","",O34))</f>
        <v/>
      </c>
      <c r="R34" s="12">
        <f>IF(Q34="","",Q34+70)</f>
        <v/>
      </c>
      <c r="S34" s="11" t="n"/>
      <c r="T34" s="10">
        <f>IF(G34="","",IF(S34&lt;&gt;"","Завершено",IF(P34&lt;&gt;"","Ожидание оплаты",IF(M34&lt;&gt;"","Входной контроль",IF(K34&lt;&gt;"","Ожидание получения в Ленске",IF(I34&lt;&gt;"","В пути Иркутск → Ленск","Ремонт у подрядчика"))))))</f>
        <v/>
      </c>
      <c r="U34" s="10">
        <f>IF(H34="","",MAX(0,IF(I34&lt;&gt;"",I34,Настройки!$B$2)-H34))</f>
        <v/>
      </c>
      <c r="V34" s="10">
        <f>IF(L34="","",MAX(0,IF(M34&lt;&gt;"",M34,Настройки!$B$2)-L34))</f>
        <v/>
      </c>
      <c r="W34" s="10">
        <f>IF(O34="","",MAX(0,IF(P34&lt;&gt;"",P34,Настройки!$B$2)-O34))</f>
        <v/>
      </c>
      <c r="X34" s="10">
        <f>IF(R34="","",MAX(0,IF(S34&lt;&gt;"",S34,Настройки!$B$2)-R34))</f>
        <v/>
      </c>
      <c r="Y34" s="10">
        <f>MAX(U34:X34)</f>
        <v/>
      </c>
    </row>
    <row r="35">
      <c r="A35" s="9" t="n"/>
      <c r="B35" s="9" t="n"/>
      <c r="C35" s="10">
        <f>IFERROR(INDEX(Оборудование!$B$2:$B$200,MATCH(A35,Оборудование!$A$2:$A$200,0)),"")</f>
        <v/>
      </c>
      <c r="D35" s="10">
        <f>IFERROR(INDEX(Оборудование!$C$2:$C$200,MATCH(A35,Оборудование!$A$2:$A$200,0)),"")</f>
        <v/>
      </c>
      <c r="E35" s="10">
        <f>IFERROR(INDEX(Оборудование!$D$2:$D$200,MATCH(A35,Оборудование!$A$2:$A$200,0)),"")</f>
        <v/>
      </c>
      <c r="F35" s="10">
        <f>IFERROR(INDEX(Оборудование!$H$2:$H$200,MATCH(A35,Оборудование!$A$2:$A$200,0)),"")</f>
        <v/>
      </c>
      <c r="G35" s="11" t="n"/>
      <c r="H35" s="12">
        <f>IF(G35="","",G35+100)</f>
        <v/>
      </c>
      <c r="I35" s="11" t="n"/>
      <c r="J35" s="11" t="n"/>
      <c r="K35" s="11" t="n"/>
      <c r="L35" s="12">
        <f>IF(K35="","",K35+5)</f>
        <v/>
      </c>
      <c r="M35" s="11" t="n"/>
      <c r="N35" s="12">
        <f>IF(M35&lt;&gt;"",M35,IF(L35="","",L35))</f>
        <v/>
      </c>
      <c r="O35" s="12">
        <f>IF(N35="","",N35+40)</f>
        <v/>
      </c>
      <c r="P35" s="11" t="n"/>
      <c r="Q35" s="12">
        <f>IF(P35&lt;&gt;"",P35,IF(O35="","",O35))</f>
        <v/>
      </c>
      <c r="R35" s="12">
        <f>IF(Q35="","",Q35+70)</f>
        <v/>
      </c>
      <c r="S35" s="11" t="n"/>
      <c r="T35" s="10">
        <f>IF(G35="","",IF(S35&lt;&gt;"","Завершено",IF(P35&lt;&gt;"","Ожидание оплаты",IF(M35&lt;&gt;"","Входной контроль",IF(K35&lt;&gt;"","Ожидание получения в Ленске",IF(I35&lt;&gt;"","В пути Иркутск → Ленск","Ремонт у подрядчика"))))))</f>
        <v/>
      </c>
      <c r="U35" s="10">
        <f>IF(H35="","",MAX(0,IF(I35&lt;&gt;"",I35,Настройки!$B$2)-H35))</f>
        <v/>
      </c>
      <c r="V35" s="10">
        <f>IF(L35="","",MAX(0,IF(M35&lt;&gt;"",M35,Настройки!$B$2)-L35))</f>
        <v/>
      </c>
      <c r="W35" s="10">
        <f>IF(O35="","",MAX(0,IF(P35&lt;&gt;"",P35,Настройки!$B$2)-O35))</f>
        <v/>
      </c>
      <c r="X35" s="10">
        <f>IF(R35="","",MAX(0,IF(S35&lt;&gt;"",S35,Настройки!$B$2)-R35))</f>
        <v/>
      </c>
      <c r="Y35" s="10">
        <f>MAX(U35:X35)</f>
        <v/>
      </c>
    </row>
    <row r="36">
      <c r="A36" s="9" t="n"/>
      <c r="B36" s="9" t="n"/>
      <c r="C36" s="10">
        <f>IFERROR(INDEX(Оборудование!$B$2:$B$200,MATCH(A36,Оборудование!$A$2:$A$200,0)),"")</f>
        <v/>
      </c>
      <c r="D36" s="10">
        <f>IFERROR(INDEX(Оборудование!$C$2:$C$200,MATCH(A36,Оборудование!$A$2:$A$200,0)),"")</f>
        <v/>
      </c>
      <c r="E36" s="10">
        <f>IFERROR(INDEX(Оборудование!$D$2:$D$200,MATCH(A36,Оборудование!$A$2:$A$200,0)),"")</f>
        <v/>
      </c>
      <c r="F36" s="10">
        <f>IFERROR(INDEX(Оборудование!$H$2:$H$200,MATCH(A36,Оборудование!$A$2:$A$200,0)),"")</f>
        <v/>
      </c>
      <c r="G36" s="11" t="n"/>
      <c r="H36" s="12">
        <f>IF(G36="","",G36+100)</f>
        <v/>
      </c>
      <c r="I36" s="11" t="n"/>
      <c r="J36" s="11" t="n"/>
      <c r="K36" s="11" t="n"/>
      <c r="L36" s="12">
        <f>IF(K36="","",K36+5)</f>
        <v/>
      </c>
      <c r="M36" s="11" t="n"/>
      <c r="N36" s="12">
        <f>IF(M36&lt;&gt;"",M36,IF(L36="","",L36))</f>
        <v/>
      </c>
      <c r="O36" s="12">
        <f>IF(N36="","",N36+40)</f>
        <v/>
      </c>
      <c r="P36" s="11" t="n"/>
      <c r="Q36" s="12">
        <f>IF(P36&lt;&gt;"",P36,IF(O36="","",O36))</f>
        <v/>
      </c>
      <c r="R36" s="12">
        <f>IF(Q36="","",Q36+70)</f>
        <v/>
      </c>
      <c r="S36" s="11" t="n"/>
      <c r="T36" s="10">
        <f>IF(G36="","",IF(S36&lt;&gt;"","Завершено",IF(P36&lt;&gt;"","Ожидание оплаты",IF(M36&lt;&gt;"","Входной контроль",IF(K36&lt;&gt;"","Ожидание получения в Ленске",IF(I36&lt;&gt;"","В пути Иркутск → Ленск","Ремонт у подрядчика"))))))</f>
        <v/>
      </c>
      <c r="U36" s="10">
        <f>IF(H36="","",MAX(0,IF(I36&lt;&gt;"",I36,Настройки!$B$2)-H36))</f>
        <v/>
      </c>
      <c r="V36" s="10">
        <f>IF(L36="","",MAX(0,IF(M36&lt;&gt;"",M36,Настройки!$B$2)-L36))</f>
        <v/>
      </c>
      <c r="W36" s="10">
        <f>IF(O36="","",MAX(0,IF(P36&lt;&gt;"",P36,Настройки!$B$2)-O36))</f>
        <v/>
      </c>
      <c r="X36" s="10">
        <f>IF(R36="","",MAX(0,IF(S36&lt;&gt;"",S36,Настройки!$B$2)-R36))</f>
        <v/>
      </c>
      <c r="Y36" s="10">
        <f>MAX(U36:X36)</f>
        <v/>
      </c>
    </row>
    <row r="37">
      <c r="A37" s="9" t="n"/>
      <c r="B37" s="9" t="n"/>
      <c r="C37" s="10">
        <f>IFERROR(INDEX(Оборудование!$B$2:$B$200,MATCH(A37,Оборудование!$A$2:$A$200,0)),"")</f>
        <v/>
      </c>
      <c r="D37" s="10">
        <f>IFERROR(INDEX(Оборудование!$C$2:$C$200,MATCH(A37,Оборудование!$A$2:$A$200,0)),"")</f>
        <v/>
      </c>
      <c r="E37" s="10">
        <f>IFERROR(INDEX(Оборудование!$D$2:$D$200,MATCH(A37,Оборудование!$A$2:$A$200,0)),"")</f>
        <v/>
      </c>
      <c r="F37" s="10">
        <f>IFERROR(INDEX(Оборудование!$H$2:$H$200,MATCH(A37,Оборудование!$A$2:$A$200,0)),"")</f>
        <v/>
      </c>
      <c r="G37" s="11" t="n"/>
      <c r="H37" s="12">
        <f>IF(G37="","",G37+100)</f>
        <v/>
      </c>
      <c r="I37" s="11" t="n"/>
      <c r="J37" s="11" t="n"/>
      <c r="K37" s="11" t="n"/>
      <c r="L37" s="12">
        <f>IF(K37="","",K37+5)</f>
        <v/>
      </c>
      <c r="M37" s="11" t="n"/>
      <c r="N37" s="12">
        <f>IF(M37&lt;&gt;"",M37,IF(L37="","",L37))</f>
        <v/>
      </c>
      <c r="O37" s="12">
        <f>IF(N37="","",N37+40)</f>
        <v/>
      </c>
      <c r="P37" s="11" t="n"/>
      <c r="Q37" s="12">
        <f>IF(P37&lt;&gt;"",P37,IF(O37="","",O37))</f>
        <v/>
      </c>
      <c r="R37" s="12">
        <f>IF(Q37="","",Q37+70)</f>
        <v/>
      </c>
      <c r="S37" s="11" t="n"/>
      <c r="T37" s="10">
        <f>IF(G37="","",IF(S37&lt;&gt;"","Завершено",IF(P37&lt;&gt;"","Ожидание оплаты",IF(M37&lt;&gt;"","Входной контроль",IF(K37&lt;&gt;"","Ожидание получения в Ленске",IF(I37&lt;&gt;"","В пути Иркутск → Ленск","Ремонт у подрядчика"))))))</f>
        <v/>
      </c>
      <c r="U37" s="10">
        <f>IF(H37="","",MAX(0,IF(I37&lt;&gt;"",I37,Настройки!$B$2)-H37))</f>
        <v/>
      </c>
      <c r="V37" s="10">
        <f>IF(L37="","",MAX(0,IF(M37&lt;&gt;"",M37,Настройки!$B$2)-L37))</f>
        <v/>
      </c>
      <c r="W37" s="10">
        <f>IF(O37="","",MAX(0,IF(P37&lt;&gt;"",P37,Настройки!$B$2)-O37))</f>
        <v/>
      </c>
      <c r="X37" s="10">
        <f>IF(R37="","",MAX(0,IF(S37&lt;&gt;"",S37,Настройки!$B$2)-R37))</f>
        <v/>
      </c>
      <c r="Y37" s="10">
        <f>MAX(U37:X37)</f>
        <v/>
      </c>
    </row>
    <row r="38">
      <c r="A38" s="9" t="n"/>
      <c r="B38" s="9" t="n"/>
      <c r="C38" s="10">
        <f>IFERROR(INDEX(Оборудование!$B$2:$B$200,MATCH(A38,Оборудование!$A$2:$A$200,0)),"")</f>
        <v/>
      </c>
      <c r="D38" s="10">
        <f>IFERROR(INDEX(Оборудование!$C$2:$C$200,MATCH(A38,Оборудование!$A$2:$A$200,0)),"")</f>
        <v/>
      </c>
      <c r="E38" s="10">
        <f>IFERROR(INDEX(Оборудование!$D$2:$D$200,MATCH(A38,Оборудование!$A$2:$A$200,0)),"")</f>
        <v/>
      </c>
      <c r="F38" s="10">
        <f>IFERROR(INDEX(Оборудование!$H$2:$H$200,MATCH(A38,Оборудование!$A$2:$A$200,0)),"")</f>
        <v/>
      </c>
      <c r="G38" s="11" t="n"/>
      <c r="H38" s="12">
        <f>IF(G38="","",G38+100)</f>
        <v/>
      </c>
      <c r="I38" s="11" t="n"/>
      <c r="J38" s="11" t="n"/>
      <c r="K38" s="11" t="n"/>
      <c r="L38" s="12">
        <f>IF(K38="","",K38+5)</f>
        <v/>
      </c>
      <c r="M38" s="11" t="n"/>
      <c r="N38" s="12">
        <f>IF(M38&lt;&gt;"",M38,IF(L38="","",L38))</f>
        <v/>
      </c>
      <c r="O38" s="12">
        <f>IF(N38="","",N38+40)</f>
        <v/>
      </c>
      <c r="P38" s="11" t="n"/>
      <c r="Q38" s="12">
        <f>IF(P38&lt;&gt;"",P38,IF(O38="","",O38))</f>
        <v/>
      </c>
      <c r="R38" s="12">
        <f>IF(Q38="","",Q38+70)</f>
        <v/>
      </c>
      <c r="S38" s="11" t="n"/>
      <c r="T38" s="10">
        <f>IF(G38="","",IF(S38&lt;&gt;"","Завершено",IF(P38&lt;&gt;"","Ожидание оплаты",IF(M38&lt;&gt;"","Входной контроль",IF(K38&lt;&gt;"","Ожидание получения в Ленске",IF(I38&lt;&gt;"","В пути Иркутск → Ленск","Ремонт у подрядчика"))))))</f>
        <v/>
      </c>
      <c r="U38" s="10">
        <f>IF(H38="","",MAX(0,IF(I38&lt;&gt;"",I38,Настройки!$B$2)-H38))</f>
        <v/>
      </c>
      <c r="V38" s="10">
        <f>IF(L38="","",MAX(0,IF(M38&lt;&gt;"",M38,Настройки!$B$2)-L38))</f>
        <v/>
      </c>
      <c r="W38" s="10">
        <f>IF(O38="","",MAX(0,IF(P38&lt;&gt;"",P38,Настройки!$B$2)-O38))</f>
        <v/>
      </c>
      <c r="X38" s="10">
        <f>IF(R38="","",MAX(0,IF(S38&lt;&gt;"",S38,Настройки!$B$2)-R38))</f>
        <v/>
      </c>
      <c r="Y38" s="10">
        <f>MAX(U38:X38)</f>
        <v/>
      </c>
    </row>
    <row r="39">
      <c r="A39" s="9" t="n"/>
      <c r="B39" s="9" t="n"/>
      <c r="C39" s="10">
        <f>IFERROR(INDEX(Оборудование!$B$2:$B$200,MATCH(A39,Оборудование!$A$2:$A$200,0)),"")</f>
        <v/>
      </c>
      <c r="D39" s="10">
        <f>IFERROR(INDEX(Оборудование!$C$2:$C$200,MATCH(A39,Оборудование!$A$2:$A$200,0)),"")</f>
        <v/>
      </c>
      <c r="E39" s="10">
        <f>IFERROR(INDEX(Оборудование!$D$2:$D$200,MATCH(A39,Оборудование!$A$2:$A$200,0)),"")</f>
        <v/>
      </c>
      <c r="F39" s="10">
        <f>IFERROR(INDEX(Оборудование!$H$2:$H$200,MATCH(A39,Оборудование!$A$2:$A$200,0)),"")</f>
        <v/>
      </c>
      <c r="G39" s="11" t="n"/>
      <c r="H39" s="12">
        <f>IF(G39="","",G39+100)</f>
        <v/>
      </c>
      <c r="I39" s="11" t="n"/>
      <c r="J39" s="11" t="n"/>
      <c r="K39" s="11" t="n"/>
      <c r="L39" s="12">
        <f>IF(K39="","",K39+5)</f>
        <v/>
      </c>
      <c r="M39" s="11" t="n"/>
      <c r="N39" s="12">
        <f>IF(M39&lt;&gt;"",M39,IF(L39="","",L39))</f>
        <v/>
      </c>
      <c r="O39" s="12">
        <f>IF(N39="","",N39+40)</f>
        <v/>
      </c>
      <c r="P39" s="11" t="n"/>
      <c r="Q39" s="12">
        <f>IF(P39&lt;&gt;"",P39,IF(O39="","",O39))</f>
        <v/>
      </c>
      <c r="R39" s="12">
        <f>IF(Q39="","",Q39+70)</f>
        <v/>
      </c>
      <c r="S39" s="11" t="n"/>
      <c r="T39" s="10">
        <f>IF(G39="","",IF(S39&lt;&gt;"","Завершено",IF(P39&lt;&gt;"","Ожидание оплаты",IF(M39&lt;&gt;"","Входной контроль",IF(K39&lt;&gt;"","Ожидание получения в Ленске",IF(I39&lt;&gt;"","В пути Иркутск → Ленск","Ремонт у подрядчика"))))))</f>
        <v/>
      </c>
      <c r="U39" s="10">
        <f>IF(H39="","",MAX(0,IF(I39&lt;&gt;"",I39,Настройки!$B$2)-H39))</f>
        <v/>
      </c>
      <c r="V39" s="10">
        <f>IF(L39="","",MAX(0,IF(M39&lt;&gt;"",M39,Настройки!$B$2)-L39))</f>
        <v/>
      </c>
      <c r="W39" s="10">
        <f>IF(O39="","",MAX(0,IF(P39&lt;&gt;"",P39,Настройки!$B$2)-O39))</f>
        <v/>
      </c>
      <c r="X39" s="10">
        <f>IF(R39="","",MAX(0,IF(S39&lt;&gt;"",S39,Настройки!$B$2)-R39))</f>
        <v/>
      </c>
      <c r="Y39" s="10">
        <f>MAX(U39:X39)</f>
        <v/>
      </c>
    </row>
    <row r="40">
      <c r="A40" s="9" t="n"/>
      <c r="B40" s="9" t="n"/>
      <c r="C40" s="10">
        <f>IFERROR(INDEX(Оборудование!$B$2:$B$200,MATCH(A40,Оборудование!$A$2:$A$200,0)),"")</f>
        <v/>
      </c>
      <c r="D40" s="10">
        <f>IFERROR(INDEX(Оборудование!$C$2:$C$200,MATCH(A40,Оборудование!$A$2:$A$200,0)),"")</f>
        <v/>
      </c>
      <c r="E40" s="10">
        <f>IFERROR(INDEX(Оборудование!$D$2:$D$200,MATCH(A40,Оборудование!$A$2:$A$200,0)),"")</f>
        <v/>
      </c>
      <c r="F40" s="10">
        <f>IFERROR(INDEX(Оборудование!$H$2:$H$200,MATCH(A40,Оборудование!$A$2:$A$200,0)),"")</f>
        <v/>
      </c>
      <c r="G40" s="11" t="n"/>
      <c r="H40" s="12">
        <f>IF(G40="","",G40+100)</f>
        <v/>
      </c>
      <c r="I40" s="11" t="n"/>
      <c r="J40" s="11" t="n"/>
      <c r="K40" s="11" t="n"/>
      <c r="L40" s="12">
        <f>IF(K40="","",K40+5)</f>
        <v/>
      </c>
      <c r="M40" s="11" t="n"/>
      <c r="N40" s="12">
        <f>IF(M40&lt;&gt;"",M40,IF(L40="","",L40))</f>
        <v/>
      </c>
      <c r="O40" s="12">
        <f>IF(N40="","",N40+40)</f>
        <v/>
      </c>
      <c r="P40" s="11" t="n"/>
      <c r="Q40" s="12">
        <f>IF(P40&lt;&gt;"",P40,IF(O40="","",O40))</f>
        <v/>
      </c>
      <c r="R40" s="12">
        <f>IF(Q40="","",Q40+70)</f>
        <v/>
      </c>
      <c r="S40" s="11" t="n"/>
      <c r="T40" s="10">
        <f>IF(G40="","",IF(S40&lt;&gt;"","Завершено",IF(P40&lt;&gt;"","Ожидание оплаты",IF(M40&lt;&gt;"","Входной контроль",IF(K40&lt;&gt;"","Ожидание получения в Ленске",IF(I40&lt;&gt;"","В пути Иркутск → Ленск","Ремонт у подрядчика"))))))</f>
        <v/>
      </c>
      <c r="U40" s="10">
        <f>IF(H40="","",MAX(0,IF(I40&lt;&gt;"",I40,Настройки!$B$2)-H40))</f>
        <v/>
      </c>
      <c r="V40" s="10">
        <f>IF(L40="","",MAX(0,IF(M40&lt;&gt;"",M40,Настройки!$B$2)-L40))</f>
        <v/>
      </c>
      <c r="W40" s="10">
        <f>IF(O40="","",MAX(0,IF(P40&lt;&gt;"",P40,Настройки!$B$2)-O40))</f>
        <v/>
      </c>
      <c r="X40" s="10">
        <f>IF(R40="","",MAX(0,IF(S40&lt;&gt;"",S40,Настройки!$B$2)-R40))</f>
        <v/>
      </c>
      <c r="Y40" s="10">
        <f>MAX(U40:X40)</f>
        <v/>
      </c>
    </row>
    <row r="41">
      <c r="A41" s="9" t="n"/>
      <c r="B41" s="9" t="n"/>
      <c r="C41" s="10">
        <f>IFERROR(INDEX(Оборудование!$B$2:$B$200,MATCH(A41,Оборудование!$A$2:$A$200,0)),"")</f>
        <v/>
      </c>
      <c r="D41" s="10">
        <f>IFERROR(INDEX(Оборудование!$C$2:$C$200,MATCH(A41,Оборудование!$A$2:$A$200,0)),"")</f>
        <v/>
      </c>
      <c r="E41" s="10">
        <f>IFERROR(INDEX(Оборудование!$D$2:$D$200,MATCH(A41,Оборудование!$A$2:$A$200,0)),"")</f>
        <v/>
      </c>
      <c r="F41" s="10">
        <f>IFERROR(INDEX(Оборудование!$H$2:$H$200,MATCH(A41,Оборудование!$A$2:$A$200,0)),"")</f>
        <v/>
      </c>
      <c r="G41" s="11" t="n"/>
      <c r="H41" s="12">
        <f>IF(G41="","",G41+100)</f>
        <v/>
      </c>
      <c r="I41" s="11" t="n"/>
      <c r="J41" s="11" t="n"/>
      <c r="K41" s="11" t="n"/>
      <c r="L41" s="12">
        <f>IF(K41="","",K41+5)</f>
        <v/>
      </c>
      <c r="M41" s="11" t="n"/>
      <c r="N41" s="12">
        <f>IF(M41&lt;&gt;"",M41,IF(L41="","",L41))</f>
        <v/>
      </c>
      <c r="O41" s="12">
        <f>IF(N41="","",N41+40)</f>
        <v/>
      </c>
      <c r="P41" s="11" t="n"/>
      <c r="Q41" s="12">
        <f>IF(P41&lt;&gt;"",P41,IF(O41="","",O41))</f>
        <v/>
      </c>
      <c r="R41" s="12">
        <f>IF(Q41="","",Q41+70)</f>
        <v/>
      </c>
      <c r="S41" s="11" t="n"/>
      <c r="T41" s="10">
        <f>IF(G41="","",IF(S41&lt;&gt;"","Завершено",IF(P41&lt;&gt;"","Ожидание оплаты",IF(M41&lt;&gt;"","Входной контроль",IF(K41&lt;&gt;"","Ожидание получения в Ленске",IF(I41&lt;&gt;"","В пути Иркутск → Ленск","Ремонт у подрядчика"))))))</f>
        <v/>
      </c>
      <c r="U41" s="10">
        <f>IF(H41="","",MAX(0,IF(I41&lt;&gt;"",I41,Настройки!$B$2)-H41))</f>
        <v/>
      </c>
      <c r="V41" s="10">
        <f>IF(L41="","",MAX(0,IF(M41&lt;&gt;"",M41,Настройки!$B$2)-L41))</f>
        <v/>
      </c>
      <c r="W41" s="10">
        <f>IF(O41="","",MAX(0,IF(P41&lt;&gt;"",P41,Настройки!$B$2)-O41))</f>
        <v/>
      </c>
      <c r="X41" s="10">
        <f>IF(R41="","",MAX(0,IF(S41&lt;&gt;"",S41,Настройки!$B$2)-R41))</f>
        <v/>
      </c>
      <c r="Y41" s="10">
        <f>MAX(U41:X41)</f>
        <v/>
      </c>
    </row>
    <row r="42">
      <c r="A42" s="9" t="n"/>
      <c r="B42" s="9" t="n"/>
      <c r="C42" s="10">
        <f>IFERROR(INDEX(Оборудование!$B$2:$B$200,MATCH(A42,Оборудование!$A$2:$A$200,0)),"")</f>
        <v/>
      </c>
      <c r="D42" s="10">
        <f>IFERROR(INDEX(Оборудование!$C$2:$C$200,MATCH(A42,Оборудование!$A$2:$A$200,0)),"")</f>
        <v/>
      </c>
      <c r="E42" s="10">
        <f>IFERROR(INDEX(Оборудование!$D$2:$D$200,MATCH(A42,Оборудование!$A$2:$A$200,0)),"")</f>
        <v/>
      </c>
      <c r="F42" s="10">
        <f>IFERROR(INDEX(Оборудование!$H$2:$H$200,MATCH(A42,Оборудование!$A$2:$A$200,0)),"")</f>
        <v/>
      </c>
      <c r="G42" s="11" t="n"/>
      <c r="H42" s="12">
        <f>IF(G42="","",G42+100)</f>
        <v/>
      </c>
      <c r="I42" s="11" t="n"/>
      <c r="J42" s="11" t="n"/>
      <c r="K42" s="11" t="n"/>
      <c r="L42" s="12">
        <f>IF(K42="","",K42+5)</f>
        <v/>
      </c>
      <c r="M42" s="11" t="n"/>
      <c r="N42" s="12">
        <f>IF(M42&lt;&gt;"",M42,IF(L42="","",L42))</f>
        <v/>
      </c>
      <c r="O42" s="12">
        <f>IF(N42="","",N42+40)</f>
        <v/>
      </c>
      <c r="P42" s="11" t="n"/>
      <c r="Q42" s="12">
        <f>IF(P42&lt;&gt;"",P42,IF(O42="","",O42))</f>
        <v/>
      </c>
      <c r="R42" s="12">
        <f>IF(Q42="","",Q42+70)</f>
        <v/>
      </c>
      <c r="S42" s="11" t="n"/>
      <c r="T42" s="10">
        <f>IF(G42="","",IF(S42&lt;&gt;"","Завершено",IF(P42&lt;&gt;"","Ожидание оплаты",IF(M42&lt;&gt;"","Входной контроль",IF(K42&lt;&gt;"","Ожидание получения в Ленске",IF(I42&lt;&gt;"","В пути Иркутск → Ленск","Ремонт у подрядчика"))))))</f>
        <v/>
      </c>
      <c r="U42" s="10">
        <f>IF(H42="","",MAX(0,IF(I42&lt;&gt;"",I42,Настройки!$B$2)-H42))</f>
        <v/>
      </c>
      <c r="V42" s="10">
        <f>IF(L42="","",MAX(0,IF(M42&lt;&gt;"",M42,Настройки!$B$2)-L42))</f>
        <v/>
      </c>
      <c r="W42" s="10">
        <f>IF(O42="","",MAX(0,IF(P42&lt;&gt;"",P42,Настройки!$B$2)-O42))</f>
        <v/>
      </c>
      <c r="X42" s="10">
        <f>IF(R42="","",MAX(0,IF(S42&lt;&gt;"",S42,Настройки!$B$2)-R42))</f>
        <v/>
      </c>
      <c r="Y42" s="10">
        <f>MAX(U42:X42)</f>
        <v/>
      </c>
    </row>
    <row r="43">
      <c r="A43" s="9" t="n"/>
      <c r="B43" s="9" t="n"/>
      <c r="C43" s="10">
        <f>IFERROR(INDEX(Оборудование!$B$2:$B$200,MATCH(A43,Оборудование!$A$2:$A$200,0)),"")</f>
        <v/>
      </c>
      <c r="D43" s="10">
        <f>IFERROR(INDEX(Оборудование!$C$2:$C$200,MATCH(A43,Оборудование!$A$2:$A$200,0)),"")</f>
        <v/>
      </c>
      <c r="E43" s="10">
        <f>IFERROR(INDEX(Оборудование!$D$2:$D$200,MATCH(A43,Оборудование!$A$2:$A$200,0)),"")</f>
        <v/>
      </c>
      <c r="F43" s="10">
        <f>IFERROR(INDEX(Оборудование!$H$2:$H$200,MATCH(A43,Оборудование!$A$2:$A$200,0)),"")</f>
        <v/>
      </c>
      <c r="G43" s="11" t="n"/>
      <c r="H43" s="12">
        <f>IF(G43="","",G43+100)</f>
        <v/>
      </c>
      <c r="I43" s="11" t="n"/>
      <c r="J43" s="11" t="n"/>
      <c r="K43" s="11" t="n"/>
      <c r="L43" s="12">
        <f>IF(K43="","",K43+5)</f>
        <v/>
      </c>
      <c r="M43" s="11" t="n"/>
      <c r="N43" s="12">
        <f>IF(M43&lt;&gt;"",M43,IF(L43="","",L43))</f>
        <v/>
      </c>
      <c r="O43" s="12">
        <f>IF(N43="","",N43+40)</f>
        <v/>
      </c>
      <c r="P43" s="11" t="n"/>
      <c r="Q43" s="12">
        <f>IF(P43&lt;&gt;"",P43,IF(O43="","",O43))</f>
        <v/>
      </c>
      <c r="R43" s="12">
        <f>IF(Q43="","",Q43+70)</f>
        <v/>
      </c>
      <c r="S43" s="11" t="n"/>
      <c r="T43" s="10">
        <f>IF(G43="","",IF(S43&lt;&gt;"","Завершено",IF(P43&lt;&gt;"","Ожидание оплаты",IF(M43&lt;&gt;"","Входной контроль",IF(K43&lt;&gt;"","Ожидание получения в Ленске",IF(I43&lt;&gt;"","В пути Иркутск → Ленск","Ремонт у подрядчика"))))))</f>
        <v/>
      </c>
      <c r="U43" s="10">
        <f>IF(H43="","",MAX(0,IF(I43&lt;&gt;"",I43,Настройки!$B$2)-H43))</f>
        <v/>
      </c>
      <c r="V43" s="10">
        <f>IF(L43="","",MAX(0,IF(M43&lt;&gt;"",M43,Настройки!$B$2)-L43))</f>
        <v/>
      </c>
      <c r="W43" s="10">
        <f>IF(O43="","",MAX(0,IF(P43&lt;&gt;"",P43,Настройки!$B$2)-O43))</f>
        <v/>
      </c>
      <c r="X43" s="10">
        <f>IF(R43="","",MAX(0,IF(S43&lt;&gt;"",S43,Настройки!$B$2)-R43))</f>
        <v/>
      </c>
      <c r="Y43" s="10">
        <f>MAX(U43:X43)</f>
        <v/>
      </c>
    </row>
    <row r="44">
      <c r="A44" s="9" t="n"/>
      <c r="B44" s="9" t="n"/>
      <c r="C44" s="10">
        <f>IFERROR(INDEX(Оборудование!$B$2:$B$200,MATCH(A44,Оборудование!$A$2:$A$200,0)),"")</f>
        <v/>
      </c>
      <c r="D44" s="10">
        <f>IFERROR(INDEX(Оборудование!$C$2:$C$200,MATCH(A44,Оборудование!$A$2:$A$200,0)),"")</f>
        <v/>
      </c>
      <c r="E44" s="10">
        <f>IFERROR(INDEX(Оборудование!$D$2:$D$200,MATCH(A44,Оборудование!$A$2:$A$200,0)),"")</f>
        <v/>
      </c>
      <c r="F44" s="10">
        <f>IFERROR(INDEX(Оборудование!$H$2:$H$200,MATCH(A44,Оборудование!$A$2:$A$200,0)),"")</f>
        <v/>
      </c>
      <c r="G44" s="11" t="n"/>
      <c r="H44" s="12">
        <f>IF(G44="","",G44+100)</f>
        <v/>
      </c>
      <c r="I44" s="11" t="n"/>
      <c r="J44" s="11" t="n"/>
      <c r="K44" s="11" t="n"/>
      <c r="L44" s="12">
        <f>IF(K44="","",K44+5)</f>
        <v/>
      </c>
      <c r="M44" s="11" t="n"/>
      <c r="N44" s="12">
        <f>IF(M44&lt;&gt;"",M44,IF(L44="","",L44))</f>
        <v/>
      </c>
      <c r="O44" s="12">
        <f>IF(N44="","",N44+40)</f>
        <v/>
      </c>
      <c r="P44" s="11" t="n"/>
      <c r="Q44" s="12">
        <f>IF(P44&lt;&gt;"",P44,IF(O44="","",O44))</f>
        <v/>
      </c>
      <c r="R44" s="12">
        <f>IF(Q44="","",Q44+70)</f>
        <v/>
      </c>
      <c r="S44" s="11" t="n"/>
      <c r="T44" s="10">
        <f>IF(G44="","",IF(S44&lt;&gt;"","Завершено",IF(P44&lt;&gt;"","Ожидание оплаты",IF(M44&lt;&gt;"","Входной контроль",IF(K44&lt;&gt;"","Ожидание получения в Ленске",IF(I44&lt;&gt;"","В пути Иркутск → Ленск","Ремонт у подрядчика"))))))</f>
        <v/>
      </c>
      <c r="U44" s="10">
        <f>IF(H44="","",MAX(0,IF(I44&lt;&gt;"",I44,Настройки!$B$2)-H44))</f>
        <v/>
      </c>
      <c r="V44" s="10">
        <f>IF(L44="","",MAX(0,IF(M44&lt;&gt;"",M44,Настройки!$B$2)-L44))</f>
        <v/>
      </c>
      <c r="W44" s="10">
        <f>IF(O44="","",MAX(0,IF(P44&lt;&gt;"",P44,Настройки!$B$2)-O44))</f>
        <v/>
      </c>
      <c r="X44" s="10">
        <f>IF(R44="","",MAX(0,IF(S44&lt;&gt;"",S44,Настройки!$B$2)-R44))</f>
        <v/>
      </c>
      <c r="Y44" s="10">
        <f>MAX(U44:X44)</f>
        <v/>
      </c>
    </row>
    <row r="45">
      <c r="A45" s="9" t="n"/>
      <c r="B45" s="9" t="n"/>
      <c r="C45" s="10">
        <f>IFERROR(INDEX(Оборудование!$B$2:$B$200,MATCH(A45,Оборудование!$A$2:$A$200,0)),"")</f>
        <v/>
      </c>
      <c r="D45" s="10">
        <f>IFERROR(INDEX(Оборудование!$C$2:$C$200,MATCH(A45,Оборудование!$A$2:$A$200,0)),"")</f>
        <v/>
      </c>
      <c r="E45" s="10">
        <f>IFERROR(INDEX(Оборудование!$D$2:$D$200,MATCH(A45,Оборудование!$A$2:$A$200,0)),"")</f>
        <v/>
      </c>
      <c r="F45" s="10">
        <f>IFERROR(INDEX(Оборудование!$H$2:$H$200,MATCH(A45,Оборудование!$A$2:$A$200,0)),"")</f>
        <v/>
      </c>
      <c r="G45" s="11" t="n"/>
      <c r="H45" s="12">
        <f>IF(G45="","",G45+100)</f>
        <v/>
      </c>
      <c r="I45" s="11" t="n"/>
      <c r="J45" s="11" t="n"/>
      <c r="K45" s="11" t="n"/>
      <c r="L45" s="12">
        <f>IF(K45="","",K45+5)</f>
        <v/>
      </c>
      <c r="M45" s="11" t="n"/>
      <c r="N45" s="12">
        <f>IF(M45&lt;&gt;"",M45,IF(L45="","",L45))</f>
        <v/>
      </c>
      <c r="O45" s="12">
        <f>IF(N45="","",N45+40)</f>
        <v/>
      </c>
      <c r="P45" s="11" t="n"/>
      <c r="Q45" s="12">
        <f>IF(P45&lt;&gt;"",P45,IF(O45="","",O45))</f>
        <v/>
      </c>
      <c r="R45" s="12">
        <f>IF(Q45="","",Q45+70)</f>
        <v/>
      </c>
      <c r="S45" s="11" t="n"/>
      <c r="T45" s="10">
        <f>IF(G45="","",IF(S45&lt;&gt;"","Завершено",IF(P45&lt;&gt;"","Ожидание оплаты",IF(M45&lt;&gt;"","Входной контроль",IF(K45&lt;&gt;"","Ожидание получения в Ленске",IF(I45&lt;&gt;"","В пути Иркутск → Ленск","Ремонт у подрядчика"))))))</f>
        <v/>
      </c>
      <c r="U45" s="10">
        <f>IF(H45="","",MAX(0,IF(I45&lt;&gt;"",I45,Настройки!$B$2)-H45))</f>
        <v/>
      </c>
      <c r="V45" s="10">
        <f>IF(L45="","",MAX(0,IF(M45&lt;&gt;"",M45,Настройки!$B$2)-L45))</f>
        <v/>
      </c>
      <c r="W45" s="10">
        <f>IF(O45="","",MAX(0,IF(P45&lt;&gt;"",P45,Настройки!$B$2)-O45))</f>
        <v/>
      </c>
      <c r="X45" s="10">
        <f>IF(R45="","",MAX(0,IF(S45&lt;&gt;"",S45,Настройки!$B$2)-R45))</f>
        <v/>
      </c>
      <c r="Y45" s="10">
        <f>MAX(U45:X45)</f>
        <v/>
      </c>
    </row>
    <row r="46">
      <c r="A46" s="9" t="n"/>
      <c r="B46" s="9" t="n"/>
      <c r="C46" s="10">
        <f>IFERROR(INDEX(Оборудование!$B$2:$B$200,MATCH(A46,Оборудование!$A$2:$A$200,0)),"")</f>
        <v/>
      </c>
      <c r="D46" s="10">
        <f>IFERROR(INDEX(Оборудование!$C$2:$C$200,MATCH(A46,Оборудование!$A$2:$A$200,0)),"")</f>
        <v/>
      </c>
      <c r="E46" s="10">
        <f>IFERROR(INDEX(Оборудование!$D$2:$D$200,MATCH(A46,Оборудование!$A$2:$A$200,0)),"")</f>
        <v/>
      </c>
      <c r="F46" s="10">
        <f>IFERROR(INDEX(Оборудование!$H$2:$H$200,MATCH(A46,Оборудование!$A$2:$A$200,0)),"")</f>
        <v/>
      </c>
      <c r="G46" s="11" t="n"/>
      <c r="H46" s="12">
        <f>IF(G46="","",G46+100)</f>
        <v/>
      </c>
      <c r="I46" s="11" t="n"/>
      <c r="J46" s="11" t="n"/>
      <c r="K46" s="11" t="n"/>
      <c r="L46" s="12">
        <f>IF(K46="","",K46+5)</f>
        <v/>
      </c>
      <c r="M46" s="11" t="n"/>
      <c r="N46" s="12">
        <f>IF(M46&lt;&gt;"",M46,IF(L46="","",L46))</f>
        <v/>
      </c>
      <c r="O46" s="12">
        <f>IF(N46="","",N46+40)</f>
        <v/>
      </c>
      <c r="P46" s="11" t="n"/>
      <c r="Q46" s="12">
        <f>IF(P46&lt;&gt;"",P46,IF(O46="","",O46))</f>
        <v/>
      </c>
      <c r="R46" s="12">
        <f>IF(Q46="","",Q46+70)</f>
        <v/>
      </c>
      <c r="S46" s="11" t="n"/>
      <c r="T46" s="10">
        <f>IF(G46="","",IF(S46&lt;&gt;"","Завершено",IF(P46&lt;&gt;"","Ожидание оплаты",IF(M46&lt;&gt;"","Входной контроль",IF(K46&lt;&gt;"","Ожидание получения в Ленске",IF(I46&lt;&gt;"","В пути Иркутск → Ленск","Ремонт у подрядчика"))))))</f>
        <v/>
      </c>
      <c r="U46" s="10">
        <f>IF(H46="","",MAX(0,IF(I46&lt;&gt;"",I46,Настройки!$B$2)-H46))</f>
        <v/>
      </c>
      <c r="V46" s="10">
        <f>IF(L46="","",MAX(0,IF(M46&lt;&gt;"",M46,Настройки!$B$2)-L46))</f>
        <v/>
      </c>
      <c r="W46" s="10">
        <f>IF(O46="","",MAX(0,IF(P46&lt;&gt;"",P46,Настройки!$B$2)-O46))</f>
        <v/>
      </c>
      <c r="X46" s="10">
        <f>IF(R46="","",MAX(0,IF(S46&lt;&gt;"",S46,Настройки!$B$2)-R46))</f>
        <v/>
      </c>
      <c r="Y46" s="10">
        <f>MAX(U46:X46)</f>
        <v/>
      </c>
    </row>
    <row r="47">
      <c r="A47" s="9" t="n"/>
      <c r="B47" s="9" t="n"/>
      <c r="C47" s="10">
        <f>IFERROR(INDEX(Оборудование!$B$2:$B$200,MATCH(A47,Оборудование!$A$2:$A$200,0)),"")</f>
        <v/>
      </c>
      <c r="D47" s="10">
        <f>IFERROR(INDEX(Оборудование!$C$2:$C$200,MATCH(A47,Оборудование!$A$2:$A$200,0)),"")</f>
        <v/>
      </c>
      <c r="E47" s="10">
        <f>IFERROR(INDEX(Оборудование!$D$2:$D$200,MATCH(A47,Оборудование!$A$2:$A$200,0)),"")</f>
        <v/>
      </c>
      <c r="F47" s="10">
        <f>IFERROR(INDEX(Оборудование!$H$2:$H$200,MATCH(A47,Оборудование!$A$2:$A$200,0)),"")</f>
        <v/>
      </c>
      <c r="G47" s="11" t="n"/>
      <c r="H47" s="12">
        <f>IF(G47="","",G47+100)</f>
        <v/>
      </c>
      <c r="I47" s="11" t="n"/>
      <c r="J47" s="11" t="n"/>
      <c r="K47" s="11" t="n"/>
      <c r="L47" s="12">
        <f>IF(K47="","",K47+5)</f>
        <v/>
      </c>
      <c r="M47" s="11" t="n"/>
      <c r="N47" s="12">
        <f>IF(M47&lt;&gt;"",M47,IF(L47="","",L47))</f>
        <v/>
      </c>
      <c r="O47" s="12">
        <f>IF(N47="","",N47+40)</f>
        <v/>
      </c>
      <c r="P47" s="11" t="n"/>
      <c r="Q47" s="12">
        <f>IF(P47&lt;&gt;"",P47,IF(O47="","",O47))</f>
        <v/>
      </c>
      <c r="R47" s="12">
        <f>IF(Q47="","",Q47+70)</f>
        <v/>
      </c>
      <c r="S47" s="11" t="n"/>
      <c r="T47" s="10">
        <f>IF(G47="","",IF(S47&lt;&gt;"","Завершено",IF(P47&lt;&gt;"","Ожидание оплаты",IF(M47&lt;&gt;"","Входной контроль",IF(K47&lt;&gt;"","Ожидание получения в Ленске",IF(I47&lt;&gt;"","В пути Иркутск → Ленск","Ремонт у подрядчика"))))))</f>
        <v/>
      </c>
      <c r="U47" s="10">
        <f>IF(H47="","",MAX(0,IF(I47&lt;&gt;"",I47,Настройки!$B$2)-H47))</f>
        <v/>
      </c>
      <c r="V47" s="10">
        <f>IF(L47="","",MAX(0,IF(M47&lt;&gt;"",M47,Настройки!$B$2)-L47))</f>
        <v/>
      </c>
      <c r="W47" s="10">
        <f>IF(O47="","",MAX(0,IF(P47&lt;&gt;"",P47,Настройки!$B$2)-O47))</f>
        <v/>
      </c>
      <c r="X47" s="10">
        <f>IF(R47="","",MAX(0,IF(S47&lt;&gt;"",S47,Настройки!$B$2)-R47))</f>
        <v/>
      </c>
      <c r="Y47" s="10">
        <f>MAX(U47:X47)</f>
        <v/>
      </c>
    </row>
    <row r="48">
      <c r="A48" s="9" t="n"/>
      <c r="B48" s="9" t="n"/>
      <c r="C48" s="10">
        <f>IFERROR(INDEX(Оборудование!$B$2:$B$200,MATCH(A48,Оборудование!$A$2:$A$200,0)),"")</f>
        <v/>
      </c>
      <c r="D48" s="10">
        <f>IFERROR(INDEX(Оборудование!$C$2:$C$200,MATCH(A48,Оборудование!$A$2:$A$200,0)),"")</f>
        <v/>
      </c>
      <c r="E48" s="10">
        <f>IFERROR(INDEX(Оборудование!$D$2:$D$200,MATCH(A48,Оборудование!$A$2:$A$200,0)),"")</f>
        <v/>
      </c>
      <c r="F48" s="10">
        <f>IFERROR(INDEX(Оборудование!$H$2:$H$200,MATCH(A48,Оборудование!$A$2:$A$200,0)),"")</f>
        <v/>
      </c>
      <c r="G48" s="11" t="n"/>
      <c r="H48" s="12">
        <f>IF(G48="","",G48+100)</f>
        <v/>
      </c>
      <c r="I48" s="11" t="n"/>
      <c r="J48" s="11" t="n"/>
      <c r="K48" s="11" t="n"/>
      <c r="L48" s="12">
        <f>IF(K48="","",K48+5)</f>
        <v/>
      </c>
      <c r="M48" s="11" t="n"/>
      <c r="N48" s="12">
        <f>IF(M48&lt;&gt;"",M48,IF(L48="","",L48))</f>
        <v/>
      </c>
      <c r="O48" s="12">
        <f>IF(N48="","",N48+40)</f>
        <v/>
      </c>
      <c r="P48" s="11" t="n"/>
      <c r="Q48" s="12">
        <f>IF(P48&lt;&gt;"",P48,IF(O48="","",O48))</f>
        <v/>
      </c>
      <c r="R48" s="12">
        <f>IF(Q48="","",Q48+70)</f>
        <v/>
      </c>
      <c r="S48" s="11" t="n"/>
      <c r="T48" s="10">
        <f>IF(G48="","",IF(S48&lt;&gt;"","Завершено",IF(P48&lt;&gt;"","Ожидание оплаты",IF(M48&lt;&gt;"","Входной контроль",IF(K48&lt;&gt;"","Ожидание получения в Ленске",IF(I48&lt;&gt;"","В пути Иркутск → Ленск","Ремонт у подрядчика"))))))</f>
        <v/>
      </c>
      <c r="U48" s="10">
        <f>IF(H48="","",MAX(0,IF(I48&lt;&gt;"",I48,Настройки!$B$2)-H48))</f>
        <v/>
      </c>
      <c r="V48" s="10">
        <f>IF(L48="","",MAX(0,IF(M48&lt;&gt;"",M48,Настройки!$B$2)-L48))</f>
        <v/>
      </c>
      <c r="W48" s="10">
        <f>IF(O48="","",MAX(0,IF(P48&lt;&gt;"",P48,Настройки!$B$2)-O48))</f>
        <v/>
      </c>
      <c r="X48" s="10">
        <f>IF(R48="","",MAX(0,IF(S48&lt;&gt;"",S48,Настройки!$B$2)-R48))</f>
        <v/>
      </c>
      <c r="Y48" s="10">
        <f>MAX(U48:X48)</f>
        <v/>
      </c>
    </row>
    <row r="49">
      <c r="A49" s="9" t="n"/>
      <c r="B49" s="9" t="n"/>
      <c r="C49" s="10">
        <f>IFERROR(INDEX(Оборудование!$B$2:$B$200,MATCH(A49,Оборудование!$A$2:$A$200,0)),"")</f>
        <v/>
      </c>
      <c r="D49" s="10">
        <f>IFERROR(INDEX(Оборудование!$C$2:$C$200,MATCH(A49,Оборудование!$A$2:$A$200,0)),"")</f>
        <v/>
      </c>
      <c r="E49" s="10">
        <f>IFERROR(INDEX(Оборудование!$D$2:$D$200,MATCH(A49,Оборудование!$A$2:$A$200,0)),"")</f>
        <v/>
      </c>
      <c r="F49" s="10">
        <f>IFERROR(INDEX(Оборудование!$H$2:$H$200,MATCH(A49,Оборудование!$A$2:$A$200,0)),"")</f>
        <v/>
      </c>
      <c r="G49" s="11" t="n"/>
      <c r="H49" s="12">
        <f>IF(G49="","",G49+100)</f>
        <v/>
      </c>
      <c r="I49" s="11" t="n"/>
      <c r="J49" s="11" t="n"/>
      <c r="K49" s="11" t="n"/>
      <c r="L49" s="12">
        <f>IF(K49="","",K49+5)</f>
        <v/>
      </c>
      <c r="M49" s="11" t="n"/>
      <c r="N49" s="12">
        <f>IF(M49&lt;&gt;"",M49,IF(L49="","",L49))</f>
        <v/>
      </c>
      <c r="O49" s="12">
        <f>IF(N49="","",N49+40)</f>
        <v/>
      </c>
      <c r="P49" s="11" t="n"/>
      <c r="Q49" s="12">
        <f>IF(P49&lt;&gt;"",P49,IF(O49="","",O49))</f>
        <v/>
      </c>
      <c r="R49" s="12">
        <f>IF(Q49="","",Q49+70)</f>
        <v/>
      </c>
      <c r="S49" s="11" t="n"/>
      <c r="T49" s="10">
        <f>IF(G49="","",IF(S49&lt;&gt;"","Завершено",IF(P49&lt;&gt;"","Ожидание оплаты",IF(M49&lt;&gt;"","Входной контроль",IF(K49&lt;&gt;"","Ожидание получения в Ленске",IF(I49&lt;&gt;"","В пути Иркутск → Ленск","Ремонт у подрядчика"))))))</f>
        <v/>
      </c>
      <c r="U49" s="10">
        <f>IF(H49="","",MAX(0,IF(I49&lt;&gt;"",I49,Настройки!$B$2)-H49))</f>
        <v/>
      </c>
      <c r="V49" s="10">
        <f>IF(L49="","",MAX(0,IF(M49&lt;&gt;"",M49,Настройки!$B$2)-L49))</f>
        <v/>
      </c>
      <c r="W49" s="10">
        <f>IF(O49="","",MAX(0,IF(P49&lt;&gt;"",P49,Настройки!$B$2)-O49))</f>
        <v/>
      </c>
      <c r="X49" s="10">
        <f>IF(R49="","",MAX(0,IF(S49&lt;&gt;"",S49,Настройки!$B$2)-R49))</f>
        <v/>
      </c>
      <c r="Y49" s="10">
        <f>MAX(U49:X49)</f>
        <v/>
      </c>
    </row>
    <row r="50">
      <c r="A50" s="9" t="n"/>
      <c r="B50" s="9" t="n"/>
      <c r="C50" s="10">
        <f>IFERROR(INDEX(Оборудование!$B$2:$B$200,MATCH(A50,Оборудование!$A$2:$A$200,0)),"")</f>
        <v/>
      </c>
      <c r="D50" s="10">
        <f>IFERROR(INDEX(Оборудование!$C$2:$C$200,MATCH(A50,Оборудование!$A$2:$A$200,0)),"")</f>
        <v/>
      </c>
      <c r="E50" s="10">
        <f>IFERROR(INDEX(Оборудование!$D$2:$D$200,MATCH(A50,Оборудование!$A$2:$A$200,0)),"")</f>
        <v/>
      </c>
      <c r="F50" s="10">
        <f>IFERROR(INDEX(Оборудование!$H$2:$H$200,MATCH(A50,Оборудование!$A$2:$A$200,0)),"")</f>
        <v/>
      </c>
      <c r="G50" s="11" t="n"/>
      <c r="H50" s="12">
        <f>IF(G50="","",G50+100)</f>
        <v/>
      </c>
      <c r="I50" s="11" t="n"/>
      <c r="J50" s="11" t="n"/>
      <c r="K50" s="11" t="n"/>
      <c r="L50" s="12">
        <f>IF(K50="","",K50+5)</f>
        <v/>
      </c>
      <c r="M50" s="11" t="n"/>
      <c r="N50" s="12">
        <f>IF(M50&lt;&gt;"",M50,IF(L50="","",L50))</f>
        <v/>
      </c>
      <c r="O50" s="12">
        <f>IF(N50="","",N50+40)</f>
        <v/>
      </c>
      <c r="P50" s="11" t="n"/>
      <c r="Q50" s="12">
        <f>IF(P50&lt;&gt;"",P50,IF(O50="","",O50))</f>
        <v/>
      </c>
      <c r="R50" s="12">
        <f>IF(Q50="","",Q50+70)</f>
        <v/>
      </c>
      <c r="S50" s="11" t="n"/>
      <c r="T50" s="10">
        <f>IF(G50="","",IF(S50&lt;&gt;"","Завершено",IF(P50&lt;&gt;"","Ожидание оплаты",IF(M50&lt;&gt;"","Входной контроль",IF(K50&lt;&gt;"","Ожидание получения в Ленске",IF(I50&lt;&gt;"","В пути Иркутск → Ленск","Ремонт у подрядчика"))))))</f>
        <v/>
      </c>
      <c r="U50" s="10">
        <f>IF(H50="","",MAX(0,IF(I50&lt;&gt;"",I50,Настройки!$B$2)-H50))</f>
        <v/>
      </c>
      <c r="V50" s="10">
        <f>IF(L50="","",MAX(0,IF(M50&lt;&gt;"",M50,Настройки!$B$2)-L50))</f>
        <v/>
      </c>
      <c r="W50" s="10">
        <f>IF(O50="","",MAX(0,IF(P50&lt;&gt;"",P50,Настройки!$B$2)-O50))</f>
        <v/>
      </c>
      <c r="X50" s="10">
        <f>IF(R50="","",MAX(0,IF(S50&lt;&gt;"",S50,Настройки!$B$2)-R50))</f>
        <v/>
      </c>
      <c r="Y50" s="10">
        <f>MAX(U50:X50)</f>
        <v/>
      </c>
    </row>
    <row r="51">
      <c r="A51" s="9" t="n"/>
      <c r="B51" s="9" t="n"/>
      <c r="C51" s="10">
        <f>IFERROR(INDEX(Оборудование!$B$2:$B$200,MATCH(A51,Оборудование!$A$2:$A$200,0)),"")</f>
        <v/>
      </c>
      <c r="D51" s="10">
        <f>IFERROR(INDEX(Оборудование!$C$2:$C$200,MATCH(A51,Оборудование!$A$2:$A$200,0)),"")</f>
        <v/>
      </c>
      <c r="E51" s="10">
        <f>IFERROR(INDEX(Оборудование!$D$2:$D$200,MATCH(A51,Оборудование!$A$2:$A$200,0)),"")</f>
        <v/>
      </c>
      <c r="F51" s="10">
        <f>IFERROR(INDEX(Оборудование!$H$2:$H$200,MATCH(A51,Оборудование!$A$2:$A$200,0)),"")</f>
        <v/>
      </c>
      <c r="G51" s="11" t="n"/>
      <c r="H51" s="12">
        <f>IF(G51="","",G51+100)</f>
        <v/>
      </c>
      <c r="I51" s="11" t="n"/>
      <c r="J51" s="11" t="n"/>
      <c r="K51" s="11" t="n"/>
      <c r="L51" s="12">
        <f>IF(K51="","",K51+5)</f>
        <v/>
      </c>
      <c r="M51" s="11" t="n"/>
      <c r="N51" s="12">
        <f>IF(M51&lt;&gt;"",M51,IF(L51="","",L51))</f>
        <v/>
      </c>
      <c r="O51" s="12">
        <f>IF(N51="","",N51+40)</f>
        <v/>
      </c>
      <c r="P51" s="11" t="n"/>
      <c r="Q51" s="12">
        <f>IF(P51&lt;&gt;"",P51,IF(O51="","",O51))</f>
        <v/>
      </c>
      <c r="R51" s="12">
        <f>IF(Q51="","",Q51+70)</f>
        <v/>
      </c>
      <c r="S51" s="11" t="n"/>
      <c r="T51" s="10">
        <f>IF(G51="","",IF(S51&lt;&gt;"","Завершено",IF(P51&lt;&gt;"","Ожидание оплаты",IF(M51&lt;&gt;"","Входной контроль",IF(K51&lt;&gt;"","Ожидание получения в Ленске",IF(I51&lt;&gt;"","В пути Иркутск → Ленск","Ремонт у подрядчика"))))))</f>
        <v/>
      </c>
      <c r="U51" s="10">
        <f>IF(H51="","",MAX(0,IF(I51&lt;&gt;"",I51,Настройки!$B$2)-H51))</f>
        <v/>
      </c>
      <c r="V51" s="10">
        <f>IF(L51="","",MAX(0,IF(M51&lt;&gt;"",M51,Настройки!$B$2)-L51))</f>
        <v/>
      </c>
      <c r="W51" s="10">
        <f>IF(O51="","",MAX(0,IF(P51&lt;&gt;"",P51,Настройки!$B$2)-O51))</f>
        <v/>
      </c>
      <c r="X51" s="10">
        <f>IF(R51="","",MAX(0,IF(S51&lt;&gt;"",S51,Настройки!$B$2)-R51))</f>
        <v/>
      </c>
      <c r="Y51" s="10">
        <f>MAX(U51:X51)</f>
        <v/>
      </c>
    </row>
    <row r="52">
      <c r="A52" s="9" t="n"/>
      <c r="B52" s="9" t="n"/>
      <c r="C52" s="10">
        <f>IFERROR(INDEX(Оборудование!$B$2:$B$200,MATCH(A52,Оборудование!$A$2:$A$200,0)),"")</f>
        <v/>
      </c>
      <c r="D52" s="10">
        <f>IFERROR(INDEX(Оборудование!$C$2:$C$200,MATCH(A52,Оборудование!$A$2:$A$200,0)),"")</f>
        <v/>
      </c>
      <c r="E52" s="10">
        <f>IFERROR(INDEX(Оборудование!$D$2:$D$200,MATCH(A52,Оборудование!$A$2:$A$200,0)),"")</f>
        <v/>
      </c>
      <c r="F52" s="10">
        <f>IFERROR(INDEX(Оборудование!$H$2:$H$200,MATCH(A52,Оборудование!$A$2:$A$200,0)),"")</f>
        <v/>
      </c>
      <c r="G52" s="11" t="n"/>
      <c r="H52" s="12">
        <f>IF(G52="","",G52+100)</f>
        <v/>
      </c>
      <c r="I52" s="11" t="n"/>
      <c r="J52" s="11" t="n"/>
      <c r="K52" s="11" t="n"/>
      <c r="L52" s="12">
        <f>IF(K52="","",K52+5)</f>
        <v/>
      </c>
      <c r="M52" s="11" t="n"/>
      <c r="N52" s="12">
        <f>IF(M52&lt;&gt;"",M52,IF(L52="","",L52))</f>
        <v/>
      </c>
      <c r="O52" s="12">
        <f>IF(N52="","",N52+40)</f>
        <v/>
      </c>
      <c r="P52" s="11" t="n"/>
      <c r="Q52" s="12">
        <f>IF(P52&lt;&gt;"",P52,IF(O52="","",O52))</f>
        <v/>
      </c>
      <c r="R52" s="12">
        <f>IF(Q52="","",Q52+70)</f>
        <v/>
      </c>
      <c r="S52" s="11" t="n"/>
      <c r="T52" s="10">
        <f>IF(G52="","",IF(S52&lt;&gt;"","Завершено",IF(P52&lt;&gt;"","Ожидание оплаты",IF(M52&lt;&gt;"","Входной контроль",IF(K52&lt;&gt;"","Ожидание получения в Ленске",IF(I52&lt;&gt;"","В пути Иркутск → Ленск","Ремонт у подрядчика"))))))</f>
        <v/>
      </c>
      <c r="U52" s="10">
        <f>IF(H52="","",MAX(0,IF(I52&lt;&gt;"",I52,Настройки!$B$2)-H52))</f>
        <v/>
      </c>
      <c r="V52" s="10">
        <f>IF(L52="","",MAX(0,IF(M52&lt;&gt;"",M52,Настройки!$B$2)-L52))</f>
        <v/>
      </c>
      <c r="W52" s="10">
        <f>IF(O52="","",MAX(0,IF(P52&lt;&gt;"",P52,Настройки!$B$2)-O52))</f>
        <v/>
      </c>
      <c r="X52" s="10">
        <f>IF(R52="","",MAX(0,IF(S52&lt;&gt;"",S52,Настройки!$B$2)-R52))</f>
        <v/>
      </c>
      <c r="Y52" s="10">
        <f>MAX(U52:X52)</f>
        <v/>
      </c>
    </row>
    <row r="53">
      <c r="A53" s="9" t="n"/>
      <c r="B53" s="9" t="n"/>
      <c r="C53" s="10">
        <f>IFERROR(INDEX(Оборудование!$B$2:$B$200,MATCH(A53,Оборудование!$A$2:$A$200,0)),"")</f>
        <v/>
      </c>
      <c r="D53" s="10">
        <f>IFERROR(INDEX(Оборудование!$C$2:$C$200,MATCH(A53,Оборудование!$A$2:$A$200,0)),"")</f>
        <v/>
      </c>
      <c r="E53" s="10">
        <f>IFERROR(INDEX(Оборудование!$D$2:$D$200,MATCH(A53,Оборудование!$A$2:$A$200,0)),"")</f>
        <v/>
      </c>
      <c r="F53" s="10">
        <f>IFERROR(INDEX(Оборудование!$H$2:$H$200,MATCH(A53,Оборудование!$A$2:$A$200,0)),"")</f>
        <v/>
      </c>
      <c r="G53" s="11" t="n"/>
      <c r="H53" s="12">
        <f>IF(G53="","",G53+100)</f>
        <v/>
      </c>
      <c r="I53" s="11" t="n"/>
      <c r="J53" s="11" t="n"/>
      <c r="K53" s="11" t="n"/>
      <c r="L53" s="12">
        <f>IF(K53="","",K53+5)</f>
        <v/>
      </c>
      <c r="M53" s="11" t="n"/>
      <c r="N53" s="12">
        <f>IF(M53&lt;&gt;"",M53,IF(L53="","",L53))</f>
        <v/>
      </c>
      <c r="O53" s="12">
        <f>IF(N53="","",N53+40)</f>
        <v/>
      </c>
      <c r="P53" s="11" t="n"/>
      <c r="Q53" s="12">
        <f>IF(P53&lt;&gt;"",P53,IF(O53="","",O53))</f>
        <v/>
      </c>
      <c r="R53" s="12">
        <f>IF(Q53="","",Q53+70)</f>
        <v/>
      </c>
      <c r="S53" s="11" t="n"/>
      <c r="T53" s="10">
        <f>IF(G53="","",IF(S53&lt;&gt;"","Завершено",IF(P53&lt;&gt;"","Ожидание оплаты",IF(M53&lt;&gt;"","Входной контроль",IF(K53&lt;&gt;"","Ожидание получения в Ленске",IF(I53&lt;&gt;"","В пути Иркутск → Ленск","Ремонт у подрядчика"))))))</f>
        <v/>
      </c>
      <c r="U53" s="10">
        <f>IF(H53="","",MAX(0,IF(I53&lt;&gt;"",I53,Настройки!$B$2)-H53))</f>
        <v/>
      </c>
      <c r="V53" s="10">
        <f>IF(L53="","",MAX(0,IF(M53&lt;&gt;"",M53,Настройки!$B$2)-L53))</f>
        <v/>
      </c>
      <c r="W53" s="10">
        <f>IF(O53="","",MAX(0,IF(P53&lt;&gt;"",P53,Настройки!$B$2)-O53))</f>
        <v/>
      </c>
      <c r="X53" s="10">
        <f>IF(R53="","",MAX(0,IF(S53&lt;&gt;"",S53,Настройки!$B$2)-R53))</f>
        <v/>
      </c>
      <c r="Y53" s="10">
        <f>MAX(U53:X53)</f>
        <v/>
      </c>
    </row>
    <row r="54">
      <c r="A54" s="9" t="n"/>
      <c r="B54" s="9" t="n"/>
      <c r="C54" s="10">
        <f>IFERROR(INDEX(Оборудование!$B$2:$B$200,MATCH(A54,Оборудование!$A$2:$A$200,0)),"")</f>
        <v/>
      </c>
      <c r="D54" s="10">
        <f>IFERROR(INDEX(Оборудование!$C$2:$C$200,MATCH(A54,Оборудование!$A$2:$A$200,0)),"")</f>
        <v/>
      </c>
      <c r="E54" s="10">
        <f>IFERROR(INDEX(Оборудование!$D$2:$D$200,MATCH(A54,Оборудование!$A$2:$A$200,0)),"")</f>
        <v/>
      </c>
      <c r="F54" s="10">
        <f>IFERROR(INDEX(Оборудование!$H$2:$H$200,MATCH(A54,Оборудование!$A$2:$A$200,0)),"")</f>
        <v/>
      </c>
      <c r="G54" s="11" t="n"/>
      <c r="H54" s="12">
        <f>IF(G54="","",G54+100)</f>
        <v/>
      </c>
      <c r="I54" s="11" t="n"/>
      <c r="J54" s="11" t="n"/>
      <c r="K54" s="11" t="n"/>
      <c r="L54" s="12">
        <f>IF(K54="","",K54+5)</f>
        <v/>
      </c>
      <c r="M54" s="11" t="n"/>
      <c r="N54" s="12">
        <f>IF(M54&lt;&gt;"",M54,IF(L54="","",L54))</f>
        <v/>
      </c>
      <c r="O54" s="12">
        <f>IF(N54="","",N54+40)</f>
        <v/>
      </c>
      <c r="P54" s="11" t="n"/>
      <c r="Q54" s="12">
        <f>IF(P54&lt;&gt;"",P54,IF(O54="","",O54))</f>
        <v/>
      </c>
      <c r="R54" s="12">
        <f>IF(Q54="","",Q54+70)</f>
        <v/>
      </c>
      <c r="S54" s="11" t="n"/>
      <c r="T54" s="10">
        <f>IF(G54="","",IF(S54&lt;&gt;"","Завершено",IF(P54&lt;&gt;"","Ожидание оплаты",IF(M54&lt;&gt;"","Входной контроль",IF(K54&lt;&gt;"","Ожидание получения в Ленске",IF(I54&lt;&gt;"","В пути Иркутск → Ленск","Ремонт у подрядчика"))))))</f>
        <v/>
      </c>
      <c r="U54" s="10">
        <f>IF(H54="","",MAX(0,IF(I54&lt;&gt;"",I54,Настройки!$B$2)-H54))</f>
        <v/>
      </c>
      <c r="V54" s="10">
        <f>IF(L54="","",MAX(0,IF(M54&lt;&gt;"",M54,Настройки!$B$2)-L54))</f>
        <v/>
      </c>
      <c r="W54" s="10">
        <f>IF(O54="","",MAX(0,IF(P54&lt;&gt;"",P54,Настройки!$B$2)-O54))</f>
        <v/>
      </c>
      <c r="X54" s="10">
        <f>IF(R54="","",MAX(0,IF(S54&lt;&gt;"",S54,Настройки!$B$2)-R54))</f>
        <v/>
      </c>
      <c r="Y54" s="10">
        <f>MAX(U54:X54)</f>
        <v/>
      </c>
    </row>
    <row r="55">
      <c r="A55" s="9" t="n"/>
      <c r="B55" s="9" t="n"/>
      <c r="C55" s="10">
        <f>IFERROR(INDEX(Оборудование!$B$2:$B$200,MATCH(A55,Оборудование!$A$2:$A$200,0)),"")</f>
        <v/>
      </c>
      <c r="D55" s="10">
        <f>IFERROR(INDEX(Оборудование!$C$2:$C$200,MATCH(A55,Оборудование!$A$2:$A$200,0)),"")</f>
        <v/>
      </c>
      <c r="E55" s="10">
        <f>IFERROR(INDEX(Оборудование!$D$2:$D$200,MATCH(A55,Оборудование!$A$2:$A$200,0)),"")</f>
        <v/>
      </c>
      <c r="F55" s="10">
        <f>IFERROR(INDEX(Оборудование!$H$2:$H$200,MATCH(A55,Оборудование!$A$2:$A$200,0)),"")</f>
        <v/>
      </c>
      <c r="G55" s="11" t="n"/>
      <c r="H55" s="12">
        <f>IF(G55="","",G55+100)</f>
        <v/>
      </c>
      <c r="I55" s="11" t="n"/>
      <c r="J55" s="11" t="n"/>
      <c r="K55" s="11" t="n"/>
      <c r="L55" s="12">
        <f>IF(K55="","",K55+5)</f>
        <v/>
      </c>
      <c r="M55" s="11" t="n"/>
      <c r="N55" s="12">
        <f>IF(M55&lt;&gt;"",M55,IF(L55="","",L55))</f>
        <v/>
      </c>
      <c r="O55" s="12">
        <f>IF(N55="","",N55+40)</f>
        <v/>
      </c>
      <c r="P55" s="11" t="n"/>
      <c r="Q55" s="12">
        <f>IF(P55&lt;&gt;"",P55,IF(O55="","",O55))</f>
        <v/>
      </c>
      <c r="R55" s="12">
        <f>IF(Q55="","",Q55+70)</f>
        <v/>
      </c>
      <c r="S55" s="11" t="n"/>
      <c r="T55" s="10">
        <f>IF(G55="","",IF(S55&lt;&gt;"","Завершено",IF(P55&lt;&gt;"","Ожидание оплаты",IF(M55&lt;&gt;"","Входной контроль",IF(K55&lt;&gt;"","Ожидание получения в Ленске",IF(I55&lt;&gt;"","В пути Иркутск → Ленск","Ремонт у подрядчика"))))))</f>
        <v/>
      </c>
      <c r="U55" s="10">
        <f>IF(H55="","",MAX(0,IF(I55&lt;&gt;"",I55,Настройки!$B$2)-H55))</f>
        <v/>
      </c>
      <c r="V55" s="10">
        <f>IF(L55="","",MAX(0,IF(M55&lt;&gt;"",M55,Настройки!$B$2)-L55))</f>
        <v/>
      </c>
      <c r="W55" s="10">
        <f>IF(O55="","",MAX(0,IF(P55&lt;&gt;"",P55,Настройки!$B$2)-O55))</f>
        <v/>
      </c>
      <c r="X55" s="10">
        <f>IF(R55="","",MAX(0,IF(S55&lt;&gt;"",S55,Настройки!$B$2)-R55))</f>
        <v/>
      </c>
      <c r="Y55" s="10">
        <f>MAX(U55:X55)</f>
        <v/>
      </c>
    </row>
    <row r="56">
      <c r="A56" s="9" t="n"/>
      <c r="B56" s="9" t="n"/>
      <c r="C56" s="10">
        <f>IFERROR(INDEX(Оборудование!$B$2:$B$200,MATCH(A56,Оборудование!$A$2:$A$200,0)),"")</f>
        <v/>
      </c>
      <c r="D56" s="10">
        <f>IFERROR(INDEX(Оборудование!$C$2:$C$200,MATCH(A56,Оборудование!$A$2:$A$200,0)),"")</f>
        <v/>
      </c>
      <c r="E56" s="10">
        <f>IFERROR(INDEX(Оборудование!$D$2:$D$200,MATCH(A56,Оборудование!$A$2:$A$200,0)),"")</f>
        <v/>
      </c>
      <c r="F56" s="10">
        <f>IFERROR(INDEX(Оборудование!$H$2:$H$200,MATCH(A56,Оборудование!$A$2:$A$200,0)),"")</f>
        <v/>
      </c>
      <c r="G56" s="11" t="n"/>
      <c r="H56" s="12">
        <f>IF(G56="","",G56+100)</f>
        <v/>
      </c>
      <c r="I56" s="11" t="n"/>
      <c r="J56" s="11" t="n"/>
      <c r="K56" s="11" t="n"/>
      <c r="L56" s="12">
        <f>IF(K56="","",K56+5)</f>
        <v/>
      </c>
      <c r="M56" s="11" t="n"/>
      <c r="N56" s="12">
        <f>IF(M56&lt;&gt;"",M56,IF(L56="","",L56))</f>
        <v/>
      </c>
      <c r="O56" s="12">
        <f>IF(N56="","",N56+40)</f>
        <v/>
      </c>
      <c r="P56" s="11" t="n"/>
      <c r="Q56" s="12">
        <f>IF(P56&lt;&gt;"",P56,IF(O56="","",O56))</f>
        <v/>
      </c>
      <c r="R56" s="12">
        <f>IF(Q56="","",Q56+70)</f>
        <v/>
      </c>
      <c r="S56" s="11" t="n"/>
      <c r="T56" s="10">
        <f>IF(G56="","",IF(S56&lt;&gt;"","Завершено",IF(P56&lt;&gt;"","Ожидание оплаты",IF(M56&lt;&gt;"","Входной контроль",IF(K56&lt;&gt;"","Ожидание получения в Ленске",IF(I56&lt;&gt;"","В пути Иркутск → Ленск","Ремонт у подрядчика"))))))</f>
        <v/>
      </c>
      <c r="U56" s="10">
        <f>IF(H56="","",MAX(0,IF(I56&lt;&gt;"",I56,Настройки!$B$2)-H56))</f>
        <v/>
      </c>
      <c r="V56" s="10">
        <f>IF(L56="","",MAX(0,IF(M56&lt;&gt;"",M56,Настройки!$B$2)-L56))</f>
        <v/>
      </c>
      <c r="W56" s="10">
        <f>IF(O56="","",MAX(0,IF(P56&lt;&gt;"",P56,Настройки!$B$2)-O56))</f>
        <v/>
      </c>
      <c r="X56" s="10">
        <f>IF(R56="","",MAX(0,IF(S56&lt;&gt;"",S56,Настройки!$B$2)-R56))</f>
        <v/>
      </c>
      <c r="Y56" s="10">
        <f>MAX(U56:X56)</f>
        <v/>
      </c>
    </row>
    <row r="57">
      <c r="A57" s="9" t="n"/>
      <c r="B57" s="9" t="n"/>
      <c r="C57" s="10">
        <f>IFERROR(INDEX(Оборудование!$B$2:$B$200,MATCH(A57,Оборудование!$A$2:$A$200,0)),"")</f>
        <v/>
      </c>
      <c r="D57" s="10">
        <f>IFERROR(INDEX(Оборудование!$C$2:$C$200,MATCH(A57,Оборудование!$A$2:$A$200,0)),"")</f>
        <v/>
      </c>
      <c r="E57" s="10">
        <f>IFERROR(INDEX(Оборудование!$D$2:$D$200,MATCH(A57,Оборудование!$A$2:$A$200,0)),"")</f>
        <v/>
      </c>
      <c r="F57" s="10">
        <f>IFERROR(INDEX(Оборудование!$H$2:$H$200,MATCH(A57,Оборудование!$A$2:$A$200,0)),"")</f>
        <v/>
      </c>
      <c r="G57" s="11" t="n"/>
      <c r="H57" s="12">
        <f>IF(G57="","",G57+100)</f>
        <v/>
      </c>
      <c r="I57" s="11" t="n"/>
      <c r="J57" s="11" t="n"/>
      <c r="K57" s="11" t="n"/>
      <c r="L57" s="12">
        <f>IF(K57="","",K57+5)</f>
        <v/>
      </c>
      <c r="M57" s="11" t="n"/>
      <c r="N57" s="12">
        <f>IF(M57&lt;&gt;"",M57,IF(L57="","",L57))</f>
        <v/>
      </c>
      <c r="O57" s="12">
        <f>IF(N57="","",N57+40)</f>
        <v/>
      </c>
      <c r="P57" s="11" t="n"/>
      <c r="Q57" s="12">
        <f>IF(P57&lt;&gt;"",P57,IF(O57="","",O57))</f>
        <v/>
      </c>
      <c r="R57" s="12">
        <f>IF(Q57="","",Q57+70)</f>
        <v/>
      </c>
      <c r="S57" s="11" t="n"/>
      <c r="T57" s="10">
        <f>IF(G57="","",IF(S57&lt;&gt;"","Завершено",IF(P57&lt;&gt;"","Ожидание оплаты",IF(M57&lt;&gt;"","Входной контроль",IF(K57&lt;&gt;"","Ожидание получения в Ленске",IF(I57&lt;&gt;"","В пути Иркутск → Ленск","Ремонт у подрядчика"))))))</f>
        <v/>
      </c>
      <c r="U57" s="10">
        <f>IF(H57="","",MAX(0,IF(I57&lt;&gt;"",I57,Настройки!$B$2)-H57))</f>
        <v/>
      </c>
      <c r="V57" s="10">
        <f>IF(L57="","",MAX(0,IF(M57&lt;&gt;"",M57,Настройки!$B$2)-L57))</f>
        <v/>
      </c>
      <c r="W57" s="10">
        <f>IF(O57="","",MAX(0,IF(P57&lt;&gt;"",P57,Настройки!$B$2)-O57))</f>
        <v/>
      </c>
      <c r="X57" s="10">
        <f>IF(R57="","",MAX(0,IF(S57&lt;&gt;"",S57,Настройки!$B$2)-R57))</f>
        <v/>
      </c>
      <c r="Y57" s="10">
        <f>MAX(U57:X57)</f>
        <v/>
      </c>
    </row>
    <row r="58">
      <c r="A58" s="9" t="n"/>
      <c r="B58" s="9" t="n"/>
      <c r="C58" s="10">
        <f>IFERROR(INDEX(Оборудование!$B$2:$B$200,MATCH(A58,Оборудование!$A$2:$A$200,0)),"")</f>
        <v/>
      </c>
      <c r="D58" s="10">
        <f>IFERROR(INDEX(Оборудование!$C$2:$C$200,MATCH(A58,Оборудование!$A$2:$A$200,0)),"")</f>
        <v/>
      </c>
      <c r="E58" s="10">
        <f>IFERROR(INDEX(Оборудование!$D$2:$D$200,MATCH(A58,Оборудование!$A$2:$A$200,0)),"")</f>
        <v/>
      </c>
      <c r="F58" s="10">
        <f>IFERROR(INDEX(Оборудование!$H$2:$H$200,MATCH(A58,Оборудование!$A$2:$A$200,0)),"")</f>
        <v/>
      </c>
      <c r="G58" s="11" t="n"/>
      <c r="H58" s="12">
        <f>IF(G58="","",G58+100)</f>
        <v/>
      </c>
      <c r="I58" s="11" t="n"/>
      <c r="J58" s="11" t="n"/>
      <c r="K58" s="11" t="n"/>
      <c r="L58" s="12">
        <f>IF(K58="","",K58+5)</f>
        <v/>
      </c>
      <c r="M58" s="11" t="n"/>
      <c r="N58" s="12">
        <f>IF(M58&lt;&gt;"",M58,IF(L58="","",L58))</f>
        <v/>
      </c>
      <c r="O58" s="12">
        <f>IF(N58="","",N58+40)</f>
        <v/>
      </c>
      <c r="P58" s="11" t="n"/>
      <c r="Q58" s="12">
        <f>IF(P58&lt;&gt;"",P58,IF(O58="","",O58))</f>
        <v/>
      </c>
      <c r="R58" s="12">
        <f>IF(Q58="","",Q58+70)</f>
        <v/>
      </c>
      <c r="S58" s="11" t="n"/>
      <c r="T58" s="10">
        <f>IF(G58="","",IF(S58&lt;&gt;"","Завершено",IF(P58&lt;&gt;"","Ожидание оплаты",IF(M58&lt;&gt;"","Входной контроль",IF(K58&lt;&gt;"","Ожидание получения в Ленске",IF(I58&lt;&gt;"","В пути Иркутск → Ленск","Ремонт у подрядчика"))))))</f>
        <v/>
      </c>
      <c r="U58" s="10">
        <f>IF(H58="","",MAX(0,IF(I58&lt;&gt;"",I58,Настройки!$B$2)-H58))</f>
        <v/>
      </c>
      <c r="V58" s="10">
        <f>IF(L58="","",MAX(0,IF(M58&lt;&gt;"",M58,Настройки!$B$2)-L58))</f>
        <v/>
      </c>
      <c r="W58" s="10">
        <f>IF(O58="","",MAX(0,IF(P58&lt;&gt;"",P58,Настройки!$B$2)-O58))</f>
        <v/>
      </c>
      <c r="X58" s="10">
        <f>IF(R58="","",MAX(0,IF(S58&lt;&gt;"",S58,Настройки!$B$2)-R58))</f>
        <v/>
      </c>
      <c r="Y58" s="10">
        <f>MAX(U58:X58)</f>
        <v/>
      </c>
    </row>
    <row r="59">
      <c r="A59" s="9" t="n"/>
      <c r="B59" s="9" t="n"/>
      <c r="C59" s="10">
        <f>IFERROR(INDEX(Оборудование!$B$2:$B$200,MATCH(A59,Оборудование!$A$2:$A$200,0)),"")</f>
        <v/>
      </c>
      <c r="D59" s="10">
        <f>IFERROR(INDEX(Оборудование!$C$2:$C$200,MATCH(A59,Оборудование!$A$2:$A$200,0)),"")</f>
        <v/>
      </c>
      <c r="E59" s="10">
        <f>IFERROR(INDEX(Оборудование!$D$2:$D$200,MATCH(A59,Оборудование!$A$2:$A$200,0)),"")</f>
        <v/>
      </c>
      <c r="F59" s="10">
        <f>IFERROR(INDEX(Оборудование!$H$2:$H$200,MATCH(A59,Оборудование!$A$2:$A$200,0)),"")</f>
        <v/>
      </c>
      <c r="G59" s="11" t="n"/>
      <c r="H59" s="12">
        <f>IF(G59="","",G59+100)</f>
        <v/>
      </c>
      <c r="I59" s="11" t="n"/>
      <c r="J59" s="11" t="n"/>
      <c r="K59" s="11" t="n"/>
      <c r="L59" s="12">
        <f>IF(K59="","",K59+5)</f>
        <v/>
      </c>
      <c r="M59" s="11" t="n"/>
      <c r="N59" s="12">
        <f>IF(M59&lt;&gt;"",M59,IF(L59="","",L59))</f>
        <v/>
      </c>
      <c r="O59" s="12">
        <f>IF(N59="","",N59+40)</f>
        <v/>
      </c>
      <c r="P59" s="11" t="n"/>
      <c r="Q59" s="12">
        <f>IF(P59&lt;&gt;"",P59,IF(O59="","",O59))</f>
        <v/>
      </c>
      <c r="R59" s="12">
        <f>IF(Q59="","",Q59+70)</f>
        <v/>
      </c>
      <c r="S59" s="11" t="n"/>
      <c r="T59" s="10">
        <f>IF(G59="","",IF(S59&lt;&gt;"","Завершено",IF(P59&lt;&gt;"","Ожидание оплаты",IF(M59&lt;&gt;"","Входной контроль",IF(K59&lt;&gt;"","Ожидание получения в Ленске",IF(I59&lt;&gt;"","В пути Иркутск → Ленск","Ремонт у подрядчика"))))))</f>
        <v/>
      </c>
      <c r="U59" s="10">
        <f>IF(H59="","",MAX(0,IF(I59&lt;&gt;"",I59,Настройки!$B$2)-H59))</f>
        <v/>
      </c>
      <c r="V59" s="10">
        <f>IF(L59="","",MAX(0,IF(M59&lt;&gt;"",M59,Настройки!$B$2)-L59))</f>
        <v/>
      </c>
      <c r="W59" s="10">
        <f>IF(O59="","",MAX(0,IF(P59&lt;&gt;"",P59,Настройки!$B$2)-O59))</f>
        <v/>
      </c>
      <c r="X59" s="10">
        <f>IF(R59="","",MAX(0,IF(S59&lt;&gt;"",S59,Настройки!$B$2)-R59))</f>
        <v/>
      </c>
      <c r="Y59" s="10">
        <f>MAX(U59:X59)</f>
        <v/>
      </c>
    </row>
    <row r="60">
      <c r="A60" s="9" t="n"/>
      <c r="B60" s="9" t="n"/>
      <c r="C60" s="10">
        <f>IFERROR(INDEX(Оборудование!$B$2:$B$200,MATCH(A60,Оборудование!$A$2:$A$200,0)),"")</f>
        <v/>
      </c>
      <c r="D60" s="10">
        <f>IFERROR(INDEX(Оборудование!$C$2:$C$200,MATCH(A60,Оборудование!$A$2:$A$200,0)),"")</f>
        <v/>
      </c>
      <c r="E60" s="10">
        <f>IFERROR(INDEX(Оборудование!$D$2:$D$200,MATCH(A60,Оборудование!$A$2:$A$200,0)),"")</f>
        <v/>
      </c>
      <c r="F60" s="10">
        <f>IFERROR(INDEX(Оборудование!$H$2:$H$200,MATCH(A60,Оборудование!$A$2:$A$200,0)),"")</f>
        <v/>
      </c>
      <c r="G60" s="11" t="n"/>
      <c r="H60" s="12">
        <f>IF(G60="","",G60+100)</f>
        <v/>
      </c>
      <c r="I60" s="11" t="n"/>
      <c r="J60" s="11" t="n"/>
      <c r="K60" s="11" t="n"/>
      <c r="L60" s="12">
        <f>IF(K60="","",K60+5)</f>
        <v/>
      </c>
      <c r="M60" s="11" t="n"/>
      <c r="N60" s="12">
        <f>IF(M60&lt;&gt;"",M60,IF(L60="","",L60))</f>
        <v/>
      </c>
      <c r="O60" s="12">
        <f>IF(N60="","",N60+40)</f>
        <v/>
      </c>
      <c r="P60" s="11" t="n"/>
      <c r="Q60" s="12">
        <f>IF(P60&lt;&gt;"",P60,IF(O60="","",O60))</f>
        <v/>
      </c>
      <c r="R60" s="12">
        <f>IF(Q60="","",Q60+70)</f>
        <v/>
      </c>
      <c r="S60" s="11" t="n"/>
      <c r="T60" s="10">
        <f>IF(G60="","",IF(S60&lt;&gt;"","Завершено",IF(P60&lt;&gt;"","Ожидание оплаты",IF(M60&lt;&gt;"","Входной контроль",IF(K60&lt;&gt;"","Ожидание получения в Ленске",IF(I60&lt;&gt;"","В пути Иркутск → Ленск","Ремонт у подрядчика"))))))</f>
        <v/>
      </c>
      <c r="U60" s="10">
        <f>IF(H60="","",MAX(0,IF(I60&lt;&gt;"",I60,Настройки!$B$2)-H60))</f>
        <v/>
      </c>
      <c r="V60" s="10">
        <f>IF(L60="","",MAX(0,IF(M60&lt;&gt;"",M60,Настройки!$B$2)-L60))</f>
        <v/>
      </c>
      <c r="W60" s="10">
        <f>IF(O60="","",MAX(0,IF(P60&lt;&gt;"",P60,Настройки!$B$2)-O60))</f>
        <v/>
      </c>
      <c r="X60" s="10">
        <f>IF(R60="","",MAX(0,IF(S60&lt;&gt;"",S60,Настройки!$B$2)-R60))</f>
        <v/>
      </c>
      <c r="Y60" s="10">
        <f>MAX(U60:X60)</f>
        <v/>
      </c>
    </row>
    <row r="61">
      <c r="A61" s="9" t="n"/>
      <c r="B61" s="9" t="n"/>
      <c r="C61" s="10">
        <f>IFERROR(INDEX(Оборудование!$B$2:$B$200,MATCH(A61,Оборудование!$A$2:$A$200,0)),"")</f>
        <v/>
      </c>
      <c r="D61" s="10">
        <f>IFERROR(INDEX(Оборудование!$C$2:$C$200,MATCH(A61,Оборудование!$A$2:$A$200,0)),"")</f>
        <v/>
      </c>
      <c r="E61" s="10">
        <f>IFERROR(INDEX(Оборудование!$D$2:$D$200,MATCH(A61,Оборудование!$A$2:$A$200,0)),"")</f>
        <v/>
      </c>
      <c r="F61" s="10">
        <f>IFERROR(INDEX(Оборудование!$H$2:$H$200,MATCH(A61,Оборудование!$A$2:$A$200,0)),"")</f>
        <v/>
      </c>
      <c r="G61" s="11" t="n"/>
      <c r="H61" s="12">
        <f>IF(G61="","",G61+100)</f>
        <v/>
      </c>
      <c r="I61" s="11" t="n"/>
      <c r="J61" s="11" t="n"/>
      <c r="K61" s="11" t="n"/>
      <c r="L61" s="12">
        <f>IF(K61="","",K61+5)</f>
        <v/>
      </c>
      <c r="M61" s="11" t="n"/>
      <c r="N61" s="12">
        <f>IF(M61&lt;&gt;"",M61,IF(L61="","",L61))</f>
        <v/>
      </c>
      <c r="O61" s="12">
        <f>IF(N61="","",N61+40)</f>
        <v/>
      </c>
      <c r="P61" s="11" t="n"/>
      <c r="Q61" s="12">
        <f>IF(P61&lt;&gt;"",P61,IF(O61="","",O61))</f>
        <v/>
      </c>
      <c r="R61" s="12">
        <f>IF(Q61="","",Q61+70)</f>
        <v/>
      </c>
      <c r="S61" s="11" t="n"/>
      <c r="T61" s="10">
        <f>IF(G61="","",IF(S61&lt;&gt;"","Завершено",IF(P61&lt;&gt;"","Ожидание оплаты",IF(M61&lt;&gt;"","Входной контроль",IF(K61&lt;&gt;"","Ожидание получения в Ленске",IF(I61&lt;&gt;"","В пути Иркутск → Ленск","Ремонт у подрядчика"))))))</f>
        <v/>
      </c>
      <c r="U61" s="10">
        <f>IF(H61="","",MAX(0,IF(I61&lt;&gt;"",I61,Настройки!$B$2)-H61))</f>
        <v/>
      </c>
      <c r="V61" s="10">
        <f>IF(L61="","",MAX(0,IF(M61&lt;&gt;"",M61,Настройки!$B$2)-L61))</f>
        <v/>
      </c>
      <c r="W61" s="10">
        <f>IF(O61="","",MAX(0,IF(P61&lt;&gt;"",P61,Настройки!$B$2)-O61))</f>
        <v/>
      </c>
      <c r="X61" s="10">
        <f>IF(R61="","",MAX(0,IF(S61&lt;&gt;"",S61,Настройки!$B$2)-R61))</f>
        <v/>
      </c>
      <c r="Y61" s="10">
        <f>MAX(U61:X61)</f>
        <v/>
      </c>
    </row>
    <row r="62">
      <c r="A62" s="9" t="n"/>
      <c r="B62" s="9" t="n"/>
      <c r="C62" s="10">
        <f>IFERROR(INDEX(Оборудование!$B$2:$B$200,MATCH(A62,Оборудование!$A$2:$A$200,0)),"")</f>
        <v/>
      </c>
      <c r="D62" s="10">
        <f>IFERROR(INDEX(Оборудование!$C$2:$C$200,MATCH(A62,Оборудование!$A$2:$A$200,0)),"")</f>
        <v/>
      </c>
      <c r="E62" s="10">
        <f>IFERROR(INDEX(Оборудование!$D$2:$D$200,MATCH(A62,Оборудование!$A$2:$A$200,0)),"")</f>
        <v/>
      </c>
      <c r="F62" s="10">
        <f>IFERROR(INDEX(Оборудование!$H$2:$H$200,MATCH(A62,Оборудование!$A$2:$A$200,0)),"")</f>
        <v/>
      </c>
      <c r="G62" s="11" t="n"/>
      <c r="H62" s="12">
        <f>IF(G62="","",G62+100)</f>
        <v/>
      </c>
      <c r="I62" s="11" t="n"/>
      <c r="J62" s="11" t="n"/>
      <c r="K62" s="11" t="n"/>
      <c r="L62" s="12">
        <f>IF(K62="","",K62+5)</f>
        <v/>
      </c>
      <c r="M62" s="11" t="n"/>
      <c r="N62" s="12">
        <f>IF(M62&lt;&gt;"",M62,IF(L62="","",L62))</f>
        <v/>
      </c>
      <c r="O62" s="12">
        <f>IF(N62="","",N62+40)</f>
        <v/>
      </c>
      <c r="P62" s="11" t="n"/>
      <c r="Q62" s="12">
        <f>IF(P62&lt;&gt;"",P62,IF(O62="","",O62))</f>
        <v/>
      </c>
      <c r="R62" s="12">
        <f>IF(Q62="","",Q62+70)</f>
        <v/>
      </c>
      <c r="S62" s="11" t="n"/>
      <c r="T62" s="10">
        <f>IF(G62="","",IF(S62&lt;&gt;"","Завершено",IF(P62&lt;&gt;"","Ожидание оплаты",IF(M62&lt;&gt;"","Входной контроль",IF(K62&lt;&gt;"","Ожидание получения в Ленске",IF(I62&lt;&gt;"","В пути Иркутск → Ленск","Ремонт у подрядчика"))))))</f>
        <v/>
      </c>
      <c r="U62" s="10">
        <f>IF(H62="","",MAX(0,IF(I62&lt;&gt;"",I62,Настройки!$B$2)-H62))</f>
        <v/>
      </c>
      <c r="V62" s="10">
        <f>IF(L62="","",MAX(0,IF(M62&lt;&gt;"",M62,Настройки!$B$2)-L62))</f>
        <v/>
      </c>
      <c r="W62" s="10">
        <f>IF(O62="","",MAX(0,IF(P62&lt;&gt;"",P62,Настройки!$B$2)-O62))</f>
        <v/>
      </c>
      <c r="X62" s="10">
        <f>IF(R62="","",MAX(0,IF(S62&lt;&gt;"",S62,Настройки!$B$2)-R62))</f>
        <v/>
      </c>
      <c r="Y62" s="10">
        <f>MAX(U62:X62)</f>
        <v/>
      </c>
    </row>
    <row r="63">
      <c r="A63" s="9" t="n"/>
      <c r="B63" s="9" t="n"/>
      <c r="C63" s="10">
        <f>IFERROR(INDEX(Оборудование!$B$2:$B$200,MATCH(A63,Оборудование!$A$2:$A$200,0)),"")</f>
        <v/>
      </c>
      <c r="D63" s="10">
        <f>IFERROR(INDEX(Оборудование!$C$2:$C$200,MATCH(A63,Оборудование!$A$2:$A$200,0)),"")</f>
        <v/>
      </c>
      <c r="E63" s="10">
        <f>IFERROR(INDEX(Оборудование!$D$2:$D$200,MATCH(A63,Оборудование!$A$2:$A$200,0)),"")</f>
        <v/>
      </c>
      <c r="F63" s="10">
        <f>IFERROR(INDEX(Оборудование!$H$2:$H$200,MATCH(A63,Оборудование!$A$2:$A$200,0)),"")</f>
        <v/>
      </c>
      <c r="G63" s="11" t="n"/>
      <c r="H63" s="12">
        <f>IF(G63="","",G63+100)</f>
        <v/>
      </c>
      <c r="I63" s="11" t="n"/>
      <c r="J63" s="11" t="n"/>
      <c r="K63" s="11" t="n"/>
      <c r="L63" s="12">
        <f>IF(K63="","",K63+5)</f>
        <v/>
      </c>
      <c r="M63" s="11" t="n"/>
      <c r="N63" s="12">
        <f>IF(M63&lt;&gt;"",M63,IF(L63="","",L63))</f>
        <v/>
      </c>
      <c r="O63" s="12">
        <f>IF(N63="","",N63+40)</f>
        <v/>
      </c>
      <c r="P63" s="11" t="n"/>
      <c r="Q63" s="12">
        <f>IF(P63&lt;&gt;"",P63,IF(O63="","",O63))</f>
        <v/>
      </c>
      <c r="R63" s="12">
        <f>IF(Q63="","",Q63+70)</f>
        <v/>
      </c>
      <c r="S63" s="11" t="n"/>
      <c r="T63" s="10">
        <f>IF(G63="","",IF(S63&lt;&gt;"","Завершено",IF(P63&lt;&gt;"","Ожидание оплаты",IF(M63&lt;&gt;"","Входной контроль",IF(K63&lt;&gt;"","Ожидание получения в Ленске",IF(I63&lt;&gt;"","В пути Иркутск → Ленск","Ремонт у подрядчика"))))))</f>
        <v/>
      </c>
      <c r="U63" s="10">
        <f>IF(H63="","",MAX(0,IF(I63&lt;&gt;"",I63,Настройки!$B$2)-H63))</f>
        <v/>
      </c>
      <c r="V63" s="10">
        <f>IF(L63="","",MAX(0,IF(M63&lt;&gt;"",M63,Настройки!$B$2)-L63))</f>
        <v/>
      </c>
      <c r="W63" s="10">
        <f>IF(O63="","",MAX(0,IF(P63&lt;&gt;"",P63,Настройки!$B$2)-O63))</f>
        <v/>
      </c>
      <c r="X63" s="10">
        <f>IF(R63="","",MAX(0,IF(S63&lt;&gt;"",S63,Настройки!$B$2)-R63))</f>
        <v/>
      </c>
      <c r="Y63" s="10">
        <f>MAX(U63:X63)</f>
        <v/>
      </c>
    </row>
    <row r="64">
      <c r="A64" s="9" t="n"/>
      <c r="B64" s="9" t="n"/>
      <c r="C64" s="10">
        <f>IFERROR(INDEX(Оборудование!$B$2:$B$200,MATCH(A64,Оборудование!$A$2:$A$200,0)),"")</f>
        <v/>
      </c>
      <c r="D64" s="10">
        <f>IFERROR(INDEX(Оборудование!$C$2:$C$200,MATCH(A64,Оборудование!$A$2:$A$200,0)),"")</f>
        <v/>
      </c>
      <c r="E64" s="10">
        <f>IFERROR(INDEX(Оборудование!$D$2:$D$200,MATCH(A64,Оборудование!$A$2:$A$200,0)),"")</f>
        <v/>
      </c>
      <c r="F64" s="10">
        <f>IFERROR(INDEX(Оборудование!$H$2:$H$200,MATCH(A64,Оборудование!$A$2:$A$200,0)),"")</f>
        <v/>
      </c>
      <c r="G64" s="11" t="n"/>
      <c r="H64" s="12">
        <f>IF(G64="","",G64+100)</f>
        <v/>
      </c>
      <c r="I64" s="11" t="n"/>
      <c r="J64" s="11" t="n"/>
      <c r="K64" s="11" t="n"/>
      <c r="L64" s="12">
        <f>IF(K64="","",K64+5)</f>
        <v/>
      </c>
      <c r="M64" s="11" t="n"/>
      <c r="N64" s="12">
        <f>IF(M64&lt;&gt;"",M64,IF(L64="","",L64))</f>
        <v/>
      </c>
      <c r="O64" s="12">
        <f>IF(N64="","",N64+40)</f>
        <v/>
      </c>
      <c r="P64" s="11" t="n"/>
      <c r="Q64" s="12">
        <f>IF(P64&lt;&gt;"",P64,IF(O64="","",O64))</f>
        <v/>
      </c>
      <c r="R64" s="12">
        <f>IF(Q64="","",Q64+70)</f>
        <v/>
      </c>
      <c r="S64" s="11" t="n"/>
      <c r="T64" s="10">
        <f>IF(G64="","",IF(S64&lt;&gt;"","Завершено",IF(P64&lt;&gt;"","Ожидание оплаты",IF(M64&lt;&gt;"","Входной контроль",IF(K64&lt;&gt;"","Ожидание получения в Ленске",IF(I64&lt;&gt;"","В пути Иркутск → Ленск","Ремонт у подрядчика"))))))</f>
        <v/>
      </c>
      <c r="U64" s="10">
        <f>IF(H64="","",MAX(0,IF(I64&lt;&gt;"",I64,Настройки!$B$2)-H64))</f>
        <v/>
      </c>
      <c r="V64" s="10">
        <f>IF(L64="","",MAX(0,IF(M64&lt;&gt;"",M64,Настройки!$B$2)-L64))</f>
        <v/>
      </c>
      <c r="W64" s="10">
        <f>IF(O64="","",MAX(0,IF(P64&lt;&gt;"",P64,Настройки!$B$2)-O64))</f>
        <v/>
      </c>
      <c r="X64" s="10">
        <f>IF(R64="","",MAX(0,IF(S64&lt;&gt;"",S64,Настройки!$B$2)-R64))</f>
        <v/>
      </c>
      <c r="Y64" s="10">
        <f>MAX(U64:X64)</f>
        <v/>
      </c>
    </row>
    <row r="65">
      <c r="A65" s="9" t="n"/>
      <c r="B65" s="9" t="n"/>
      <c r="C65" s="10">
        <f>IFERROR(INDEX(Оборудование!$B$2:$B$200,MATCH(A65,Оборудование!$A$2:$A$200,0)),"")</f>
        <v/>
      </c>
      <c r="D65" s="10">
        <f>IFERROR(INDEX(Оборудование!$C$2:$C$200,MATCH(A65,Оборудование!$A$2:$A$200,0)),"")</f>
        <v/>
      </c>
      <c r="E65" s="10">
        <f>IFERROR(INDEX(Оборудование!$D$2:$D$200,MATCH(A65,Оборудование!$A$2:$A$200,0)),"")</f>
        <v/>
      </c>
      <c r="F65" s="10">
        <f>IFERROR(INDEX(Оборудование!$H$2:$H$200,MATCH(A65,Оборудование!$A$2:$A$200,0)),"")</f>
        <v/>
      </c>
      <c r="G65" s="11" t="n"/>
      <c r="H65" s="12">
        <f>IF(G65="","",G65+100)</f>
        <v/>
      </c>
      <c r="I65" s="11" t="n"/>
      <c r="J65" s="11" t="n"/>
      <c r="K65" s="11" t="n"/>
      <c r="L65" s="12">
        <f>IF(K65="","",K65+5)</f>
        <v/>
      </c>
      <c r="M65" s="11" t="n"/>
      <c r="N65" s="12">
        <f>IF(M65&lt;&gt;"",M65,IF(L65="","",L65))</f>
        <v/>
      </c>
      <c r="O65" s="12">
        <f>IF(N65="","",N65+40)</f>
        <v/>
      </c>
      <c r="P65" s="11" t="n"/>
      <c r="Q65" s="12">
        <f>IF(P65&lt;&gt;"",P65,IF(O65="","",O65))</f>
        <v/>
      </c>
      <c r="R65" s="12">
        <f>IF(Q65="","",Q65+70)</f>
        <v/>
      </c>
      <c r="S65" s="11" t="n"/>
      <c r="T65" s="10">
        <f>IF(G65="","",IF(S65&lt;&gt;"","Завершено",IF(P65&lt;&gt;"","Ожидание оплаты",IF(M65&lt;&gt;"","Входной контроль",IF(K65&lt;&gt;"","Ожидание получения в Ленске",IF(I65&lt;&gt;"","В пути Иркутск → Ленск","Ремонт у подрядчика"))))))</f>
        <v/>
      </c>
      <c r="U65" s="10">
        <f>IF(H65="","",MAX(0,IF(I65&lt;&gt;"",I65,Настройки!$B$2)-H65))</f>
        <v/>
      </c>
      <c r="V65" s="10">
        <f>IF(L65="","",MAX(0,IF(M65&lt;&gt;"",M65,Настройки!$B$2)-L65))</f>
        <v/>
      </c>
      <c r="W65" s="10">
        <f>IF(O65="","",MAX(0,IF(P65&lt;&gt;"",P65,Настройки!$B$2)-O65))</f>
        <v/>
      </c>
      <c r="X65" s="10">
        <f>IF(R65="","",MAX(0,IF(S65&lt;&gt;"",S65,Настройки!$B$2)-R65))</f>
        <v/>
      </c>
      <c r="Y65" s="10">
        <f>MAX(U65:X65)</f>
        <v/>
      </c>
    </row>
    <row r="66">
      <c r="A66" s="9" t="n"/>
      <c r="B66" s="9" t="n"/>
      <c r="C66" s="10">
        <f>IFERROR(INDEX(Оборудование!$B$2:$B$200,MATCH(A66,Оборудование!$A$2:$A$200,0)),"")</f>
        <v/>
      </c>
      <c r="D66" s="10">
        <f>IFERROR(INDEX(Оборудование!$C$2:$C$200,MATCH(A66,Оборудование!$A$2:$A$200,0)),"")</f>
        <v/>
      </c>
      <c r="E66" s="10">
        <f>IFERROR(INDEX(Оборудование!$D$2:$D$200,MATCH(A66,Оборудование!$A$2:$A$200,0)),"")</f>
        <v/>
      </c>
      <c r="F66" s="10">
        <f>IFERROR(INDEX(Оборудование!$H$2:$H$200,MATCH(A66,Оборудование!$A$2:$A$200,0)),"")</f>
        <v/>
      </c>
      <c r="G66" s="11" t="n"/>
      <c r="H66" s="12">
        <f>IF(G66="","",G66+100)</f>
        <v/>
      </c>
      <c r="I66" s="11" t="n"/>
      <c r="J66" s="11" t="n"/>
      <c r="K66" s="11" t="n"/>
      <c r="L66" s="12">
        <f>IF(K66="","",K66+5)</f>
        <v/>
      </c>
      <c r="M66" s="11" t="n"/>
      <c r="N66" s="12">
        <f>IF(M66&lt;&gt;"",M66,IF(L66="","",L66))</f>
        <v/>
      </c>
      <c r="O66" s="12">
        <f>IF(N66="","",N66+40)</f>
        <v/>
      </c>
      <c r="P66" s="11" t="n"/>
      <c r="Q66" s="12">
        <f>IF(P66&lt;&gt;"",P66,IF(O66="","",O66))</f>
        <v/>
      </c>
      <c r="R66" s="12">
        <f>IF(Q66="","",Q66+70)</f>
        <v/>
      </c>
      <c r="S66" s="11" t="n"/>
      <c r="T66" s="10">
        <f>IF(G66="","",IF(S66&lt;&gt;"","Завершено",IF(P66&lt;&gt;"","Ожидание оплаты",IF(M66&lt;&gt;"","Входной контроль",IF(K66&lt;&gt;"","Ожидание получения в Ленске",IF(I66&lt;&gt;"","В пути Иркутск → Ленск","Ремонт у подрядчика"))))))</f>
        <v/>
      </c>
      <c r="U66" s="10">
        <f>IF(H66="","",MAX(0,IF(I66&lt;&gt;"",I66,Настройки!$B$2)-H66))</f>
        <v/>
      </c>
      <c r="V66" s="10">
        <f>IF(L66="","",MAX(0,IF(M66&lt;&gt;"",M66,Настройки!$B$2)-L66))</f>
        <v/>
      </c>
      <c r="W66" s="10">
        <f>IF(O66="","",MAX(0,IF(P66&lt;&gt;"",P66,Настройки!$B$2)-O66))</f>
        <v/>
      </c>
      <c r="X66" s="10">
        <f>IF(R66="","",MAX(0,IF(S66&lt;&gt;"",S66,Настройки!$B$2)-R66))</f>
        <v/>
      </c>
      <c r="Y66" s="10">
        <f>MAX(U66:X66)</f>
        <v/>
      </c>
    </row>
    <row r="67">
      <c r="A67" s="9" t="n"/>
      <c r="B67" s="9" t="n"/>
      <c r="C67" s="10">
        <f>IFERROR(INDEX(Оборудование!$B$2:$B$200,MATCH(A67,Оборудование!$A$2:$A$200,0)),"")</f>
        <v/>
      </c>
      <c r="D67" s="10">
        <f>IFERROR(INDEX(Оборудование!$C$2:$C$200,MATCH(A67,Оборудование!$A$2:$A$200,0)),"")</f>
        <v/>
      </c>
      <c r="E67" s="10">
        <f>IFERROR(INDEX(Оборудование!$D$2:$D$200,MATCH(A67,Оборудование!$A$2:$A$200,0)),"")</f>
        <v/>
      </c>
      <c r="F67" s="10">
        <f>IFERROR(INDEX(Оборудование!$H$2:$H$200,MATCH(A67,Оборудование!$A$2:$A$200,0)),"")</f>
        <v/>
      </c>
      <c r="G67" s="11" t="n"/>
      <c r="H67" s="12">
        <f>IF(G67="","",G67+100)</f>
        <v/>
      </c>
      <c r="I67" s="11" t="n"/>
      <c r="J67" s="11" t="n"/>
      <c r="K67" s="11" t="n"/>
      <c r="L67" s="12">
        <f>IF(K67="","",K67+5)</f>
        <v/>
      </c>
      <c r="M67" s="11" t="n"/>
      <c r="N67" s="12">
        <f>IF(M67&lt;&gt;"",M67,IF(L67="","",L67))</f>
        <v/>
      </c>
      <c r="O67" s="12">
        <f>IF(N67="","",N67+40)</f>
        <v/>
      </c>
      <c r="P67" s="11" t="n"/>
      <c r="Q67" s="12">
        <f>IF(P67&lt;&gt;"",P67,IF(O67="","",O67))</f>
        <v/>
      </c>
      <c r="R67" s="12">
        <f>IF(Q67="","",Q67+70)</f>
        <v/>
      </c>
      <c r="S67" s="11" t="n"/>
      <c r="T67" s="10">
        <f>IF(G67="","",IF(S67&lt;&gt;"","Завершено",IF(P67&lt;&gt;"","Ожидание оплаты",IF(M67&lt;&gt;"","Входной контроль",IF(K67&lt;&gt;"","Ожидание получения в Ленске",IF(I67&lt;&gt;"","В пути Иркутск → Ленск","Ремонт у подрядчика"))))))</f>
        <v/>
      </c>
      <c r="U67" s="10">
        <f>IF(H67="","",MAX(0,IF(I67&lt;&gt;"",I67,Настройки!$B$2)-H67))</f>
        <v/>
      </c>
      <c r="V67" s="10">
        <f>IF(L67="","",MAX(0,IF(M67&lt;&gt;"",M67,Настройки!$B$2)-L67))</f>
        <v/>
      </c>
      <c r="W67" s="10">
        <f>IF(O67="","",MAX(0,IF(P67&lt;&gt;"",P67,Настройки!$B$2)-O67))</f>
        <v/>
      </c>
      <c r="X67" s="10">
        <f>IF(R67="","",MAX(0,IF(S67&lt;&gt;"",S67,Настройки!$B$2)-R67))</f>
        <v/>
      </c>
      <c r="Y67" s="10">
        <f>MAX(U67:X67)</f>
        <v/>
      </c>
    </row>
    <row r="68">
      <c r="A68" s="9" t="n"/>
      <c r="B68" s="9" t="n"/>
      <c r="C68" s="10">
        <f>IFERROR(INDEX(Оборудование!$B$2:$B$200,MATCH(A68,Оборудование!$A$2:$A$200,0)),"")</f>
        <v/>
      </c>
      <c r="D68" s="10">
        <f>IFERROR(INDEX(Оборудование!$C$2:$C$200,MATCH(A68,Оборудование!$A$2:$A$200,0)),"")</f>
        <v/>
      </c>
      <c r="E68" s="10">
        <f>IFERROR(INDEX(Оборудование!$D$2:$D$200,MATCH(A68,Оборудование!$A$2:$A$200,0)),"")</f>
        <v/>
      </c>
      <c r="F68" s="10">
        <f>IFERROR(INDEX(Оборудование!$H$2:$H$200,MATCH(A68,Оборудование!$A$2:$A$200,0)),"")</f>
        <v/>
      </c>
      <c r="G68" s="11" t="n"/>
      <c r="H68" s="12">
        <f>IF(G68="","",G68+100)</f>
        <v/>
      </c>
      <c r="I68" s="11" t="n"/>
      <c r="J68" s="11" t="n"/>
      <c r="K68" s="11" t="n"/>
      <c r="L68" s="12">
        <f>IF(K68="","",K68+5)</f>
        <v/>
      </c>
      <c r="M68" s="11" t="n"/>
      <c r="N68" s="12">
        <f>IF(M68&lt;&gt;"",M68,IF(L68="","",L68))</f>
        <v/>
      </c>
      <c r="O68" s="12">
        <f>IF(N68="","",N68+40)</f>
        <v/>
      </c>
      <c r="P68" s="11" t="n"/>
      <c r="Q68" s="12">
        <f>IF(P68&lt;&gt;"",P68,IF(O68="","",O68))</f>
        <v/>
      </c>
      <c r="R68" s="12">
        <f>IF(Q68="","",Q68+70)</f>
        <v/>
      </c>
      <c r="S68" s="11" t="n"/>
      <c r="T68" s="10">
        <f>IF(G68="","",IF(S68&lt;&gt;"","Завершено",IF(P68&lt;&gt;"","Ожидание оплаты",IF(M68&lt;&gt;"","Входной контроль",IF(K68&lt;&gt;"","Ожидание получения в Ленске",IF(I68&lt;&gt;"","В пути Иркутск → Ленск","Ремонт у подрядчика"))))))</f>
        <v/>
      </c>
      <c r="U68" s="10">
        <f>IF(H68="","",MAX(0,IF(I68&lt;&gt;"",I68,Настройки!$B$2)-H68))</f>
        <v/>
      </c>
      <c r="V68" s="10">
        <f>IF(L68="","",MAX(0,IF(M68&lt;&gt;"",M68,Настройки!$B$2)-L68))</f>
        <v/>
      </c>
      <c r="W68" s="10">
        <f>IF(O68="","",MAX(0,IF(P68&lt;&gt;"",P68,Настройки!$B$2)-O68))</f>
        <v/>
      </c>
      <c r="X68" s="10">
        <f>IF(R68="","",MAX(0,IF(S68&lt;&gt;"",S68,Настройки!$B$2)-R68))</f>
        <v/>
      </c>
      <c r="Y68" s="10">
        <f>MAX(U68:X68)</f>
        <v/>
      </c>
    </row>
    <row r="69">
      <c r="A69" s="9" t="n"/>
      <c r="B69" s="9" t="n"/>
      <c r="C69" s="10">
        <f>IFERROR(INDEX(Оборудование!$B$2:$B$200,MATCH(A69,Оборудование!$A$2:$A$200,0)),"")</f>
        <v/>
      </c>
      <c r="D69" s="10">
        <f>IFERROR(INDEX(Оборудование!$C$2:$C$200,MATCH(A69,Оборудование!$A$2:$A$200,0)),"")</f>
        <v/>
      </c>
      <c r="E69" s="10">
        <f>IFERROR(INDEX(Оборудование!$D$2:$D$200,MATCH(A69,Оборудование!$A$2:$A$200,0)),"")</f>
        <v/>
      </c>
      <c r="F69" s="10">
        <f>IFERROR(INDEX(Оборудование!$H$2:$H$200,MATCH(A69,Оборудование!$A$2:$A$200,0)),"")</f>
        <v/>
      </c>
      <c r="G69" s="11" t="n"/>
      <c r="H69" s="12">
        <f>IF(G69="","",G69+100)</f>
        <v/>
      </c>
      <c r="I69" s="11" t="n"/>
      <c r="J69" s="11" t="n"/>
      <c r="K69" s="11" t="n"/>
      <c r="L69" s="12">
        <f>IF(K69="","",K69+5)</f>
        <v/>
      </c>
      <c r="M69" s="11" t="n"/>
      <c r="N69" s="12">
        <f>IF(M69&lt;&gt;"",M69,IF(L69="","",L69))</f>
        <v/>
      </c>
      <c r="O69" s="12">
        <f>IF(N69="","",N69+40)</f>
        <v/>
      </c>
      <c r="P69" s="11" t="n"/>
      <c r="Q69" s="12">
        <f>IF(P69&lt;&gt;"",P69,IF(O69="","",O69))</f>
        <v/>
      </c>
      <c r="R69" s="12">
        <f>IF(Q69="","",Q69+70)</f>
        <v/>
      </c>
      <c r="S69" s="11" t="n"/>
      <c r="T69" s="10">
        <f>IF(G69="","",IF(S69&lt;&gt;"","Завершено",IF(P69&lt;&gt;"","Ожидание оплаты",IF(M69&lt;&gt;"","Входной контроль",IF(K69&lt;&gt;"","Ожидание получения в Ленске",IF(I69&lt;&gt;"","В пути Иркутск → Ленск","Ремонт у подрядчика"))))))</f>
        <v/>
      </c>
      <c r="U69" s="10">
        <f>IF(H69="","",MAX(0,IF(I69&lt;&gt;"",I69,Настройки!$B$2)-H69))</f>
        <v/>
      </c>
      <c r="V69" s="10">
        <f>IF(L69="","",MAX(0,IF(M69&lt;&gt;"",M69,Настройки!$B$2)-L69))</f>
        <v/>
      </c>
      <c r="W69" s="10">
        <f>IF(O69="","",MAX(0,IF(P69&lt;&gt;"",P69,Настройки!$B$2)-O69))</f>
        <v/>
      </c>
      <c r="X69" s="10">
        <f>IF(R69="","",MAX(0,IF(S69&lt;&gt;"",S69,Настройки!$B$2)-R69))</f>
        <v/>
      </c>
      <c r="Y69" s="10">
        <f>MAX(U69:X69)</f>
        <v/>
      </c>
    </row>
    <row r="70">
      <c r="A70" s="9" t="n"/>
      <c r="B70" s="9" t="n"/>
      <c r="C70" s="10">
        <f>IFERROR(INDEX(Оборудование!$B$2:$B$200,MATCH(A70,Оборудование!$A$2:$A$200,0)),"")</f>
        <v/>
      </c>
      <c r="D70" s="10">
        <f>IFERROR(INDEX(Оборудование!$C$2:$C$200,MATCH(A70,Оборудование!$A$2:$A$200,0)),"")</f>
        <v/>
      </c>
      <c r="E70" s="10">
        <f>IFERROR(INDEX(Оборудование!$D$2:$D$200,MATCH(A70,Оборудование!$A$2:$A$200,0)),"")</f>
        <v/>
      </c>
      <c r="F70" s="10">
        <f>IFERROR(INDEX(Оборудование!$H$2:$H$200,MATCH(A70,Оборудование!$A$2:$A$200,0)),"")</f>
        <v/>
      </c>
      <c r="G70" s="11" t="n"/>
      <c r="H70" s="12">
        <f>IF(G70="","",G70+100)</f>
        <v/>
      </c>
      <c r="I70" s="11" t="n"/>
      <c r="J70" s="11" t="n"/>
      <c r="K70" s="11" t="n"/>
      <c r="L70" s="12">
        <f>IF(K70="","",K70+5)</f>
        <v/>
      </c>
      <c r="M70" s="11" t="n"/>
      <c r="N70" s="12">
        <f>IF(M70&lt;&gt;"",M70,IF(L70="","",L70))</f>
        <v/>
      </c>
      <c r="O70" s="12">
        <f>IF(N70="","",N70+40)</f>
        <v/>
      </c>
      <c r="P70" s="11" t="n"/>
      <c r="Q70" s="12">
        <f>IF(P70&lt;&gt;"",P70,IF(O70="","",O70))</f>
        <v/>
      </c>
      <c r="R70" s="12">
        <f>IF(Q70="","",Q70+70)</f>
        <v/>
      </c>
      <c r="S70" s="11" t="n"/>
      <c r="T70" s="10">
        <f>IF(G70="","",IF(S70&lt;&gt;"","Завершено",IF(P70&lt;&gt;"","Ожидание оплаты",IF(M70&lt;&gt;"","Входной контроль",IF(K70&lt;&gt;"","Ожидание получения в Ленске",IF(I70&lt;&gt;"","В пути Иркутск → Ленск","Ремонт у подрядчика"))))))</f>
        <v/>
      </c>
      <c r="U70" s="10">
        <f>IF(H70="","",MAX(0,IF(I70&lt;&gt;"",I70,Настройки!$B$2)-H70))</f>
        <v/>
      </c>
      <c r="V70" s="10">
        <f>IF(L70="","",MAX(0,IF(M70&lt;&gt;"",M70,Настройки!$B$2)-L70))</f>
        <v/>
      </c>
      <c r="W70" s="10">
        <f>IF(O70="","",MAX(0,IF(P70&lt;&gt;"",P70,Настройки!$B$2)-O70))</f>
        <v/>
      </c>
      <c r="X70" s="10">
        <f>IF(R70="","",MAX(0,IF(S70&lt;&gt;"",S70,Настройки!$B$2)-R70))</f>
        <v/>
      </c>
      <c r="Y70" s="10">
        <f>MAX(U70:X70)</f>
        <v/>
      </c>
    </row>
    <row r="71">
      <c r="A71" s="9" t="n"/>
      <c r="B71" s="9" t="n"/>
      <c r="C71" s="10">
        <f>IFERROR(INDEX(Оборудование!$B$2:$B$200,MATCH(A71,Оборудование!$A$2:$A$200,0)),"")</f>
        <v/>
      </c>
      <c r="D71" s="10">
        <f>IFERROR(INDEX(Оборудование!$C$2:$C$200,MATCH(A71,Оборудование!$A$2:$A$200,0)),"")</f>
        <v/>
      </c>
      <c r="E71" s="10">
        <f>IFERROR(INDEX(Оборудование!$D$2:$D$200,MATCH(A71,Оборудование!$A$2:$A$200,0)),"")</f>
        <v/>
      </c>
      <c r="F71" s="10">
        <f>IFERROR(INDEX(Оборудование!$H$2:$H$200,MATCH(A71,Оборудование!$A$2:$A$200,0)),"")</f>
        <v/>
      </c>
      <c r="G71" s="11" t="n"/>
      <c r="H71" s="12">
        <f>IF(G71="","",G71+100)</f>
        <v/>
      </c>
      <c r="I71" s="11" t="n"/>
      <c r="J71" s="11" t="n"/>
      <c r="K71" s="11" t="n"/>
      <c r="L71" s="12">
        <f>IF(K71="","",K71+5)</f>
        <v/>
      </c>
      <c r="M71" s="11" t="n"/>
      <c r="N71" s="12">
        <f>IF(M71&lt;&gt;"",M71,IF(L71="","",L71))</f>
        <v/>
      </c>
      <c r="O71" s="12">
        <f>IF(N71="","",N71+40)</f>
        <v/>
      </c>
      <c r="P71" s="11" t="n"/>
      <c r="Q71" s="12">
        <f>IF(P71&lt;&gt;"",P71,IF(O71="","",O71))</f>
        <v/>
      </c>
      <c r="R71" s="12">
        <f>IF(Q71="","",Q71+70)</f>
        <v/>
      </c>
      <c r="S71" s="11" t="n"/>
      <c r="T71" s="10">
        <f>IF(G71="","",IF(S71&lt;&gt;"","Завершено",IF(P71&lt;&gt;"","Ожидание оплаты",IF(M71&lt;&gt;"","Входной контроль",IF(K71&lt;&gt;"","Ожидание получения в Ленске",IF(I71&lt;&gt;"","В пути Иркутск → Ленск","Ремонт у подрядчика"))))))</f>
        <v/>
      </c>
      <c r="U71" s="10">
        <f>IF(H71="","",MAX(0,IF(I71&lt;&gt;"",I71,Настройки!$B$2)-H71))</f>
        <v/>
      </c>
      <c r="V71" s="10">
        <f>IF(L71="","",MAX(0,IF(M71&lt;&gt;"",M71,Настройки!$B$2)-L71))</f>
        <v/>
      </c>
      <c r="W71" s="10">
        <f>IF(O71="","",MAX(0,IF(P71&lt;&gt;"",P71,Настройки!$B$2)-O71))</f>
        <v/>
      </c>
      <c r="X71" s="10">
        <f>IF(R71="","",MAX(0,IF(S71&lt;&gt;"",S71,Настройки!$B$2)-R71))</f>
        <v/>
      </c>
      <c r="Y71" s="10">
        <f>MAX(U71:X71)</f>
        <v/>
      </c>
    </row>
    <row r="72">
      <c r="A72" s="9" t="n"/>
      <c r="B72" s="9" t="n"/>
      <c r="C72" s="10">
        <f>IFERROR(INDEX(Оборудование!$B$2:$B$200,MATCH(A72,Оборудование!$A$2:$A$200,0)),"")</f>
        <v/>
      </c>
      <c r="D72" s="10">
        <f>IFERROR(INDEX(Оборудование!$C$2:$C$200,MATCH(A72,Оборудование!$A$2:$A$200,0)),"")</f>
        <v/>
      </c>
      <c r="E72" s="10">
        <f>IFERROR(INDEX(Оборудование!$D$2:$D$200,MATCH(A72,Оборудование!$A$2:$A$200,0)),"")</f>
        <v/>
      </c>
      <c r="F72" s="10">
        <f>IFERROR(INDEX(Оборудование!$H$2:$H$200,MATCH(A72,Оборудование!$A$2:$A$200,0)),"")</f>
        <v/>
      </c>
      <c r="G72" s="11" t="n"/>
      <c r="H72" s="12">
        <f>IF(G72="","",G72+100)</f>
        <v/>
      </c>
      <c r="I72" s="11" t="n"/>
      <c r="J72" s="11" t="n"/>
      <c r="K72" s="11" t="n"/>
      <c r="L72" s="12">
        <f>IF(K72="","",K72+5)</f>
        <v/>
      </c>
      <c r="M72" s="11" t="n"/>
      <c r="N72" s="12">
        <f>IF(M72&lt;&gt;"",M72,IF(L72="","",L72))</f>
        <v/>
      </c>
      <c r="O72" s="12">
        <f>IF(N72="","",N72+40)</f>
        <v/>
      </c>
      <c r="P72" s="11" t="n"/>
      <c r="Q72" s="12">
        <f>IF(P72&lt;&gt;"",P72,IF(O72="","",O72))</f>
        <v/>
      </c>
      <c r="R72" s="12">
        <f>IF(Q72="","",Q72+70)</f>
        <v/>
      </c>
      <c r="S72" s="11" t="n"/>
      <c r="T72" s="10">
        <f>IF(G72="","",IF(S72&lt;&gt;"","Завершено",IF(P72&lt;&gt;"","Ожидание оплаты",IF(M72&lt;&gt;"","Входной контроль",IF(K72&lt;&gt;"","Ожидание получения в Ленске",IF(I72&lt;&gt;"","В пути Иркутск → Ленск","Ремонт у подрядчика"))))))</f>
        <v/>
      </c>
      <c r="U72" s="10">
        <f>IF(H72="","",MAX(0,IF(I72&lt;&gt;"",I72,Настройки!$B$2)-H72))</f>
        <v/>
      </c>
      <c r="V72" s="10">
        <f>IF(L72="","",MAX(0,IF(M72&lt;&gt;"",M72,Настройки!$B$2)-L72))</f>
        <v/>
      </c>
      <c r="W72" s="10">
        <f>IF(O72="","",MAX(0,IF(P72&lt;&gt;"",P72,Настройки!$B$2)-O72))</f>
        <v/>
      </c>
      <c r="X72" s="10">
        <f>IF(R72="","",MAX(0,IF(S72&lt;&gt;"",S72,Настройки!$B$2)-R72))</f>
        <v/>
      </c>
      <c r="Y72" s="10">
        <f>MAX(U72:X72)</f>
        <v/>
      </c>
    </row>
    <row r="73">
      <c r="A73" s="9" t="n"/>
      <c r="B73" s="9" t="n"/>
      <c r="C73" s="10">
        <f>IFERROR(INDEX(Оборудование!$B$2:$B$200,MATCH(A73,Оборудование!$A$2:$A$200,0)),"")</f>
        <v/>
      </c>
      <c r="D73" s="10">
        <f>IFERROR(INDEX(Оборудование!$C$2:$C$200,MATCH(A73,Оборудование!$A$2:$A$200,0)),"")</f>
        <v/>
      </c>
      <c r="E73" s="10">
        <f>IFERROR(INDEX(Оборудование!$D$2:$D$200,MATCH(A73,Оборудование!$A$2:$A$200,0)),"")</f>
        <v/>
      </c>
      <c r="F73" s="10">
        <f>IFERROR(INDEX(Оборудование!$H$2:$H$200,MATCH(A73,Оборудование!$A$2:$A$200,0)),"")</f>
        <v/>
      </c>
      <c r="G73" s="11" t="n"/>
      <c r="H73" s="12">
        <f>IF(G73="","",G73+100)</f>
        <v/>
      </c>
      <c r="I73" s="11" t="n"/>
      <c r="J73" s="11" t="n"/>
      <c r="K73" s="11" t="n"/>
      <c r="L73" s="12">
        <f>IF(K73="","",K73+5)</f>
        <v/>
      </c>
      <c r="M73" s="11" t="n"/>
      <c r="N73" s="12">
        <f>IF(M73&lt;&gt;"",M73,IF(L73="","",L73))</f>
        <v/>
      </c>
      <c r="O73" s="12">
        <f>IF(N73="","",N73+40)</f>
        <v/>
      </c>
      <c r="P73" s="11" t="n"/>
      <c r="Q73" s="12">
        <f>IF(P73&lt;&gt;"",P73,IF(O73="","",O73))</f>
        <v/>
      </c>
      <c r="R73" s="12">
        <f>IF(Q73="","",Q73+70)</f>
        <v/>
      </c>
      <c r="S73" s="11" t="n"/>
      <c r="T73" s="10">
        <f>IF(G73="","",IF(S73&lt;&gt;"","Завершено",IF(P73&lt;&gt;"","Ожидание оплаты",IF(M73&lt;&gt;"","Входной контроль",IF(K73&lt;&gt;"","Ожидание получения в Ленске",IF(I73&lt;&gt;"","В пути Иркутск → Ленск","Ремонт у подрядчика"))))))</f>
        <v/>
      </c>
      <c r="U73" s="10">
        <f>IF(H73="","",MAX(0,IF(I73&lt;&gt;"",I73,Настройки!$B$2)-H73))</f>
        <v/>
      </c>
      <c r="V73" s="10">
        <f>IF(L73="","",MAX(0,IF(M73&lt;&gt;"",M73,Настройки!$B$2)-L73))</f>
        <v/>
      </c>
      <c r="W73" s="10">
        <f>IF(O73="","",MAX(0,IF(P73&lt;&gt;"",P73,Настройки!$B$2)-O73))</f>
        <v/>
      </c>
      <c r="X73" s="10">
        <f>IF(R73="","",MAX(0,IF(S73&lt;&gt;"",S73,Настройки!$B$2)-R73))</f>
        <v/>
      </c>
      <c r="Y73" s="10">
        <f>MAX(U73:X73)</f>
        <v/>
      </c>
    </row>
    <row r="74">
      <c r="A74" s="9" t="n"/>
      <c r="B74" s="9" t="n"/>
      <c r="C74" s="10">
        <f>IFERROR(INDEX(Оборудование!$B$2:$B$200,MATCH(A74,Оборудование!$A$2:$A$200,0)),"")</f>
        <v/>
      </c>
      <c r="D74" s="10">
        <f>IFERROR(INDEX(Оборудование!$C$2:$C$200,MATCH(A74,Оборудование!$A$2:$A$200,0)),"")</f>
        <v/>
      </c>
      <c r="E74" s="10">
        <f>IFERROR(INDEX(Оборудование!$D$2:$D$200,MATCH(A74,Оборудование!$A$2:$A$200,0)),"")</f>
        <v/>
      </c>
      <c r="F74" s="10">
        <f>IFERROR(INDEX(Оборудование!$H$2:$H$200,MATCH(A74,Оборудование!$A$2:$A$200,0)),"")</f>
        <v/>
      </c>
      <c r="G74" s="11" t="n"/>
      <c r="H74" s="12">
        <f>IF(G74="","",G74+100)</f>
        <v/>
      </c>
      <c r="I74" s="11" t="n"/>
      <c r="J74" s="11" t="n"/>
      <c r="K74" s="11" t="n"/>
      <c r="L74" s="12">
        <f>IF(K74="","",K74+5)</f>
        <v/>
      </c>
      <c r="M74" s="11" t="n"/>
      <c r="N74" s="12">
        <f>IF(M74&lt;&gt;"",M74,IF(L74="","",L74))</f>
        <v/>
      </c>
      <c r="O74" s="12">
        <f>IF(N74="","",N74+40)</f>
        <v/>
      </c>
      <c r="P74" s="11" t="n"/>
      <c r="Q74" s="12">
        <f>IF(P74&lt;&gt;"",P74,IF(O74="","",O74))</f>
        <v/>
      </c>
      <c r="R74" s="12">
        <f>IF(Q74="","",Q74+70)</f>
        <v/>
      </c>
      <c r="S74" s="11" t="n"/>
      <c r="T74" s="10">
        <f>IF(G74="","",IF(S74&lt;&gt;"","Завершено",IF(P74&lt;&gt;"","Ожидание оплаты",IF(M74&lt;&gt;"","Входной контроль",IF(K74&lt;&gt;"","Ожидание получения в Ленске",IF(I74&lt;&gt;"","В пути Иркутск → Ленск","Ремонт у подрядчика"))))))</f>
        <v/>
      </c>
      <c r="U74" s="10">
        <f>IF(H74="","",MAX(0,IF(I74&lt;&gt;"",I74,Настройки!$B$2)-H74))</f>
        <v/>
      </c>
      <c r="V74" s="10">
        <f>IF(L74="","",MAX(0,IF(M74&lt;&gt;"",M74,Настройки!$B$2)-L74))</f>
        <v/>
      </c>
      <c r="W74" s="10">
        <f>IF(O74="","",MAX(0,IF(P74&lt;&gt;"",P74,Настройки!$B$2)-O74))</f>
        <v/>
      </c>
      <c r="X74" s="10">
        <f>IF(R74="","",MAX(0,IF(S74&lt;&gt;"",S74,Настройки!$B$2)-R74))</f>
        <v/>
      </c>
      <c r="Y74" s="10">
        <f>MAX(U74:X74)</f>
        <v/>
      </c>
    </row>
    <row r="75">
      <c r="A75" s="9" t="n"/>
      <c r="B75" s="9" t="n"/>
      <c r="C75" s="10">
        <f>IFERROR(INDEX(Оборудование!$B$2:$B$200,MATCH(A75,Оборудование!$A$2:$A$200,0)),"")</f>
        <v/>
      </c>
      <c r="D75" s="10">
        <f>IFERROR(INDEX(Оборудование!$C$2:$C$200,MATCH(A75,Оборудование!$A$2:$A$200,0)),"")</f>
        <v/>
      </c>
      <c r="E75" s="10">
        <f>IFERROR(INDEX(Оборудование!$D$2:$D$200,MATCH(A75,Оборудование!$A$2:$A$200,0)),"")</f>
        <v/>
      </c>
      <c r="F75" s="10">
        <f>IFERROR(INDEX(Оборудование!$H$2:$H$200,MATCH(A75,Оборудование!$A$2:$A$200,0)),"")</f>
        <v/>
      </c>
      <c r="G75" s="11" t="n"/>
      <c r="H75" s="12">
        <f>IF(G75="","",G75+100)</f>
        <v/>
      </c>
      <c r="I75" s="11" t="n"/>
      <c r="J75" s="11" t="n"/>
      <c r="K75" s="11" t="n"/>
      <c r="L75" s="12">
        <f>IF(K75="","",K75+5)</f>
        <v/>
      </c>
      <c r="M75" s="11" t="n"/>
      <c r="N75" s="12">
        <f>IF(M75&lt;&gt;"",M75,IF(L75="","",L75))</f>
        <v/>
      </c>
      <c r="O75" s="12">
        <f>IF(N75="","",N75+40)</f>
        <v/>
      </c>
      <c r="P75" s="11" t="n"/>
      <c r="Q75" s="12">
        <f>IF(P75&lt;&gt;"",P75,IF(O75="","",O75))</f>
        <v/>
      </c>
      <c r="R75" s="12">
        <f>IF(Q75="","",Q75+70)</f>
        <v/>
      </c>
      <c r="S75" s="11" t="n"/>
      <c r="T75" s="10">
        <f>IF(G75="","",IF(S75&lt;&gt;"","Завершено",IF(P75&lt;&gt;"","Ожидание оплаты",IF(M75&lt;&gt;"","Входной контроль",IF(K75&lt;&gt;"","Ожидание получения в Ленске",IF(I75&lt;&gt;"","В пути Иркутск → Ленск","Ремонт у подрядчика"))))))</f>
        <v/>
      </c>
      <c r="U75" s="10">
        <f>IF(H75="","",MAX(0,IF(I75&lt;&gt;"",I75,Настройки!$B$2)-H75))</f>
        <v/>
      </c>
      <c r="V75" s="10">
        <f>IF(L75="","",MAX(0,IF(M75&lt;&gt;"",M75,Настройки!$B$2)-L75))</f>
        <v/>
      </c>
      <c r="W75" s="10">
        <f>IF(O75="","",MAX(0,IF(P75&lt;&gt;"",P75,Настройки!$B$2)-O75))</f>
        <v/>
      </c>
      <c r="X75" s="10">
        <f>IF(R75="","",MAX(0,IF(S75&lt;&gt;"",S75,Настройки!$B$2)-R75))</f>
        <v/>
      </c>
      <c r="Y75" s="10">
        <f>MAX(U75:X75)</f>
        <v/>
      </c>
    </row>
    <row r="76">
      <c r="A76" s="9" t="n"/>
      <c r="B76" s="9" t="n"/>
      <c r="C76" s="10">
        <f>IFERROR(INDEX(Оборудование!$B$2:$B$200,MATCH(A76,Оборудование!$A$2:$A$200,0)),"")</f>
        <v/>
      </c>
      <c r="D76" s="10">
        <f>IFERROR(INDEX(Оборудование!$C$2:$C$200,MATCH(A76,Оборудование!$A$2:$A$200,0)),"")</f>
        <v/>
      </c>
      <c r="E76" s="10">
        <f>IFERROR(INDEX(Оборудование!$D$2:$D$200,MATCH(A76,Оборудование!$A$2:$A$200,0)),"")</f>
        <v/>
      </c>
      <c r="F76" s="10">
        <f>IFERROR(INDEX(Оборудование!$H$2:$H$200,MATCH(A76,Оборудование!$A$2:$A$200,0)),"")</f>
        <v/>
      </c>
      <c r="G76" s="11" t="n"/>
      <c r="H76" s="12">
        <f>IF(G76="","",G76+100)</f>
        <v/>
      </c>
      <c r="I76" s="11" t="n"/>
      <c r="J76" s="11" t="n"/>
      <c r="K76" s="11" t="n"/>
      <c r="L76" s="12">
        <f>IF(K76="","",K76+5)</f>
        <v/>
      </c>
      <c r="M76" s="11" t="n"/>
      <c r="N76" s="12">
        <f>IF(M76&lt;&gt;"",M76,IF(L76="","",L76))</f>
        <v/>
      </c>
      <c r="O76" s="12">
        <f>IF(N76="","",N76+40)</f>
        <v/>
      </c>
      <c r="P76" s="11" t="n"/>
      <c r="Q76" s="12">
        <f>IF(P76&lt;&gt;"",P76,IF(O76="","",O76))</f>
        <v/>
      </c>
      <c r="R76" s="12">
        <f>IF(Q76="","",Q76+70)</f>
        <v/>
      </c>
      <c r="S76" s="11" t="n"/>
      <c r="T76" s="10">
        <f>IF(G76="","",IF(S76&lt;&gt;"","Завершено",IF(P76&lt;&gt;"","Ожидание оплаты",IF(M76&lt;&gt;"","Входной контроль",IF(K76&lt;&gt;"","Ожидание получения в Ленске",IF(I76&lt;&gt;"","В пути Иркутск → Ленск","Ремонт у подрядчика"))))))</f>
        <v/>
      </c>
      <c r="U76" s="10">
        <f>IF(H76="","",MAX(0,IF(I76&lt;&gt;"",I76,Настройки!$B$2)-H76))</f>
        <v/>
      </c>
      <c r="V76" s="10">
        <f>IF(L76="","",MAX(0,IF(M76&lt;&gt;"",M76,Настройки!$B$2)-L76))</f>
        <v/>
      </c>
      <c r="W76" s="10">
        <f>IF(O76="","",MAX(0,IF(P76&lt;&gt;"",P76,Настройки!$B$2)-O76))</f>
        <v/>
      </c>
      <c r="X76" s="10">
        <f>IF(R76="","",MAX(0,IF(S76&lt;&gt;"",S76,Настройки!$B$2)-R76))</f>
        <v/>
      </c>
      <c r="Y76" s="10">
        <f>MAX(U76:X76)</f>
        <v/>
      </c>
    </row>
    <row r="77">
      <c r="A77" s="9" t="n"/>
      <c r="B77" s="9" t="n"/>
      <c r="C77" s="10">
        <f>IFERROR(INDEX(Оборудование!$B$2:$B$200,MATCH(A77,Оборудование!$A$2:$A$200,0)),"")</f>
        <v/>
      </c>
      <c r="D77" s="10">
        <f>IFERROR(INDEX(Оборудование!$C$2:$C$200,MATCH(A77,Оборудование!$A$2:$A$200,0)),"")</f>
        <v/>
      </c>
      <c r="E77" s="10">
        <f>IFERROR(INDEX(Оборудование!$D$2:$D$200,MATCH(A77,Оборудование!$A$2:$A$200,0)),"")</f>
        <v/>
      </c>
      <c r="F77" s="10">
        <f>IFERROR(INDEX(Оборудование!$H$2:$H$200,MATCH(A77,Оборудование!$A$2:$A$200,0)),"")</f>
        <v/>
      </c>
      <c r="G77" s="11" t="n"/>
      <c r="H77" s="12">
        <f>IF(G77="","",G77+100)</f>
        <v/>
      </c>
      <c r="I77" s="11" t="n"/>
      <c r="J77" s="11" t="n"/>
      <c r="K77" s="11" t="n"/>
      <c r="L77" s="12">
        <f>IF(K77="","",K77+5)</f>
        <v/>
      </c>
      <c r="M77" s="11" t="n"/>
      <c r="N77" s="12">
        <f>IF(M77&lt;&gt;"",M77,IF(L77="","",L77))</f>
        <v/>
      </c>
      <c r="O77" s="12">
        <f>IF(N77="","",N77+40)</f>
        <v/>
      </c>
      <c r="P77" s="11" t="n"/>
      <c r="Q77" s="12">
        <f>IF(P77&lt;&gt;"",P77,IF(O77="","",O77))</f>
        <v/>
      </c>
      <c r="R77" s="12">
        <f>IF(Q77="","",Q77+70)</f>
        <v/>
      </c>
      <c r="S77" s="11" t="n"/>
      <c r="T77" s="10">
        <f>IF(G77="","",IF(S77&lt;&gt;"","Завершено",IF(P77&lt;&gt;"","Ожидание оплаты",IF(M77&lt;&gt;"","Входной контроль",IF(K77&lt;&gt;"","Ожидание получения в Ленске",IF(I77&lt;&gt;"","В пути Иркутск → Ленск","Ремонт у подрядчика"))))))</f>
        <v/>
      </c>
      <c r="U77" s="10">
        <f>IF(H77="","",MAX(0,IF(I77&lt;&gt;"",I77,Настройки!$B$2)-H77))</f>
        <v/>
      </c>
      <c r="V77" s="10">
        <f>IF(L77="","",MAX(0,IF(M77&lt;&gt;"",M77,Настройки!$B$2)-L77))</f>
        <v/>
      </c>
      <c r="W77" s="10">
        <f>IF(O77="","",MAX(0,IF(P77&lt;&gt;"",P77,Настройки!$B$2)-O77))</f>
        <v/>
      </c>
      <c r="X77" s="10">
        <f>IF(R77="","",MAX(0,IF(S77&lt;&gt;"",S77,Настройки!$B$2)-R77))</f>
        <v/>
      </c>
      <c r="Y77" s="10">
        <f>MAX(U77:X77)</f>
        <v/>
      </c>
    </row>
    <row r="78">
      <c r="A78" s="9" t="n"/>
      <c r="B78" s="9" t="n"/>
      <c r="C78" s="10">
        <f>IFERROR(INDEX(Оборудование!$B$2:$B$200,MATCH(A78,Оборудование!$A$2:$A$200,0)),"")</f>
        <v/>
      </c>
      <c r="D78" s="10">
        <f>IFERROR(INDEX(Оборудование!$C$2:$C$200,MATCH(A78,Оборудование!$A$2:$A$200,0)),"")</f>
        <v/>
      </c>
      <c r="E78" s="10">
        <f>IFERROR(INDEX(Оборудование!$D$2:$D$200,MATCH(A78,Оборудование!$A$2:$A$200,0)),"")</f>
        <v/>
      </c>
      <c r="F78" s="10">
        <f>IFERROR(INDEX(Оборудование!$H$2:$H$200,MATCH(A78,Оборудование!$A$2:$A$200,0)),"")</f>
        <v/>
      </c>
      <c r="G78" s="11" t="n"/>
      <c r="H78" s="12">
        <f>IF(G78="","",G78+100)</f>
        <v/>
      </c>
      <c r="I78" s="11" t="n"/>
      <c r="J78" s="11" t="n"/>
      <c r="K78" s="11" t="n"/>
      <c r="L78" s="12">
        <f>IF(K78="","",K78+5)</f>
        <v/>
      </c>
      <c r="M78" s="11" t="n"/>
      <c r="N78" s="12">
        <f>IF(M78&lt;&gt;"",M78,IF(L78="","",L78))</f>
        <v/>
      </c>
      <c r="O78" s="12">
        <f>IF(N78="","",N78+40)</f>
        <v/>
      </c>
      <c r="P78" s="11" t="n"/>
      <c r="Q78" s="12">
        <f>IF(P78&lt;&gt;"",P78,IF(O78="","",O78))</f>
        <v/>
      </c>
      <c r="R78" s="12">
        <f>IF(Q78="","",Q78+70)</f>
        <v/>
      </c>
      <c r="S78" s="11" t="n"/>
      <c r="T78" s="10">
        <f>IF(G78="","",IF(S78&lt;&gt;"","Завершено",IF(P78&lt;&gt;"","Ожидание оплаты",IF(M78&lt;&gt;"","Входной контроль",IF(K78&lt;&gt;"","Ожидание получения в Ленске",IF(I78&lt;&gt;"","В пути Иркутск → Ленск","Ремонт у подрядчика"))))))</f>
        <v/>
      </c>
      <c r="U78" s="10">
        <f>IF(H78="","",MAX(0,IF(I78&lt;&gt;"",I78,Настройки!$B$2)-H78))</f>
        <v/>
      </c>
      <c r="V78" s="10">
        <f>IF(L78="","",MAX(0,IF(M78&lt;&gt;"",M78,Настройки!$B$2)-L78))</f>
        <v/>
      </c>
      <c r="W78" s="10">
        <f>IF(O78="","",MAX(0,IF(P78&lt;&gt;"",P78,Настройки!$B$2)-O78))</f>
        <v/>
      </c>
      <c r="X78" s="10">
        <f>IF(R78="","",MAX(0,IF(S78&lt;&gt;"",S78,Настройки!$B$2)-R78))</f>
        <v/>
      </c>
      <c r="Y78" s="10">
        <f>MAX(U78:X78)</f>
        <v/>
      </c>
    </row>
    <row r="79">
      <c r="A79" s="9" t="n"/>
      <c r="B79" s="9" t="n"/>
      <c r="C79" s="10">
        <f>IFERROR(INDEX(Оборудование!$B$2:$B$200,MATCH(A79,Оборудование!$A$2:$A$200,0)),"")</f>
        <v/>
      </c>
      <c r="D79" s="10">
        <f>IFERROR(INDEX(Оборудование!$C$2:$C$200,MATCH(A79,Оборудование!$A$2:$A$200,0)),"")</f>
        <v/>
      </c>
      <c r="E79" s="10">
        <f>IFERROR(INDEX(Оборудование!$D$2:$D$200,MATCH(A79,Оборудование!$A$2:$A$200,0)),"")</f>
        <v/>
      </c>
      <c r="F79" s="10">
        <f>IFERROR(INDEX(Оборудование!$H$2:$H$200,MATCH(A79,Оборудование!$A$2:$A$200,0)),"")</f>
        <v/>
      </c>
      <c r="G79" s="11" t="n"/>
      <c r="H79" s="12">
        <f>IF(G79="","",G79+100)</f>
        <v/>
      </c>
      <c r="I79" s="11" t="n"/>
      <c r="J79" s="11" t="n"/>
      <c r="K79" s="11" t="n"/>
      <c r="L79" s="12">
        <f>IF(K79="","",K79+5)</f>
        <v/>
      </c>
      <c r="M79" s="11" t="n"/>
      <c r="N79" s="12">
        <f>IF(M79&lt;&gt;"",M79,IF(L79="","",L79))</f>
        <v/>
      </c>
      <c r="O79" s="12">
        <f>IF(N79="","",N79+40)</f>
        <v/>
      </c>
      <c r="P79" s="11" t="n"/>
      <c r="Q79" s="12">
        <f>IF(P79&lt;&gt;"",P79,IF(O79="","",O79))</f>
        <v/>
      </c>
      <c r="R79" s="12">
        <f>IF(Q79="","",Q79+70)</f>
        <v/>
      </c>
      <c r="S79" s="11" t="n"/>
      <c r="T79" s="10">
        <f>IF(G79="","",IF(S79&lt;&gt;"","Завершено",IF(P79&lt;&gt;"","Ожидание оплаты",IF(M79&lt;&gt;"","Входной контроль",IF(K79&lt;&gt;"","Ожидание получения в Ленске",IF(I79&lt;&gt;"","В пути Иркутск → Ленск","Ремонт у подрядчика"))))))</f>
        <v/>
      </c>
      <c r="U79" s="10">
        <f>IF(H79="","",MAX(0,IF(I79&lt;&gt;"",I79,Настройки!$B$2)-H79))</f>
        <v/>
      </c>
      <c r="V79" s="10">
        <f>IF(L79="","",MAX(0,IF(M79&lt;&gt;"",M79,Настройки!$B$2)-L79))</f>
        <v/>
      </c>
      <c r="W79" s="10">
        <f>IF(O79="","",MAX(0,IF(P79&lt;&gt;"",P79,Настройки!$B$2)-O79))</f>
        <v/>
      </c>
      <c r="X79" s="10">
        <f>IF(R79="","",MAX(0,IF(S79&lt;&gt;"",S79,Настройки!$B$2)-R79))</f>
        <v/>
      </c>
      <c r="Y79" s="10">
        <f>MAX(U79:X79)</f>
        <v/>
      </c>
    </row>
    <row r="80">
      <c r="A80" s="9" t="n"/>
      <c r="B80" s="9" t="n"/>
      <c r="C80" s="10">
        <f>IFERROR(INDEX(Оборудование!$B$2:$B$200,MATCH(A80,Оборудование!$A$2:$A$200,0)),"")</f>
        <v/>
      </c>
      <c r="D80" s="10">
        <f>IFERROR(INDEX(Оборудование!$C$2:$C$200,MATCH(A80,Оборудование!$A$2:$A$200,0)),"")</f>
        <v/>
      </c>
      <c r="E80" s="10">
        <f>IFERROR(INDEX(Оборудование!$D$2:$D$200,MATCH(A80,Оборудование!$A$2:$A$200,0)),"")</f>
        <v/>
      </c>
      <c r="F80" s="10">
        <f>IFERROR(INDEX(Оборудование!$H$2:$H$200,MATCH(A80,Оборудование!$A$2:$A$200,0)),"")</f>
        <v/>
      </c>
      <c r="G80" s="11" t="n"/>
      <c r="H80" s="12">
        <f>IF(G80="","",G80+100)</f>
        <v/>
      </c>
      <c r="I80" s="11" t="n"/>
      <c r="J80" s="11" t="n"/>
      <c r="K80" s="11" t="n"/>
      <c r="L80" s="12">
        <f>IF(K80="","",K80+5)</f>
        <v/>
      </c>
      <c r="M80" s="11" t="n"/>
      <c r="N80" s="12">
        <f>IF(M80&lt;&gt;"",M80,IF(L80="","",L80))</f>
        <v/>
      </c>
      <c r="O80" s="12">
        <f>IF(N80="","",N80+40)</f>
        <v/>
      </c>
      <c r="P80" s="11" t="n"/>
      <c r="Q80" s="12">
        <f>IF(P80&lt;&gt;"",P80,IF(O80="","",O80))</f>
        <v/>
      </c>
      <c r="R80" s="12">
        <f>IF(Q80="","",Q80+70)</f>
        <v/>
      </c>
      <c r="S80" s="11" t="n"/>
      <c r="T80" s="10">
        <f>IF(G80="","",IF(S80&lt;&gt;"","Завершено",IF(P80&lt;&gt;"","Ожидание оплаты",IF(M80&lt;&gt;"","Входной контроль",IF(K80&lt;&gt;"","Ожидание получения в Ленске",IF(I80&lt;&gt;"","В пути Иркутск → Ленск","Ремонт у подрядчика"))))))</f>
        <v/>
      </c>
      <c r="U80" s="10">
        <f>IF(H80="","",MAX(0,IF(I80&lt;&gt;"",I80,Настройки!$B$2)-H80))</f>
        <v/>
      </c>
      <c r="V80" s="10">
        <f>IF(L80="","",MAX(0,IF(M80&lt;&gt;"",M80,Настройки!$B$2)-L80))</f>
        <v/>
      </c>
      <c r="W80" s="10">
        <f>IF(O80="","",MAX(0,IF(P80&lt;&gt;"",P80,Настройки!$B$2)-O80))</f>
        <v/>
      </c>
      <c r="X80" s="10">
        <f>IF(R80="","",MAX(0,IF(S80&lt;&gt;"",S80,Настройки!$B$2)-R80))</f>
        <v/>
      </c>
      <c r="Y80" s="10">
        <f>MAX(U80:X80)</f>
        <v/>
      </c>
    </row>
    <row r="81">
      <c r="A81" s="9" t="n"/>
      <c r="B81" s="9" t="n"/>
      <c r="C81" s="10">
        <f>IFERROR(INDEX(Оборудование!$B$2:$B$200,MATCH(A81,Оборудование!$A$2:$A$200,0)),"")</f>
        <v/>
      </c>
      <c r="D81" s="10">
        <f>IFERROR(INDEX(Оборудование!$C$2:$C$200,MATCH(A81,Оборудование!$A$2:$A$200,0)),"")</f>
        <v/>
      </c>
      <c r="E81" s="10">
        <f>IFERROR(INDEX(Оборудование!$D$2:$D$200,MATCH(A81,Оборудование!$A$2:$A$200,0)),"")</f>
        <v/>
      </c>
      <c r="F81" s="10">
        <f>IFERROR(INDEX(Оборудование!$H$2:$H$200,MATCH(A81,Оборудование!$A$2:$A$200,0)),"")</f>
        <v/>
      </c>
      <c r="G81" s="11" t="n"/>
      <c r="H81" s="12">
        <f>IF(G81="","",G81+100)</f>
        <v/>
      </c>
      <c r="I81" s="11" t="n"/>
      <c r="J81" s="11" t="n"/>
      <c r="K81" s="11" t="n"/>
      <c r="L81" s="12">
        <f>IF(K81="","",K81+5)</f>
        <v/>
      </c>
      <c r="M81" s="11" t="n"/>
      <c r="N81" s="12">
        <f>IF(M81&lt;&gt;"",M81,IF(L81="","",L81))</f>
        <v/>
      </c>
      <c r="O81" s="12">
        <f>IF(N81="","",N81+40)</f>
        <v/>
      </c>
      <c r="P81" s="11" t="n"/>
      <c r="Q81" s="12">
        <f>IF(P81&lt;&gt;"",P81,IF(O81="","",O81))</f>
        <v/>
      </c>
      <c r="R81" s="12">
        <f>IF(Q81="","",Q81+70)</f>
        <v/>
      </c>
      <c r="S81" s="11" t="n"/>
      <c r="T81" s="10">
        <f>IF(G81="","",IF(S81&lt;&gt;"","Завершено",IF(P81&lt;&gt;"","Ожидание оплаты",IF(M81&lt;&gt;"","Входной контроль",IF(K81&lt;&gt;"","Ожидание получения в Ленске",IF(I81&lt;&gt;"","В пути Иркутск → Ленск","Ремонт у подрядчика"))))))</f>
        <v/>
      </c>
      <c r="U81" s="10">
        <f>IF(H81="","",MAX(0,IF(I81&lt;&gt;"",I81,Настройки!$B$2)-H81))</f>
        <v/>
      </c>
      <c r="V81" s="10">
        <f>IF(L81="","",MAX(0,IF(M81&lt;&gt;"",M81,Настройки!$B$2)-L81))</f>
        <v/>
      </c>
      <c r="W81" s="10">
        <f>IF(O81="","",MAX(0,IF(P81&lt;&gt;"",P81,Настройки!$B$2)-O81))</f>
        <v/>
      </c>
      <c r="X81" s="10">
        <f>IF(R81="","",MAX(0,IF(S81&lt;&gt;"",S81,Настройки!$B$2)-R81))</f>
        <v/>
      </c>
      <c r="Y81" s="10">
        <f>MAX(U81:X81)</f>
        <v/>
      </c>
    </row>
    <row r="82">
      <c r="A82" s="9" t="n"/>
      <c r="B82" s="9" t="n"/>
      <c r="C82" s="10">
        <f>IFERROR(INDEX(Оборудование!$B$2:$B$200,MATCH(A82,Оборудование!$A$2:$A$200,0)),"")</f>
        <v/>
      </c>
      <c r="D82" s="10">
        <f>IFERROR(INDEX(Оборудование!$C$2:$C$200,MATCH(A82,Оборудование!$A$2:$A$200,0)),"")</f>
        <v/>
      </c>
      <c r="E82" s="10">
        <f>IFERROR(INDEX(Оборудование!$D$2:$D$200,MATCH(A82,Оборудование!$A$2:$A$200,0)),"")</f>
        <v/>
      </c>
      <c r="F82" s="10">
        <f>IFERROR(INDEX(Оборудование!$H$2:$H$200,MATCH(A82,Оборудование!$A$2:$A$200,0)),"")</f>
        <v/>
      </c>
      <c r="G82" s="11" t="n"/>
      <c r="H82" s="12">
        <f>IF(G82="","",G82+100)</f>
        <v/>
      </c>
      <c r="I82" s="11" t="n"/>
      <c r="J82" s="11" t="n"/>
      <c r="K82" s="11" t="n"/>
      <c r="L82" s="12">
        <f>IF(K82="","",K82+5)</f>
        <v/>
      </c>
      <c r="M82" s="11" t="n"/>
      <c r="N82" s="12">
        <f>IF(M82&lt;&gt;"",M82,IF(L82="","",L82))</f>
        <v/>
      </c>
      <c r="O82" s="12">
        <f>IF(N82="","",N82+40)</f>
        <v/>
      </c>
      <c r="P82" s="11" t="n"/>
      <c r="Q82" s="12">
        <f>IF(P82&lt;&gt;"",P82,IF(O82="","",O82))</f>
        <v/>
      </c>
      <c r="R82" s="12">
        <f>IF(Q82="","",Q82+70)</f>
        <v/>
      </c>
      <c r="S82" s="11" t="n"/>
      <c r="T82" s="10">
        <f>IF(G82="","",IF(S82&lt;&gt;"","Завершено",IF(P82&lt;&gt;"","Ожидание оплаты",IF(M82&lt;&gt;"","Входной контроль",IF(K82&lt;&gt;"","Ожидание получения в Ленске",IF(I82&lt;&gt;"","В пути Иркутск → Ленск","Ремонт у подрядчика"))))))</f>
        <v/>
      </c>
      <c r="U82" s="10">
        <f>IF(H82="","",MAX(0,IF(I82&lt;&gt;"",I82,Настройки!$B$2)-H82))</f>
        <v/>
      </c>
      <c r="V82" s="10">
        <f>IF(L82="","",MAX(0,IF(M82&lt;&gt;"",M82,Настройки!$B$2)-L82))</f>
        <v/>
      </c>
      <c r="W82" s="10">
        <f>IF(O82="","",MAX(0,IF(P82&lt;&gt;"",P82,Настройки!$B$2)-O82))</f>
        <v/>
      </c>
      <c r="X82" s="10">
        <f>IF(R82="","",MAX(0,IF(S82&lt;&gt;"",S82,Настройки!$B$2)-R82))</f>
        <v/>
      </c>
      <c r="Y82" s="10">
        <f>MAX(U82:X82)</f>
        <v/>
      </c>
    </row>
    <row r="83">
      <c r="A83" s="9" t="n"/>
      <c r="B83" s="9" t="n"/>
      <c r="C83" s="10">
        <f>IFERROR(INDEX(Оборудование!$B$2:$B$200,MATCH(A83,Оборудование!$A$2:$A$200,0)),"")</f>
        <v/>
      </c>
      <c r="D83" s="10">
        <f>IFERROR(INDEX(Оборудование!$C$2:$C$200,MATCH(A83,Оборудование!$A$2:$A$200,0)),"")</f>
        <v/>
      </c>
      <c r="E83" s="10">
        <f>IFERROR(INDEX(Оборудование!$D$2:$D$200,MATCH(A83,Оборудование!$A$2:$A$200,0)),"")</f>
        <v/>
      </c>
      <c r="F83" s="10">
        <f>IFERROR(INDEX(Оборудование!$H$2:$H$200,MATCH(A83,Оборудование!$A$2:$A$200,0)),"")</f>
        <v/>
      </c>
      <c r="G83" s="11" t="n"/>
      <c r="H83" s="12">
        <f>IF(G83="","",G83+100)</f>
        <v/>
      </c>
      <c r="I83" s="11" t="n"/>
      <c r="J83" s="11" t="n"/>
      <c r="K83" s="11" t="n"/>
      <c r="L83" s="12">
        <f>IF(K83="","",K83+5)</f>
        <v/>
      </c>
      <c r="M83" s="11" t="n"/>
      <c r="N83" s="12">
        <f>IF(M83&lt;&gt;"",M83,IF(L83="","",L83))</f>
        <v/>
      </c>
      <c r="O83" s="12">
        <f>IF(N83="","",N83+40)</f>
        <v/>
      </c>
      <c r="P83" s="11" t="n"/>
      <c r="Q83" s="12">
        <f>IF(P83&lt;&gt;"",P83,IF(O83="","",O83))</f>
        <v/>
      </c>
      <c r="R83" s="12">
        <f>IF(Q83="","",Q83+70)</f>
        <v/>
      </c>
      <c r="S83" s="11" t="n"/>
      <c r="T83" s="10">
        <f>IF(G83="","",IF(S83&lt;&gt;"","Завершено",IF(P83&lt;&gt;"","Ожидание оплаты",IF(M83&lt;&gt;"","Входной контроль",IF(K83&lt;&gt;"","Ожидание получения в Ленске",IF(I83&lt;&gt;"","В пути Иркутск → Ленск","Ремонт у подрядчика"))))))</f>
        <v/>
      </c>
      <c r="U83" s="10">
        <f>IF(H83="","",MAX(0,IF(I83&lt;&gt;"",I83,Настройки!$B$2)-H83))</f>
        <v/>
      </c>
      <c r="V83" s="10">
        <f>IF(L83="","",MAX(0,IF(M83&lt;&gt;"",M83,Настройки!$B$2)-L83))</f>
        <v/>
      </c>
      <c r="W83" s="10">
        <f>IF(O83="","",MAX(0,IF(P83&lt;&gt;"",P83,Настройки!$B$2)-O83))</f>
        <v/>
      </c>
      <c r="X83" s="10">
        <f>IF(R83="","",MAX(0,IF(S83&lt;&gt;"",S83,Настройки!$B$2)-R83))</f>
        <v/>
      </c>
      <c r="Y83" s="10">
        <f>MAX(U83:X83)</f>
        <v/>
      </c>
    </row>
    <row r="84">
      <c r="A84" s="9" t="n"/>
      <c r="B84" s="9" t="n"/>
      <c r="C84" s="10">
        <f>IFERROR(INDEX(Оборудование!$B$2:$B$200,MATCH(A84,Оборудование!$A$2:$A$200,0)),"")</f>
        <v/>
      </c>
      <c r="D84" s="10">
        <f>IFERROR(INDEX(Оборудование!$C$2:$C$200,MATCH(A84,Оборудование!$A$2:$A$200,0)),"")</f>
        <v/>
      </c>
      <c r="E84" s="10">
        <f>IFERROR(INDEX(Оборудование!$D$2:$D$200,MATCH(A84,Оборудование!$A$2:$A$200,0)),"")</f>
        <v/>
      </c>
      <c r="F84" s="10">
        <f>IFERROR(INDEX(Оборудование!$H$2:$H$200,MATCH(A84,Оборудование!$A$2:$A$200,0)),"")</f>
        <v/>
      </c>
      <c r="G84" s="11" t="n"/>
      <c r="H84" s="12">
        <f>IF(G84="","",G84+100)</f>
        <v/>
      </c>
      <c r="I84" s="11" t="n"/>
      <c r="J84" s="11" t="n"/>
      <c r="K84" s="11" t="n"/>
      <c r="L84" s="12">
        <f>IF(K84="","",K84+5)</f>
        <v/>
      </c>
      <c r="M84" s="11" t="n"/>
      <c r="N84" s="12">
        <f>IF(M84&lt;&gt;"",M84,IF(L84="","",L84))</f>
        <v/>
      </c>
      <c r="O84" s="12">
        <f>IF(N84="","",N84+40)</f>
        <v/>
      </c>
      <c r="P84" s="11" t="n"/>
      <c r="Q84" s="12">
        <f>IF(P84&lt;&gt;"",P84,IF(O84="","",O84))</f>
        <v/>
      </c>
      <c r="R84" s="12">
        <f>IF(Q84="","",Q84+70)</f>
        <v/>
      </c>
      <c r="S84" s="11" t="n"/>
      <c r="T84" s="10">
        <f>IF(G84="","",IF(S84&lt;&gt;"","Завершено",IF(P84&lt;&gt;"","Ожидание оплаты",IF(M84&lt;&gt;"","Входной контроль",IF(K84&lt;&gt;"","Ожидание получения в Ленске",IF(I84&lt;&gt;"","В пути Иркутск → Ленск","Ремонт у подрядчика"))))))</f>
        <v/>
      </c>
      <c r="U84" s="10">
        <f>IF(H84="","",MAX(0,IF(I84&lt;&gt;"",I84,Настройки!$B$2)-H84))</f>
        <v/>
      </c>
      <c r="V84" s="10">
        <f>IF(L84="","",MAX(0,IF(M84&lt;&gt;"",M84,Настройки!$B$2)-L84))</f>
        <v/>
      </c>
      <c r="W84" s="10">
        <f>IF(O84="","",MAX(0,IF(P84&lt;&gt;"",P84,Настройки!$B$2)-O84))</f>
        <v/>
      </c>
      <c r="X84" s="10">
        <f>IF(R84="","",MAX(0,IF(S84&lt;&gt;"",S84,Настройки!$B$2)-R84))</f>
        <v/>
      </c>
      <c r="Y84" s="10">
        <f>MAX(U84:X84)</f>
        <v/>
      </c>
    </row>
    <row r="85">
      <c r="A85" s="9" t="n"/>
      <c r="B85" s="9" t="n"/>
      <c r="C85" s="10">
        <f>IFERROR(INDEX(Оборудование!$B$2:$B$200,MATCH(A85,Оборудование!$A$2:$A$200,0)),"")</f>
        <v/>
      </c>
      <c r="D85" s="10">
        <f>IFERROR(INDEX(Оборудование!$C$2:$C$200,MATCH(A85,Оборудование!$A$2:$A$200,0)),"")</f>
        <v/>
      </c>
      <c r="E85" s="10">
        <f>IFERROR(INDEX(Оборудование!$D$2:$D$200,MATCH(A85,Оборудование!$A$2:$A$200,0)),"")</f>
        <v/>
      </c>
      <c r="F85" s="10">
        <f>IFERROR(INDEX(Оборудование!$H$2:$H$200,MATCH(A85,Оборудование!$A$2:$A$200,0)),"")</f>
        <v/>
      </c>
      <c r="G85" s="11" t="n"/>
      <c r="H85" s="12">
        <f>IF(G85="","",G85+100)</f>
        <v/>
      </c>
      <c r="I85" s="11" t="n"/>
      <c r="J85" s="11" t="n"/>
      <c r="K85" s="11" t="n"/>
      <c r="L85" s="12">
        <f>IF(K85="","",K85+5)</f>
        <v/>
      </c>
      <c r="M85" s="11" t="n"/>
      <c r="N85" s="12">
        <f>IF(M85&lt;&gt;"",M85,IF(L85="","",L85))</f>
        <v/>
      </c>
      <c r="O85" s="12">
        <f>IF(N85="","",N85+40)</f>
        <v/>
      </c>
      <c r="P85" s="11" t="n"/>
      <c r="Q85" s="12">
        <f>IF(P85&lt;&gt;"",P85,IF(O85="","",O85))</f>
        <v/>
      </c>
      <c r="R85" s="12">
        <f>IF(Q85="","",Q85+70)</f>
        <v/>
      </c>
      <c r="S85" s="11" t="n"/>
      <c r="T85" s="10">
        <f>IF(G85="","",IF(S85&lt;&gt;"","Завершено",IF(P85&lt;&gt;"","Ожидание оплаты",IF(M85&lt;&gt;"","Входной контроль",IF(K85&lt;&gt;"","Ожидание получения в Ленске",IF(I85&lt;&gt;"","В пути Иркутск → Ленск","Ремонт у подрядчика"))))))</f>
        <v/>
      </c>
      <c r="U85" s="10">
        <f>IF(H85="","",MAX(0,IF(I85&lt;&gt;"",I85,Настройки!$B$2)-H85))</f>
        <v/>
      </c>
      <c r="V85" s="10">
        <f>IF(L85="","",MAX(0,IF(M85&lt;&gt;"",M85,Настройки!$B$2)-L85))</f>
        <v/>
      </c>
      <c r="W85" s="10">
        <f>IF(O85="","",MAX(0,IF(P85&lt;&gt;"",P85,Настройки!$B$2)-O85))</f>
        <v/>
      </c>
      <c r="X85" s="10">
        <f>IF(R85="","",MAX(0,IF(S85&lt;&gt;"",S85,Настройки!$B$2)-R85))</f>
        <v/>
      </c>
      <c r="Y85" s="10">
        <f>MAX(U85:X85)</f>
        <v/>
      </c>
    </row>
    <row r="86">
      <c r="A86" s="9" t="n"/>
      <c r="B86" s="9" t="n"/>
      <c r="C86" s="10">
        <f>IFERROR(INDEX(Оборудование!$B$2:$B$200,MATCH(A86,Оборудование!$A$2:$A$200,0)),"")</f>
        <v/>
      </c>
      <c r="D86" s="10">
        <f>IFERROR(INDEX(Оборудование!$C$2:$C$200,MATCH(A86,Оборудование!$A$2:$A$200,0)),"")</f>
        <v/>
      </c>
      <c r="E86" s="10">
        <f>IFERROR(INDEX(Оборудование!$D$2:$D$200,MATCH(A86,Оборудование!$A$2:$A$200,0)),"")</f>
        <v/>
      </c>
      <c r="F86" s="10">
        <f>IFERROR(INDEX(Оборудование!$H$2:$H$200,MATCH(A86,Оборудование!$A$2:$A$200,0)),"")</f>
        <v/>
      </c>
      <c r="G86" s="11" t="n"/>
      <c r="H86" s="12">
        <f>IF(G86="","",G86+100)</f>
        <v/>
      </c>
      <c r="I86" s="11" t="n"/>
      <c r="J86" s="11" t="n"/>
      <c r="K86" s="11" t="n"/>
      <c r="L86" s="12">
        <f>IF(K86="","",K86+5)</f>
        <v/>
      </c>
      <c r="M86" s="11" t="n"/>
      <c r="N86" s="12">
        <f>IF(M86&lt;&gt;"",M86,IF(L86="","",L86))</f>
        <v/>
      </c>
      <c r="O86" s="12">
        <f>IF(N86="","",N86+40)</f>
        <v/>
      </c>
      <c r="P86" s="11" t="n"/>
      <c r="Q86" s="12">
        <f>IF(P86&lt;&gt;"",P86,IF(O86="","",O86))</f>
        <v/>
      </c>
      <c r="R86" s="12">
        <f>IF(Q86="","",Q86+70)</f>
        <v/>
      </c>
      <c r="S86" s="11" t="n"/>
      <c r="T86" s="10">
        <f>IF(G86="","",IF(S86&lt;&gt;"","Завершено",IF(P86&lt;&gt;"","Ожидание оплаты",IF(M86&lt;&gt;"","Входной контроль",IF(K86&lt;&gt;"","Ожидание получения в Ленске",IF(I86&lt;&gt;"","В пути Иркутск → Ленск","Ремонт у подрядчика"))))))</f>
        <v/>
      </c>
      <c r="U86" s="10">
        <f>IF(H86="","",MAX(0,IF(I86&lt;&gt;"",I86,Настройки!$B$2)-H86))</f>
        <v/>
      </c>
      <c r="V86" s="10">
        <f>IF(L86="","",MAX(0,IF(M86&lt;&gt;"",M86,Настройки!$B$2)-L86))</f>
        <v/>
      </c>
      <c r="W86" s="10">
        <f>IF(O86="","",MAX(0,IF(P86&lt;&gt;"",P86,Настройки!$B$2)-O86))</f>
        <v/>
      </c>
      <c r="X86" s="10">
        <f>IF(R86="","",MAX(0,IF(S86&lt;&gt;"",S86,Настройки!$B$2)-R86))</f>
        <v/>
      </c>
      <c r="Y86" s="10">
        <f>MAX(U86:X86)</f>
        <v/>
      </c>
    </row>
    <row r="87">
      <c r="A87" s="9" t="n"/>
      <c r="B87" s="9" t="n"/>
      <c r="C87" s="10">
        <f>IFERROR(INDEX(Оборудование!$B$2:$B$200,MATCH(A87,Оборудование!$A$2:$A$200,0)),"")</f>
        <v/>
      </c>
      <c r="D87" s="10">
        <f>IFERROR(INDEX(Оборудование!$C$2:$C$200,MATCH(A87,Оборудование!$A$2:$A$200,0)),"")</f>
        <v/>
      </c>
      <c r="E87" s="10">
        <f>IFERROR(INDEX(Оборудование!$D$2:$D$200,MATCH(A87,Оборудование!$A$2:$A$200,0)),"")</f>
        <v/>
      </c>
      <c r="F87" s="10">
        <f>IFERROR(INDEX(Оборудование!$H$2:$H$200,MATCH(A87,Оборудование!$A$2:$A$200,0)),"")</f>
        <v/>
      </c>
      <c r="G87" s="11" t="n"/>
      <c r="H87" s="12">
        <f>IF(G87="","",G87+100)</f>
        <v/>
      </c>
      <c r="I87" s="11" t="n"/>
      <c r="J87" s="11" t="n"/>
      <c r="K87" s="11" t="n"/>
      <c r="L87" s="12">
        <f>IF(K87="","",K87+5)</f>
        <v/>
      </c>
      <c r="M87" s="11" t="n"/>
      <c r="N87" s="12">
        <f>IF(M87&lt;&gt;"",M87,IF(L87="","",L87))</f>
        <v/>
      </c>
      <c r="O87" s="12">
        <f>IF(N87="","",N87+40)</f>
        <v/>
      </c>
      <c r="P87" s="11" t="n"/>
      <c r="Q87" s="12">
        <f>IF(P87&lt;&gt;"",P87,IF(O87="","",O87))</f>
        <v/>
      </c>
      <c r="R87" s="12">
        <f>IF(Q87="","",Q87+70)</f>
        <v/>
      </c>
      <c r="S87" s="11" t="n"/>
      <c r="T87" s="10">
        <f>IF(G87="","",IF(S87&lt;&gt;"","Завершено",IF(P87&lt;&gt;"","Ожидание оплаты",IF(M87&lt;&gt;"","Входной контроль",IF(K87&lt;&gt;"","Ожидание получения в Ленске",IF(I87&lt;&gt;"","В пути Иркутск → Ленск","Ремонт у подрядчика"))))))</f>
        <v/>
      </c>
      <c r="U87" s="10">
        <f>IF(H87="","",MAX(0,IF(I87&lt;&gt;"",I87,Настройки!$B$2)-H87))</f>
        <v/>
      </c>
      <c r="V87" s="10">
        <f>IF(L87="","",MAX(0,IF(M87&lt;&gt;"",M87,Настройки!$B$2)-L87))</f>
        <v/>
      </c>
      <c r="W87" s="10">
        <f>IF(O87="","",MAX(0,IF(P87&lt;&gt;"",P87,Настройки!$B$2)-O87))</f>
        <v/>
      </c>
      <c r="X87" s="10">
        <f>IF(R87="","",MAX(0,IF(S87&lt;&gt;"",S87,Настройки!$B$2)-R87))</f>
        <v/>
      </c>
      <c r="Y87" s="10">
        <f>MAX(U87:X87)</f>
        <v/>
      </c>
    </row>
    <row r="88">
      <c r="A88" s="9" t="n"/>
      <c r="B88" s="9" t="n"/>
      <c r="C88" s="10">
        <f>IFERROR(INDEX(Оборудование!$B$2:$B$200,MATCH(A88,Оборудование!$A$2:$A$200,0)),"")</f>
        <v/>
      </c>
      <c r="D88" s="10">
        <f>IFERROR(INDEX(Оборудование!$C$2:$C$200,MATCH(A88,Оборудование!$A$2:$A$200,0)),"")</f>
        <v/>
      </c>
      <c r="E88" s="10">
        <f>IFERROR(INDEX(Оборудование!$D$2:$D$200,MATCH(A88,Оборудование!$A$2:$A$200,0)),"")</f>
        <v/>
      </c>
      <c r="F88" s="10">
        <f>IFERROR(INDEX(Оборудование!$H$2:$H$200,MATCH(A88,Оборудование!$A$2:$A$200,0)),"")</f>
        <v/>
      </c>
      <c r="G88" s="11" t="n"/>
      <c r="H88" s="12">
        <f>IF(G88="","",G88+100)</f>
        <v/>
      </c>
      <c r="I88" s="11" t="n"/>
      <c r="J88" s="11" t="n"/>
      <c r="K88" s="11" t="n"/>
      <c r="L88" s="12">
        <f>IF(K88="","",K88+5)</f>
        <v/>
      </c>
      <c r="M88" s="11" t="n"/>
      <c r="N88" s="12">
        <f>IF(M88&lt;&gt;"",M88,IF(L88="","",L88))</f>
        <v/>
      </c>
      <c r="O88" s="12">
        <f>IF(N88="","",N88+40)</f>
        <v/>
      </c>
      <c r="P88" s="11" t="n"/>
      <c r="Q88" s="12">
        <f>IF(P88&lt;&gt;"",P88,IF(O88="","",O88))</f>
        <v/>
      </c>
      <c r="R88" s="12">
        <f>IF(Q88="","",Q88+70)</f>
        <v/>
      </c>
      <c r="S88" s="11" t="n"/>
      <c r="T88" s="10">
        <f>IF(G88="","",IF(S88&lt;&gt;"","Завершено",IF(P88&lt;&gt;"","Ожидание оплаты",IF(M88&lt;&gt;"","Входной контроль",IF(K88&lt;&gt;"","Ожидание получения в Ленске",IF(I88&lt;&gt;"","В пути Иркутск → Ленск","Ремонт у подрядчика"))))))</f>
        <v/>
      </c>
      <c r="U88" s="10">
        <f>IF(H88="","",MAX(0,IF(I88&lt;&gt;"",I88,Настройки!$B$2)-H88))</f>
        <v/>
      </c>
      <c r="V88" s="10">
        <f>IF(L88="","",MAX(0,IF(M88&lt;&gt;"",M88,Настройки!$B$2)-L88))</f>
        <v/>
      </c>
      <c r="W88" s="10">
        <f>IF(O88="","",MAX(0,IF(P88&lt;&gt;"",P88,Настройки!$B$2)-O88))</f>
        <v/>
      </c>
      <c r="X88" s="10">
        <f>IF(R88="","",MAX(0,IF(S88&lt;&gt;"",S88,Настройки!$B$2)-R88))</f>
        <v/>
      </c>
      <c r="Y88" s="10">
        <f>MAX(U88:X88)</f>
        <v/>
      </c>
    </row>
    <row r="89">
      <c r="A89" s="9" t="n"/>
      <c r="B89" s="9" t="n"/>
      <c r="C89" s="10">
        <f>IFERROR(INDEX(Оборудование!$B$2:$B$200,MATCH(A89,Оборудование!$A$2:$A$200,0)),"")</f>
        <v/>
      </c>
      <c r="D89" s="10">
        <f>IFERROR(INDEX(Оборудование!$C$2:$C$200,MATCH(A89,Оборудование!$A$2:$A$200,0)),"")</f>
        <v/>
      </c>
      <c r="E89" s="10">
        <f>IFERROR(INDEX(Оборудование!$D$2:$D$200,MATCH(A89,Оборудование!$A$2:$A$200,0)),"")</f>
        <v/>
      </c>
      <c r="F89" s="10">
        <f>IFERROR(INDEX(Оборудование!$H$2:$H$200,MATCH(A89,Оборудование!$A$2:$A$200,0)),"")</f>
        <v/>
      </c>
      <c r="G89" s="11" t="n"/>
      <c r="H89" s="12">
        <f>IF(G89="","",G89+100)</f>
        <v/>
      </c>
      <c r="I89" s="11" t="n"/>
      <c r="J89" s="11" t="n"/>
      <c r="K89" s="11" t="n"/>
      <c r="L89" s="12">
        <f>IF(K89="","",K89+5)</f>
        <v/>
      </c>
      <c r="M89" s="11" t="n"/>
      <c r="N89" s="12">
        <f>IF(M89&lt;&gt;"",M89,IF(L89="","",L89))</f>
        <v/>
      </c>
      <c r="O89" s="12">
        <f>IF(N89="","",N89+40)</f>
        <v/>
      </c>
      <c r="P89" s="11" t="n"/>
      <c r="Q89" s="12">
        <f>IF(P89&lt;&gt;"",P89,IF(O89="","",O89))</f>
        <v/>
      </c>
      <c r="R89" s="12">
        <f>IF(Q89="","",Q89+70)</f>
        <v/>
      </c>
      <c r="S89" s="11" t="n"/>
      <c r="T89" s="10">
        <f>IF(G89="","",IF(S89&lt;&gt;"","Завершено",IF(P89&lt;&gt;"","Ожидание оплаты",IF(M89&lt;&gt;"","Входной контроль",IF(K89&lt;&gt;"","Ожидание получения в Ленске",IF(I89&lt;&gt;"","В пути Иркутск → Ленск","Ремонт у подрядчика"))))))</f>
        <v/>
      </c>
      <c r="U89" s="10">
        <f>IF(H89="","",MAX(0,IF(I89&lt;&gt;"",I89,Настройки!$B$2)-H89))</f>
        <v/>
      </c>
      <c r="V89" s="10">
        <f>IF(L89="","",MAX(0,IF(M89&lt;&gt;"",M89,Настройки!$B$2)-L89))</f>
        <v/>
      </c>
      <c r="W89" s="10">
        <f>IF(O89="","",MAX(0,IF(P89&lt;&gt;"",P89,Настройки!$B$2)-O89))</f>
        <v/>
      </c>
      <c r="X89" s="10">
        <f>IF(R89="","",MAX(0,IF(S89&lt;&gt;"",S89,Настройки!$B$2)-R89))</f>
        <v/>
      </c>
      <c r="Y89" s="10">
        <f>MAX(U89:X89)</f>
        <v/>
      </c>
    </row>
    <row r="90">
      <c r="A90" s="9" t="n"/>
      <c r="B90" s="9" t="n"/>
      <c r="C90" s="10">
        <f>IFERROR(INDEX(Оборудование!$B$2:$B$200,MATCH(A90,Оборудование!$A$2:$A$200,0)),"")</f>
        <v/>
      </c>
      <c r="D90" s="10">
        <f>IFERROR(INDEX(Оборудование!$C$2:$C$200,MATCH(A90,Оборудование!$A$2:$A$200,0)),"")</f>
        <v/>
      </c>
      <c r="E90" s="10">
        <f>IFERROR(INDEX(Оборудование!$D$2:$D$200,MATCH(A90,Оборудование!$A$2:$A$200,0)),"")</f>
        <v/>
      </c>
      <c r="F90" s="10">
        <f>IFERROR(INDEX(Оборудование!$H$2:$H$200,MATCH(A90,Оборудование!$A$2:$A$200,0)),"")</f>
        <v/>
      </c>
      <c r="G90" s="11" t="n"/>
      <c r="H90" s="12">
        <f>IF(G90="","",G90+100)</f>
        <v/>
      </c>
      <c r="I90" s="11" t="n"/>
      <c r="J90" s="11" t="n"/>
      <c r="K90" s="11" t="n"/>
      <c r="L90" s="12">
        <f>IF(K90="","",K90+5)</f>
        <v/>
      </c>
      <c r="M90" s="11" t="n"/>
      <c r="N90" s="12">
        <f>IF(M90&lt;&gt;"",M90,IF(L90="","",L90))</f>
        <v/>
      </c>
      <c r="O90" s="12">
        <f>IF(N90="","",N90+40)</f>
        <v/>
      </c>
      <c r="P90" s="11" t="n"/>
      <c r="Q90" s="12">
        <f>IF(P90&lt;&gt;"",P90,IF(O90="","",O90))</f>
        <v/>
      </c>
      <c r="R90" s="12">
        <f>IF(Q90="","",Q90+70)</f>
        <v/>
      </c>
      <c r="S90" s="11" t="n"/>
      <c r="T90" s="10">
        <f>IF(G90="","",IF(S90&lt;&gt;"","Завершено",IF(P90&lt;&gt;"","Ожидание оплаты",IF(M90&lt;&gt;"","Входной контроль",IF(K90&lt;&gt;"","Ожидание получения в Ленске",IF(I90&lt;&gt;"","В пути Иркутск → Ленск","Ремонт у подрядчика"))))))</f>
        <v/>
      </c>
      <c r="U90" s="10">
        <f>IF(H90="","",MAX(0,IF(I90&lt;&gt;"",I90,Настройки!$B$2)-H90))</f>
        <v/>
      </c>
      <c r="V90" s="10">
        <f>IF(L90="","",MAX(0,IF(M90&lt;&gt;"",M90,Настройки!$B$2)-L90))</f>
        <v/>
      </c>
      <c r="W90" s="10">
        <f>IF(O90="","",MAX(0,IF(P90&lt;&gt;"",P90,Настройки!$B$2)-O90))</f>
        <v/>
      </c>
      <c r="X90" s="10">
        <f>IF(R90="","",MAX(0,IF(S90&lt;&gt;"",S90,Настройки!$B$2)-R90))</f>
        <v/>
      </c>
      <c r="Y90" s="10">
        <f>MAX(U90:X90)</f>
        <v/>
      </c>
    </row>
    <row r="91">
      <c r="A91" s="9" t="n"/>
      <c r="B91" s="9" t="n"/>
      <c r="C91" s="10">
        <f>IFERROR(INDEX(Оборудование!$B$2:$B$200,MATCH(A91,Оборудование!$A$2:$A$200,0)),"")</f>
        <v/>
      </c>
      <c r="D91" s="10">
        <f>IFERROR(INDEX(Оборудование!$C$2:$C$200,MATCH(A91,Оборудование!$A$2:$A$200,0)),"")</f>
        <v/>
      </c>
      <c r="E91" s="10">
        <f>IFERROR(INDEX(Оборудование!$D$2:$D$200,MATCH(A91,Оборудование!$A$2:$A$200,0)),"")</f>
        <v/>
      </c>
      <c r="F91" s="10">
        <f>IFERROR(INDEX(Оборудование!$H$2:$H$200,MATCH(A91,Оборудование!$A$2:$A$200,0)),"")</f>
        <v/>
      </c>
      <c r="G91" s="11" t="n"/>
      <c r="H91" s="12">
        <f>IF(G91="","",G91+100)</f>
        <v/>
      </c>
      <c r="I91" s="11" t="n"/>
      <c r="J91" s="11" t="n"/>
      <c r="K91" s="11" t="n"/>
      <c r="L91" s="12">
        <f>IF(K91="","",K91+5)</f>
        <v/>
      </c>
      <c r="M91" s="11" t="n"/>
      <c r="N91" s="12">
        <f>IF(M91&lt;&gt;"",M91,IF(L91="","",L91))</f>
        <v/>
      </c>
      <c r="O91" s="12">
        <f>IF(N91="","",N91+40)</f>
        <v/>
      </c>
      <c r="P91" s="11" t="n"/>
      <c r="Q91" s="12">
        <f>IF(P91&lt;&gt;"",P91,IF(O91="","",O91))</f>
        <v/>
      </c>
      <c r="R91" s="12">
        <f>IF(Q91="","",Q91+70)</f>
        <v/>
      </c>
      <c r="S91" s="11" t="n"/>
      <c r="T91" s="10">
        <f>IF(G91="","",IF(S91&lt;&gt;"","Завершено",IF(P91&lt;&gt;"","Ожидание оплаты",IF(M91&lt;&gt;"","Входной контроль",IF(K91&lt;&gt;"","Ожидание получения в Ленске",IF(I91&lt;&gt;"","В пути Иркутск → Ленск","Ремонт у подрядчика"))))))</f>
        <v/>
      </c>
      <c r="U91" s="10">
        <f>IF(H91="","",MAX(0,IF(I91&lt;&gt;"",I91,Настройки!$B$2)-H91))</f>
        <v/>
      </c>
      <c r="V91" s="10">
        <f>IF(L91="","",MAX(0,IF(M91&lt;&gt;"",M91,Настройки!$B$2)-L91))</f>
        <v/>
      </c>
      <c r="W91" s="10">
        <f>IF(O91="","",MAX(0,IF(P91&lt;&gt;"",P91,Настройки!$B$2)-O91))</f>
        <v/>
      </c>
      <c r="X91" s="10">
        <f>IF(R91="","",MAX(0,IF(S91&lt;&gt;"",S91,Настройки!$B$2)-R91))</f>
        <v/>
      </c>
      <c r="Y91" s="10">
        <f>MAX(U91:X91)</f>
        <v/>
      </c>
    </row>
    <row r="92">
      <c r="A92" s="9" t="n"/>
      <c r="B92" s="9" t="n"/>
      <c r="C92" s="10">
        <f>IFERROR(INDEX(Оборудование!$B$2:$B$200,MATCH(A92,Оборудование!$A$2:$A$200,0)),"")</f>
        <v/>
      </c>
      <c r="D92" s="10">
        <f>IFERROR(INDEX(Оборудование!$C$2:$C$200,MATCH(A92,Оборудование!$A$2:$A$200,0)),"")</f>
        <v/>
      </c>
      <c r="E92" s="10">
        <f>IFERROR(INDEX(Оборудование!$D$2:$D$200,MATCH(A92,Оборудование!$A$2:$A$200,0)),"")</f>
        <v/>
      </c>
      <c r="F92" s="10">
        <f>IFERROR(INDEX(Оборудование!$H$2:$H$200,MATCH(A92,Оборудование!$A$2:$A$200,0)),"")</f>
        <v/>
      </c>
      <c r="G92" s="11" t="n"/>
      <c r="H92" s="12">
        <f>IF(G92="","",G92+100)</f>
        <v/>
      </c>
      <c r="I92" s="11" t="n"/>
      <c r="J92" s="11" t="n"/>
      <c r="K92" s="11" t="n"/>
      <c r="L92" s="12">
        <f>IF(K92="","",K92+5)</f>
        <v/>
      </c>
      <c r="M92" s="11" t="n"/>
      <c r="N92" s="12">
        <f>IF(M92&lt;&gt;"",M92,IF(L92="","",L92))</f>
        <v/>
      </c>
      <c r="O92" s="12">
        <f>IF(N92="","",N92+40)</f>
        <v/>
      </c>
      <c r="P92" s="11" t="n"/>
      <c r="Q92" s="12">
        <f>IF(P92&lt;&gt;"",P92,IF(O92="","",O92))</f>
        <v/>
      </c>
      <c r="R92" s="12">
        <f>IF(Q92="","",Q92+70)</f>
        <v/>
      </c>
      <c r="S92" s="11" t="n"/>
      <c r="T92" s="10">
        <f>IF(G92="","",IF(S92&lt;&gt;"","Завершено",IF(P92&lt;&gt;"","Ожидание оплаты",IF(M92&lt;&gt;"","Входной контроль",IF(K92&lt;&gt;"","Ожидание получения в Ленске",IF(I92&lt;&gt;"","В пути Иркутск → Ленск","Ремонт у подрядчика"))))))</f>
        <v/>
      </c>
      <c r="U92" s="10">
        <f>IF(H92="","",MAX(0,IF(I92&lt;&gt;"",I92,Настройки!$B$2)-H92))</f>
        <v/>
      </c>
      <c r="V92" s="10">
        <f>IF(L92="","",MAX(0,IF(M92&lt;&gt;"",M92,Настройки!$B$2)-L92))</f>
        <v/>
      </c>
      <c r="W92" s="10">
        <f>IF(O92="","",MAX(0,IF(P92&lt;&gt;"",P92,Настройки!$B$2)-O92))</f>
        <v/>
      </c>
      <c r="X92" s="10">
        <f>IF(R92="","",MAX(0,IF(S92&lt;&gt;"",S92,Настройки!$B$2)-R92))</f>
        <v/>
      </c>
      <c r="Y92" s="10">
        <f>MAX(U92:X92)</f>
        <v/>
      </c>
    </row>
    <row r="93">
      <c r="A93" s="9" t="n"/>
      <c r="B93" s="9" t="n"/>
      <c r="C93" s="10">
        <f>IFERROR(INDEX(Оборудование!$B$2:$B$200,MATCH(A93,Оборудование!$A$2:$A$200,0)),"")</f>
        <v/>
      </c>
      <c r="D93" s="10">
        <f>IFERROR(INDEX(Оборудование!$C$2:$C$200,MATCH(A93,Оборудование!$A$2:$A$200,0)),"")</f>
        <v/>
      </c>
      <c r="E93" s="10">
        <f>IFERROR(INDEX(Оборудование!$D$2:$D$200,MATCH(A93,Оборудование!$A$2:$A$200,0)),"")</f>
        <v/>
      </c>
      <c r="F93" s="10">
        <f>IFERROR(INDEX(Оборудование!$H$2:$H$200,MATCH(A93,Оборудование!$A$2:$A$200,0)),"")</f>
        <v/>
      </c>
      <c r="G93" s="11" t="n"/>
      <c r="H93" s="12">
        <f>IF(G93="","",G93+100)</f>
        <v/>
      </c>
      <c r="I93" s="11" t="n"/>
      <c r="J93" s="11" t="n"/>
      <c r="K93" s="11" t="n"/>
      <c r="L93" s="12">
        <f>IF(K93="","",K93+5)</f>
        <v/>
      </c>
      <c r="M93" s="11" t="n"/>
      <c r="N93" s="12">
        <f>IF(M93&lt;&gt;"",M93,IF(L93="","",L93))</f>
        <v/>
      </c>
      <c r="O93" s="12">
        <f>IF(N93="","",N93+40)</f>
        <v/>
      </c>
      <c r="P93" s="11" t="n"/>
      <c r="Q93" s="12">
        <f>IF(P93&lt;&gt;"",P93,IF(O93="","",O93))</f>
        <v/>
      </c>
      <c r="R93" s="12">
        <f>IF(Q93="","",Q93+70)</f>
        <v/>
      </c>
      <c r="S93" s="11" t="n"/>
      <c r="T93" s="10">
        <f>IF(G93="","",IF(S93&lt;&gt;"","Завершено",IF(P93&lt;&gt;"","Ожидание оплаты",IF(M93&lt;&gt;"","Входной контроль",IF(K93&lt;&gt;"","Ожидание получения в Ленске",IF(I93&lt;&gt;"","В пути Иркутск → Ленск","Ремонт у подрядчика"))))))</f>
        <v/>
      </c>
      <c r="U93" s="10">
        <f>IF(H93="","",MAX(0,IF(I93&lt;&gt;"",I93,Настройки!$B$2)-H93))</f>
        <v/>
      </c>
      <c r="V93" s="10">
        <f>IF(L93="","",MAX(0,IF(M93&lt;&gt;"",M93,Настройки!$B$2)-L93))</f>
        <v/>
      </c>
      <c r="W93" s="10">
        <f>IF(O93="","",MAX(0,IF(P93&lt;&gt;"",P93,Настройки!$B$2)-O93))</f>
        <v/>
      </c>
      <c r="X93" s="10">
        <f>IF(R93="","",MAX(0,IF(S93&lt;&gt;"",S93,Настройки!$B$2)-R93))</f>
        <v/>
      </c>
      <c r="Y93" s="10">
        <f>MAX(U93:X93)</f>
        <v/>
      </c>
    </row>
    <row r="94">
      <c r="A94" s="9" t="n"/>
      <c r="B94" s="9" t="n"/>
      <c r="C94" s="10">
        <f>IFERROR(INDEX(Оборудование!$B$2:$B$200,MATCH(A94,Оборудование!$A$2:$A$200,0)),"")</f>
        <v/>
      </c>
      <c r="D94" s="10">
        <f>IFERROR(INDEX(Оборудование!$C$2:$C$200,MATCH(A94,Оборудование!$A$2:$A$200,0)),"")</f>
        <v/>
      </c>
      <c r="E94" s="10">
        <f>IFERROR(INDEX(Оборудование!$D$2:$D$200,MATCH(A94,Оборудование!$A$2:$A$200,0)),"")</f>
        <v/>
      </c>
      <c r="F94" s="10">
        <f>IFERROR(INDEX(Оборудование!$H$2:$H$200,MATCH(A94,Оборудование!$A$2:$A$200,0)),"")</f>
        <v/>
      </c>
      <c r="G94" s="11" t="n"/>
      <c r="H94" s="12">
        <f>IF(G94="","",G94+100)</f>
        <v/>
      </c>
      <c r="I94" s="11" t="n"/>
      <c r="J94" s="11" t="n"/>
      <c r="K94" s="11" t="n"/>
      <c r="L94" s="12">
        <f>IF(K94="","",K94+5)</f>
        <v/>
      </c>
      <c r="M94" s="11" t="n"/>
      <c r="N94" s="12">
        <f>IF(M94&lt;&gt;"",M94,IF(L94="","",L94))</f>
        <v/>
      </c>
      <c r="O94" s="12">
        <f>IF(N94="","",N94+40)</f>
        <v/>
      </c>
      <c r="P94" s="11" t="n"/>
      <c r="Q94" s="12">
        <f>IF(P94&lt;&gt;"",P94,IF(O94="","",O94))</f>
        <v/>
      </c>
      <c r="R94" s="12">
        <f>IF(Q94="","",Q94+70)</f>
        <v/>
      </c>
      <c r="S94" s="11" t="n"/>
      <c r="T94" s="10">
        <f>IF(G94="","",IF(S94&lt;&gt;"","Завершено",IF(P94&lt;&gt;"","Ожидание оплаты",IF(M94&lt;&gt;"","Входной контроль",IF(K94&lt;&gt;"","Ожидание получения в Ленске",IF(I94&lt;&gt;"","В пути Иркутск → Ленск","Ремонт у подрядчика"))))))</f>
        <v/>
      </c>
      <c r="U94" s="10">
        <f>IF(H94="","",MAX(0,IF(I94&lt;&gt;"",I94,Настройки!$B$2)-H94))</f>
        <v/>
      </c>
      <c r="V94" s="10">
        <f>IF(L94="","",MAX(0,IF(M94&lt;&gt;"",M94,Настройки!$B$2)-L94))</f>
        <v/>
      </c>
      <c r="W94" s="10">
        <f>IF(O94="","",MAX(0,IF(P94&lt;&gt;"",P94,Настройки!$B$2)-O94))</f>
        <v/>
      </c>
      <c r="X94" s="10">
        <f>IF(R94="","",MAX(0,IF(S94&lt;&gt;"",S94,Настройки!$B$2)-R94))</f>
        <v/>
      </c>
      <c r="Y94" s="10">
        <f>MAX(U94:X94)</f>
        <v/>
      </c>
    </row>
    <row r="95">
      <c r="A95" s="9" t="n"/>
      <c r="B95" s="9" t="n"/>
      <c r="C95" s="10">
        <f>IFERROR(INDEX(Оборудование!$B$2:$B$200,MATCH(A95,Оборудование!$A$2:$A$200,0)),"")</f>
        <v/>
      </c>
      <c r="D95" s="10">
        <f>IFERROR(INDEX(Оборудование!$C$2:$C$200,MATCH(A95,Оборудование!$A$2:$A$200,0)),"")</f>
        <v/>
      </c>
      <c r="E95" s="10">
        <f>IFERROR(INDEX(Оборудование!$D$2:$D$200,MATCH(A95,Оборудование!$A$2:$A$200,0)),"")</f>
        <v/>
      </c>
      <c r="F95" s="10">
        <f>IFERROR(INDEX(Оборудование!$H$2:$H$200,MATCH(A95,Оборудование!$A$2:$A$200,0)),"")</f>
        <v/>
      </c>
      <c r="G95" s="11" t="n"/>
      <c r="H95" s="12">
        <f>IF(G95="","",G95+100)</f>
        <v/>
      </c>
      <c r="I95" s="11" t="n"/>
      <c r="J95" s="11" t="n"/>
      <c r="K95" s="11" t="n"/>
      <c r="L95" s="12">
        <f>IF(K95="","",K95+5)</f>
        <v/>
      </c>
      <c r="M95" s="11" t="n"/>
      <c r="N95" s="12">
        <f>IF(M95&lt;&gt;"",M95,IF(L95="","",L95))</f>
        <v/>
      </c>
      <c r="O95" s="12">
        <f>IF(N95="","",N95+40)</f>
        <v/>
      </c>
      <c r="P95" s="11" t="n"/>
      <c r="Q95" s="12">
        <f>IF(P95&lt;&gt;"",P95,IF(O95="","",O95))</f>
        <v/>
      </c>
      <c r="R95" s="12">
        <f>IF(Q95="","",Q95+70)</f>
        <v/>
      </c>
      <c r="S95" s="11" t="n"/>
      <c r="T95" s="10">
        <f>IF(G95="","",IF(S95&lt;&gt;"","Завершено",IF(P95&lt;&gt;"","Ожидание оплаты",IF(M95&lt;&gt;"","Входной контроль",IF(K95&lt;&gt;"","Ожидание получения в Ленске",IF(I95&lt;&gt;"","В пути Иркутск → Ленск","Ремонт у подрядчика"))))))</f>
        <v/>
      </c>
      <c r="U95" s="10">
        <f>IF(H95="","",MAX(0,IF(I95&lt;&gt;"",I95,Настройки!$B$2)-H95))</f>
        <v/>
      </c>
      <c r="V95" s="10">
        <f>IF(L95="","",MAX(0,IF(M95&lt;&gt;"",M95,Настройки!$B$2)-L95))</f>
        <v/>
      </c>
      <c r="W95" s="10">
        <f>IF(O95="","",MAX(0,IF(P95&lt;&gt;"",P95,Настройки!$B$2)-O95))</f>
        <v/>
      </c>
      <c r="X95" s="10">
        <f>IF(R95="","",MAX(0,IF(S95&lt;&gt;"",S95,Настройки!$B$2)-R95))</f>
        <v/>
      </c>
      <c r="Y95" s="10">
        <f>MAX(U95:X95)</f>
        <v/>
      </c>
    </row>
    <row r="96">
      <c r="A96" s="9" t="n"/>
      <c r="B96" s="9" t="n"/>
      <c r="C96" s="10">
        <f>IFERROR(INDEX(Оборудование!$B$2:$B$200,MATCH(A96,Оборудование!$A$2:$A$200,0)),"")</f>
        <v/>
      </c>
      <c r="D96" s="10">
        <f>IFERROR(INDEX(Оборудование!$C$2:$C$200,MATCH(A96,Оборудование!$A$2:$A$200,0)),"")</f>
        <v/>
      </c>
      <c r="E96" s="10">
        <f>IFERROR(INDEX(Оборудование!$D$2:$D$200,MATCH(A96,Оборудование!$A$2:$A$200,0)),"")</f>
        <v/>
      </c>
      <c r="F96" s="10">
        <f>IFERROR(INDEX(Оборудование!$H$2:$H$200,MATCH(A96,Оборудование!$A$2:$A$200,0)),"")</f>
        <v/>
      </c>
      <c r="G96" s="11" t="n"/>
      <c r="H96" s="12">
        <f>IF(G96="","",G96+100)</f>
        <v/>
      </c>
      <c r="I96" s="11" t="n"/>
      <c r="J96" s="11" t="n"/>
      <c r="K96" s="11" t="n"/>
      <c r="L96" s="12">
        <f>IF(K96="","",K96+5)</f>
        <v/>
      </c>
      <c r="M96" s="11" t="n"/>
      <c r="N96" s="12">
        <f>IF(M96&lt;&gt;"",M96,IF(L96="","",L96))</f>
        <v/>
      </c>
      <c r="O96" s="12">
        <f>IF(N96="","",N96+40)</f>
        <v/>
      </c>
      <c r="P96" s="11" t="n"/>
      <c r="Q96" s="12">
        <f>IF(P96&lt;&gt;"",P96,IF(O96="","",O96))</f>
        <v/>
      </c>
      <c r="R96" s="12">
        <f>IF(Q96="","",Q96+70)</f>
        <v/>
      </c>
      <c r="S96" s="11" t="n"/>
      <c r="T96" s="10">
        <f>IF(G96="","",IF(S96&lt;&gt;"","Завершено",IF(P96&lt;&gt;"","Ожидание оплаты",IF(M96&lt;&gt;"","Входной контроль",IF(K96&lt;&gt;"","Ожидание получения в Ленске",IF(I96&lt;&gt;"","В пути Иркутск → Ленск","Ремонт у подрядчика"))))))</f>
        <v/>
      </c>
      <c r="U96" s="10">
        <f>IF(H96="","",MAX(0,IF(I96&lt;&gt;"",I96,Настройки!$B$2)-H96))</f>
        <v/>
      </c>
      <c r="V96" s="10">
        <f>IF(L96="","",MAX(0,IF(M96&lt;&gt;"",M96,Настройки!$B$2)-L96))</f>
        <v/>
      </c>
      <c r="W96" s="10">
        <f>IF(O96="","",MAX(0,IF(P96&lt;&gt;"",P96,Настройки!$B$2)-O96))</f>
        <v/>
      </c>
      <c r="X96" s="10">
        <f>IF(R96="","",MAX(0,IF(S96&lt;&gt;"",S96,Настройки!$B$2)-R96))</f>
        <v/>
      </c>
      <c r="Y96" s="10">
        <f>MAX(U96:X96)</f>
        <v/>
      </c>
    </row>
    <row r="97">
      <c r="A97" s="9" t="n"/>
      <c r="B97" s="9" t="n"/>
      <c r="C97" s="10">
        <f>IFERROR(INDEX(Оборудование!$B$2:$B$200,MATCH(A97,Оборудование!$A$2:$A$200,0)),"")</f>
        <v/>
      </c>
      <c r="D97" s="10">
        <f>IFERROR(INDEX(Оборудование!$C$2:$C$200,MATCH(A97,Оборудование!$A$2:$A$200,0)),"")</f>
        <v/>
      </c>
      <c r="E97" s="10">
        <f>IFERROR(INDEX(Оборудование!$D$2:$D$200,MATCH(A97,Оборудование!$A$2:$A$200,0)),"")</f>
        <v/>
      </c>
      <c r="F97" s="10">
        <f>IFERROR(INDEX(Оборудование!$H$2:$H$200,MATCH(A97,Оборудование!$A$2:$A$200,0)),"")</f>
        <v/>
      </c>
      <c r="G97" s="11" t="n"/>
      <c r="H97" s="12">
        <f>IF(G97="","",G97+100)</f>
        <v/>
      </c>
      <c r="I97" s="11" t="n"/>
      <c r="J97" s="11" t="n"/>
      <c r="K97" s="11" t="n"/>
      <c r="L97" s="12">
        <f>IF(K97="","",K97+5)</f>
        <v/>
      </c>
      <c r="M97" s="11" t="n"/>
      <c r="N97" s="12">
        <f>IF(M97&lt;&gt;"",M97,IF(L97="","",L97))</f>
        <v/>
      </c>
      <c r="O97" s="12">
        <f>IF(N97="","",N97+40)</f>
        <v/>
      </c>
      <c r="P97" s="11" t="n"/>
      <c r="Q97" s="12">
        <f>IF(P97&lt;&gt;"",P97,IF(O97="","",O97))</f>
        <v/>
      </c>
      <c r="R97" s="12">
        <f>IF(Q97="","",Q97+70)</f>
        <v/>
      </c>
      <c r="S97" s="11" t="n"/>
      <c r="T97" s="10">
        <f>IF(G97="","",IF(S97&lt;&gt;"","Завершено",IF(P97&lt;&gt;"","Ожидание оплаты",IF(M97&lt;&gt;"","Входной контроль",IF(K97&lt;&gt;"","Ожидание получения в Ленске",IF(I97&lt;&gt;"","В пути Иркутск → Ленск","Ремонт у подрядчика"))))))</f>
        <v/>
      </c>
      <c r="U97" s="10">
        <f>IF(H97="","",MAX(0,IF(I97&lt;&gt;"",I97,Настройки!$B$2)-H97))</f>
        <v/>
      </c>
      <c r="V97" s="10">
        <f>IF(L97="","",MAX(0,IF(M97&lt;&gt;"",M97,Настройки!$B$2)-L97))</f>
        <v/>
      </c>
      <c r="W97" s="10">
        <f>IF(O97="","",MAX(0,IF(P97&lt;&gt;"",P97,Настройки!$B$2)-O97))</f>
        <v/>
      </c>
      <c r="X97" s="10">
        <f>IF(R97="","",MAX(0,IF(S97&lt;&gt;"",S97,Настройки!$B$2)-R97))</f>
        <v/>
      </c>
      <c r="Y97" s="10">
        <f>MAX(U97:X97)</f>
        <v/>
      </c>
    </row>
    <row r="98">
      <c r="A98" s="9" t="n"/>
      <c r="B98" s="9" t="n"/>
      <c r="C98" s="10">
        <f>IFERROR(INDEX(Оборудование!$B$2:$B$200,MATCH(A98,Оборудование!$A$2:$A$200,0)),"")</f>
        <v/>
      </c>
      <c r="D98" s="10">
        <f>IFERROR(INDEX(Оборудование!$C$2:$C$200,MATCH(A98,Оборудование!$A$2:$A$200,0)),"")</f>
        <v/>
      </c>
      <c r="E98" s="10">
        <f>IFERROR(INDEX(Оборудование!$D$2:$D$200,MATCH(A98,Оборудование!$A$2:$A$200,0)),"")</f>
        <v/>
      </c>
      <c r="F98" s="10">
        <f>IFERROR(INDEX(Оборудование!$H$2:$H$200,MATCH(A98,Оборудование!$A$2:$A$200,0)),"")</f>
        <v/>
      </c>
      <c r="G98" s="11" t="n"/>
      <c r="H98" s="12">
        <f>IF(G98="","",G98+100)</f>
        <v/>
      </c>
      <c r="I98" s="11" t="n"/>
      <c r="J98" s="11" t="n"/>
      <c r="K98" s="11" t="n"/>
      <c r="L98" s="12">
        <f>IF(K98="","",K98+5)</f>
        <v/>
      </c>
      <c r="M98" s="11" t="n"/>
      <c r="N98" s="12">
        <f>IF(M98&lt;&gt;"",M98,IF(L98="","",L98))</f>
        <v/>
      </c>
      <c r="O98" s="12">
        <f>IF(N98="","",N98+40)</f>
        <v/>
      </c>
      <c r="P98" s="11" t="n"/>
      <c r="Q98" s="12">
        <f>IF(P98&lt;&gt;"",P98,IF(O98="","",O98))</f>
        <v/>
      </c>
      <c r="R98" s="12">
        <f>IF(Q98="","",Q98+70)</f>
        <v/>
      </c>
      <c r="S98" s="11" t="n"/>
      <c r="T98" s="10">
        <f>IF(G98="","",IF(S98&lt;&gt;"","Завершено",IF(P98&lt;&gt;"","Ожидание оплаты",IF(M98&lt;&gt;"","Входной контроль",IF(K98&lt;&gt;"","Ожидание получения в Ленске",IF(I98&lt;&gt;"","В пути Иркутск → Ленск","Ремонт у подрядчика"))))))</f>
        <v/>
      </c>
      <c r="U98" s="10">
        <f>IF(H98="","",MAX(0,IF(I98&lt;&gt;"",I98,Настройки!$B$2)-H98))</f>
        <v/>
      </c>
      <c r="V98" s="10">
        <f>IF(L98="","",MAX(0,IF(M98&lt;&gt;"",M98,Настройки!$B$2)-L98))</f>
        <v/>
      </c>
      <c r="W98" s="10">
        <f>IF(O98="","",MAX(0,IF(P98&lt;&gt;"",P98,Настройки!$B$2)-O98))</f>
        <v/>
      </c>
      <c r="X98" s="10">
        <f>IF(R98="","",MAX(0,IF(S98&lt;&gt;"",S98,Настройки!$B$2)-R98))</f>
        <v/>
      </c>
      <c r="Y98" s="10">
        <f>MAX(U98:X98)</f>
        <v/>
      </c>
    </row>
    <row r="99">
      <c r="A99" s="9" t="n"/>
      <c r="B99" s="9" t="n"/>
      <c r="C99" s="10">
        <f>IFERROR(INDEX(Оборудование!$B$2:$B$200,MATCH(A99,Оборудование!$A$2:$A$200,0)),"")</f>
        <v/>
      </c>
      <c r="D99" s="10">
        <f>IFERROR(INDEX(Оборудование!$C$2:$C$200,MATCH(A99,Оборудование!$A$2:$A$200,0)),"")</f>
        <v/>
      </c>
      <c r="E99" s="10">
        <f>IFERROR(INDEX(Оборудование!$D$2:$D$200,MATCH(A99,Оборудование!$A$2:$A$200,0)),"")</f>
        <v/>
      </c>
      <c r="F99" s="10">
        <f>IFERROR(INDEX(Оборудование!$H$2:$H$200,MATCH(A99,Оборудование!$A$2:$A$200,0)),"")</f>
        <v/>
      </c>
      <c r="G99" s="11" t="n"/>
      <c r="H99" s="12">
        <f>IF(G99="","",G99+100)</f>
        <v/>
      </c>
      <c r="I99" s="11" t="n"/>
      <c r="J99" s="11" t="n"/>
      <c r="K99" s="11" t="n"/>
      <c r="L99" s="12">
        <f>IF(K99="","",K99+5)</f>
        <v/>
      </c>
      <c r="M99" s="11" t="n"/>
      <c r="N99" s="12">
        <f>IF(M99&lt;&gt;"",M99,IF(L99="","",L99))</f>
        <v/>
      </c>
      <c r="O99" s="12">
        <f>IF(N99="","",N99+40)</f>
        <v/>
      </c>
      <c r="P99" s="11" t="n"/>
      <c r="Q99" s="12">
        <f>IF(P99&lt;&gt;"",P99,IF(O99="","",O99))</f>
        <v/>
      </c>
      <c r="R99" s="12">
        <f>IF(Q99="","",Q99+70)</f>
        <v/>
      </c>
      <c r="S99" s="11" t="n"/>
      <c r="T99" s="10">
        <f>IF(G99="","",IF(S99&lt;&gt;"","Завершено",IF(P99&lt;&gt;"","Ожидание оплаты",IF(M99&lt;&gt;"","Входной контроль",IF(K99&lt;&gt;"","Ожидание получения в Ленске",IF(I99&lt;&gt;"","В пути Иркутск → Ленск","Ремонт у подрядчика"))))))</f>
        <v/>
      </c>
      <c r="U99" s="10">
        <f>IF(H99="","",MAX(0,IF(I99&lt;&gt;"",I99,Настройки!$B$2)-H99))</f>
        <v/>
      </c>
      <c r="V99" s="10">
        <f>IF(L99="","",MAX(0,IF(M99&lt;&gt;"",M99,Настройки!$B$2)-L99))</f>
        <v/>
      </c>
      <c r="W99" s="10">
        <f>IF(O99="","",MAX(0,IF(P99&lt;&gt;"",P99,Настройки!$B$2)-O99))</f>
        <v/>
      </c>
      <c r="X99" s="10">
        <f>IF(R99="","",MAX(0,IF(S99&lt;&gt;"",S99,Настройки!$B$2)-R99))</f>
        <v/>
      </c>
      <c r="Y99" s="10">
        <f>MAX(U99:X99)</f>
        <v/>
      </c>
    </row>
    <row r="100">
      <c r="A100" s="9" t="n"/>
      <c r="B100" s="9" t="n"/>
      <c r="C100" s="10">
        <f>IFERROR(INDEX(Оборудование!$B$2:$B$200,MATCH(A100,Оборудование!$A$2:$A$200,0)),"")</f>
        <v/>
      </c>
      <c r="D100" s="10">
        <f>IFERROR(INDEX(Оборудование!$C$2:$C$200,MATCH(A100,Оборудование!$A$2:$A$200,0)),"")</f>
        <v/>
      </c>
      <c r="E100" s="10">
        <f>IFERROR(INDEX(Оборудование!$D$2:$D$200,MATCH(A100,Оборудование!$A$2:$A$200,0)),"")</f>
        <v/>
      </c>
      <c r="F100" s="10">
        <f>IFERROR(INDEX(Оборудование!$H$2:$H$200,MATCH(A100,Оборудование!$A$2:$A$200,0)),"")</f>
        <v/>
      </c>
      <c r="G100" s="11" t="n"/>
      <c r="H100" s="12">
        <f>IF(G100="","",G100+100)</f>
        <v/>
      </c>
      <c r="I100" s="11" t="n"/>
      <c r="J100" s="11" t="n"/>
      <c r="K100" s="11" t="n"/>
      <c r="L100" s="12">
        <f>IF(K100="","",K100+5)</f>
        <v/>
      </c>
      <c r="M100" s="11" t="n"/>
      <c r="N100" s="12">
        <f>IF(M100&lt;&gt;"",M100,IF(L100="","",L100))</f>
        <v/>
      </c>
      <c r="O100" s="12">
        <f>IF(N100="","",N100+40)</f>
        <v/>
      </c>
      <c r="P100" s="11" t="n"/>
      <c r="Q100" s="12">
        <f>IF(P100&lt;&gt;"",P100,IF(O100="","",O100))</f>
        <v/>
      </c>
      <c r="R100" s="12">
        <f>IF(Q100="","",Q100+70)</f>
        <v/>
      </c>
      <c r="S100" s="11" t="n"/>
      <c r="T100" s="10">
        <f>IF(G100="","",IF(S100&lt;&gt;"","Завершено",IF(P100&lt;&gt;"","Ожидание оплаты",IF(M100&lt;&gt;"","Входной контроль",IF(K100&lt;&gt;"","Ожидание получения в Ленске",IF(I100&lt;&gt;"","В пути Иркутск → Ленск","Ремонт у подрядчика"))))))</f>
        <v/>
      </c>
      <c r="U100" s="10">
        <f>IF(H100="","",MAX(0,IF(I100&lt;&gt;"",I100,Настройки!$B$2)-H100))</f>
        <v/>
      </c>
      <c r="V100" s="10">
        <f>IF(L100="","",MAX(0,IF(M100&lt;&gt;"",M100,Настройки!$B$2)-L100))</f>
        <v/>
      </c>
      <c r="W100" s="10">
        <f>IF(O100="","",MAX(0,IF(P100&lt;&gt;"",P100,Настройки!$B$2)-O100))</f>
        <v/>
      </c>
      <c r="X100" s="10">
        <f>IF(R100="","",MAX(0,IF(S100&lt;&gt;"",S100,Настройки!$B$2)-R100))</f>
        <v/>
      </c>
      <c r="Y100" s="10">
        <f>MAX(U100:X100)</f>
        <v/>
      </c>
    </row>
    <row r="101">
      <c r="A101" s="9" t="n"/>
      <c r="B101" s="9" t="n"/>
      <c r="C101" s="10">
        <f>IFERROR(INDEX(Оборудование!$B$2:$B$200,MATCH(A101,Оборудование!$A$2:$A$200,0)),"")</f>
        <v/>
      </c>
      <c r="D101" s="10">
        <f>IFERROR(INDEX(Оборудование!$C$2:$C$200,MATCH(A101,Оборудование!$A$2:$A$200,0)),"")</f>
        <v/>
      </c>
      <c r="E101" s="10">
        <f>IFERROR(INDEX(Оборудование!$D$2:$D$200,MATCH(A101,Оборудование!$A$2:$A$200,0)),"")</f>
        <v/>
      </c>
      <c r="F101" s="10">
        <f>IFERROR(INDEX(Оборудование!$H$2:$H$200,MATCH(A101,Оборудование!$A$2:$A$200,0)),"")</f>
        <v/>
      </c>
      <c r="G101" s="11" t="n"/>
      <c r="H101" s="12">
        <f>IF(G101="","",G101+100)</f>
        <v/>
      </c>
      <c r="I101" s="11" t="n"/>
      <c r="J101" s="11" t="n"/>
      <c r="K101" s="11" t="n"/>
      <c r="L101" s="12">
        <f>IF(K101="","",K101+5)</f>
        <v/>
      </c>
      <c r="M101" s="11" t="n"/>
      <c r="N101" s="12">
        <f>IF(M101&lt;&gt;"",M101,IF(L101="","",L101))</f>
        <v/>
      </c>
      <c r="O101" s="12">
        <f>IF(N101="","",N101+40)</f>
        <v/>
      </c>
      <c r="P101" s="11" t="n"/>
      <c r="Q101" s="12">
        <f>IF(P101&lt;&gt;"",P101,IF(O101="","",O101))</f>
        <v/>
      </c>
      <c r="R101" s="12">
        <f>IF(Q101="","",Q101+70)</f>
        <v/>
      </c>
      <c r="S101" s="11" t="n"/>
      <c r="T101" s="10">
        <f>IF(G101="","",IF(S101&lt;&gt;"","Завершено",IF(P101&lt;&gt;"","Ожидание оплаты",IF(M101&lt;&gt;"","Входной контроль",IF(K101&lt;&gt;"","Ожидание получения в Ленске",IF(I101&lt;&gt;"","В пути Иркутск → Ленск","Ремонт у подрядчика"))))))</f>
        <v/>
      </c>
      <c r="U101" s="10">
        <f>IF(H101="","",MAX(0,IF(I101&lt;&gt;"",I101,Настройки!$B$2)-H101))</f>
        <v/>
      </c>
      <c r="V101" s="10">
        <f>IF(L101="","",MAX(0,IF(M101&lt;&gt;"",M101,Настройки!$B$2)-L101))</f>
        <v/>
      </c>
      <c r="W101" s="10">
        <f>IF(O101="","",MAX(0,IF(P101&lt;&gt;"",P101,Настройки!$B$2)-O101))</f>
        <v/>
      </c>
      <c r="X101" s="10">
        <f>IF(R101="","",MAX(0,IF(S101&lt;&gt;"",S101,Настройки!$B$2)-R101))</f>
        <v/>
      </c>
      <c r="Y101" s="10">
        <f>MAX(U101:X101)</f>
        <v/>
      </c>
    </row>
    <row r="102">
      <c r="A102" s="9" t="n"/>
      <c r="B102" s="9" t="n"/>
      <c r="C102" s="10">
        <f>IFERROR(INDEX(Оборудование!$B$2:$B$200,MATCH(A102,Оборудование!$A$2:$A$200,0)),"")</f>
        <v/>
      </c>
      <c r="D102" s="10">
        <f>IFERROR(INDEX(Оборудование!$C$2:$C$200,MATCH(A102,Оборудование!$A$2:$A$200,0)),"")</f>
        <v/>
      </c>
      <c r="E102" s="10">
        <f>IFERROR(INDEX(Оборудование!$D$2:$D$200,MATCH(A102,Оборудование!$A$2:$A$200,0)),"")</f>
        <v/>
      </c>
      <c r="F102" s="10">
        <f>IFERROR(INDEX(Оборудование!$H$2:$H$200,MATCH(A102,Оборудование!$A$2:$A$200,0)),"")</f>
        <v/>
      </c>
      <c r="G102" s="11" t="n"/>
      <c r="H102" s="12">
        <f>IF(G102="","",G102+100)</f>
        <v/>
      </c>
      <c r="I102" s="11" t="n"/>
      <c r="J102" s="11" t="n"/>
      <c r="K102" s="11" t="n"/>
      <c r="L102" s="12">
        <f>IF(K102="","",K102+5)</f>
        <v/>
      </c>
      <c r="M102" s="11" t="n"/>
      <c r="N102" s="12">
        <f>IF(M102&lt;&gt;"",M102,IF(L102="","",L102))</f>
        <v/>
      </c>
      <c r="O102" s="12">
        <f>IF(N102="","",N102+40)</f>
        <v/>
      </c>
      <c r="P102" s="11" t="n"/>
      <c r="Q102" s="12">
        <f>IF(P102&lt;&gt;"",P102,IF(O102="","",O102))</f>
        <v/>
      </c>
      <c r="R102" s="12">
        <f>IF(Q102="","",Q102+70)</f>
        <v/>
      </c>
      <c r="S102" s="11" t="n"/>
      <c r="T102" s="10">
        <f>IF(G102="","",IF(S102&lt;&gt;"","Завершено",IF(P102&lt;&gt;"","Ожидание оплаты",IF(M102&lt;&gt;"","Входной контроль",IF(K102&lt;&gt;"","Ожидание получения в Ленске",IF(I102&lt;&gt;"","В пути Иркутск → Ленск","Ремонт у подрядчика"))))))</f>
        <v/>
      </c>
      <c r="U102" s="10">
        <f>IF(H102="","",MAX(0,IF(I102&lt;&gt;"",I102,Настройки!$B$2)-H102))</f>
        <v/>
      </c>
      <c r="V102" s="10">
        <f>IF(L102="","",MAX(0,IF(M102&lt;&gt;"",M102,Настройки!$B$2)-L102))</f>
        <v/>
      </c>
      <c r="W102" s="10">
        <f>IF(O102="","",MAX(0,IF(P102&lt;&gt;"",P102,Настройки!$B$2)-O102))</f>
        <v/>
      </c>
      <c r="X102" s="10">
        <f>IF(R102="","",MAX(0,IF(S102&lt;&gt;"",S102,Настройки!$B$2)-R102))</f>
        <v/>
      </c>
      <c r="Y102" s="10">
        <f>MAX(U102:X102)</f>
        <v/>
      </c>
    </row>
    <row r="103">
      <c r="A103" s="9" t="n"/>
      <c r="B103" s="9" t="n"/>
      <c r="C103" s="10">
        <f>IFERROR(INDEX(Оборудование!$B$2:$B$200,MATCH(A103,Оборудование!$A$2:$A$200,0)),"")</f>
        <v/>
      </c>
      <c r="D103" s="10">
        <f>IFERROR(INDEX(Оборудование!$C$2:$C$200,MATCH(A103,Оборудование!$A$2:$A$200,0)),"")</f>
        <v/>
      </c>
      <c r="E103" s="10">
        <f>IFERROR(INDEX(Оборудование!$D$2:$D$200,MATCH(A103,Оборудование!$A$2:$A$200,0)),"")</f>
        <v/>
      </c>
      <c r="F103" s="10">
        <f>IFERROR(INDEX(Оборудование!$H$2:$H$200,MATCH(A103,Оборудование!$A$2:$A$200,0)),"")</f>
        <v/>
      </c>
      <c r="G103" s="11" t="n"/>
      <c r="H103" s="12">
        <f>IF(G103="","",G103+100)</f>
        <v/>
      </c>
      <c r="I103" s="11" t="n"/>
      <c r="J103" s="11" t="n"/>
      <c r="K103" s="11" t="n"/>
      <c r="L103" s="12">
        <f>IF(K103="","",K103+5)</f>
        <v/>
      </c>
      <c r="M103" s="11" t="n"/>
      <c r="N103" s="12">
        <f>IF(M103&lt;&gt;"",M103,IF(L103="","",L103))</f>
        <v/>
      </c>
      <c r="O103" s="12">
        <f>IF(N103="","",N103+40)</f>
        <v/>
      </c>
      <c r="P103" s="11" t="n"/>
      <c r="Q103" s="12">
        <f>IF(P103&lt;&gt;"",P103,IF(O103="","",O103))</f>
        <v/>
      </c>
      <c r="R103" s="12">
        <f>IF(Q103="","",Q103+70)</f>
        <v/>
      </c>
      <c r="S103" s="11" t="n"/>
      <c r="T103" s="10">
        <f>IF(G103="","",IF(S103&lt;&gt;"","Завершено",IF(P103&lt;&gt;"","Ожидание оплаты",IF(M103&lt;&gt;"","Входной контроль",IF(K103&lt;&gt;"","Ожидание получения в Ленске",IF(I103&lt;&gt;"","В пути Иркутск → Ленск","Ремонт у подрядчика"))))))</f>
        <v/>
      </c>
      <c r="U103" s="10">
        <f>IF(H103="","",MAX(0,IF(I103&lt;&gt;"",I103,Настройки!$B$2)-H103))</f>
        <v/>
      </c>
      <c r="V103" s="10">
        <f>IF(L103="","",MAX(0,IF(M103&lt;&gt;"",M103,Настройки!$B$2)-L103))</f>
        <v/>
      </c>
      <c r="W103" s="10">
        <f>IF(O103="","",MAX(0,IF(P103&lt;&gt;"",P103,Настройки!$B$2)-O103))</f>
        <v/>
      </c>
      <c r="X103" s="10">
        <f>IF(R103="","",MAX(0,IF(S103&lt;&gt;"",S103,Настройки!$B$2)-R103))</f>
        <v/>
      </c>
      <c r="Y103" s="10">
        <f>MAX(U103:X103)</f>
        <v/>
      </c>
    </row>
    <row r="104">
      <c r="A104" s="9" t="n"/>
      <c r="B104" s="9" t="n"/>
      <c r="C104" s="10">
        <f>IFERROR(INDEX(Оборудование!$B$2:$B$200,MATCH(A104,Оборудование!$A$2:$A$200,0)),"")</f>
        <v/>
      </c>
      <c r="D104" s="10">
        <f>IFERROR(INDEX(Оборудование!$C$2:$C$200,MATCH(A104,Оборудование!$A$2:$A$200,0)),"")</f>
        <v/>
      </c>
      <c r="E104" s="10">
        <f>IFERROR(INDEX(Оборудование!$D$2:$D$200,MATCH(A104,Оборудование!$A$2:$A$200,0)),"")</f>
        <v/>
      </c>
      <c r="F104" s="10">
        <f>IFERROR(INDEX(Оборудование!$H$2:$H$200,MATCH(A104,Оборудование!$A$2:$A$200,0)),"")</f>
        <v/>
      </c>
      <c r="G104" s="11" t="n"/>
      <c r="H104" s="12">
        <f>IF(G104="","",G104+100)</f>
        <v/>
      </c>
      <c r="I104" s="11" t="n"/>
      <c r="J104" s="11" t="n"/>
      <c r="K104" s="11" t="n"/>
      <c r="L104" s="12">
        <f>IF(K104="","",K104+5)</f>
        <v/>
      </c>
      <c r="M104" s="11" t="n"/>
      <c r="N104" s="12">
        <f>IF(M104&lt;&gt;"",M104,IF(L104="","",L104))</f>
        <v/>
      </c>
      <c r="O104" s="12">
        <f>IF(N104="","",N104+40)</f>
        <v/>
      </c>
      <c r="P104" s="11" t="n"/>
      <c r="Q104" s="12">
        <f>IF(P104&lt;&gt;"",P104,IF(O104="","",O104))</f>
        <v/>
      </c>
      <c r="R104" s="12">
        <f>IF(Q104="","",Q104+70)</f>
        <v/>
      </c>
      <c r="S104" s="11" t="n"/>
      <c r="T104" s="10">
        <f>IF(G104="","",IF(S104&lt;&gt;"","Завершено",IF(P104&lt;&gt;"","Ожидание оплаты",IF(M104&lt;&gt;"","Входной контроль",IF(K104&lt;&gt;"","Ожидание получения в Ленске",IF(I104&lt;&gt;"","В пути Иркутск → Ленск","Ремонт у подрядчика"))))))</f>
        <v/>
      </c>
      <c r="U104" s="10">
        <f>IF(H104="","",MAX(0,IF(I104&lt;&gt;"",I104,Настройки!$B$2)-H104))</f>
        <v/>
      </c>
      <c r="V104" s="10">
        <f>IF(L104="","",MAX(0,IF(M104&lt;&gt;"",M104,Настройки!$B$2)-L104))</f>
        <v/>
      </c>
      <c r="W104" s="10">
        <f>IF(O104="","",MAX(0,IF(P104&lt;&gt;"",P104,Настройки!$B$2)-O104))</f>
        <v/>
      </c>
      <c r="X104" s="10">
        <f>IF(R104="","",MAX(0,IF(S104&lt;&gt;"",S104,Настройки!$B$2)-R104))</f>
        <v/>
      </c>
      <c r="Y104" s="10">
        <f>MAX(U104:X104)</f>
        <v/>
      </c>
    </row>
    <row r="105">
      <c r="A105" s="9" t="n"/>
      <c r="B105" s="9" t="n"/>
      <c r="C105" s="10">
        <f>IFERROR(INDEX(Оборудование!$B$2:$B$200,MATCH(A105,Оборудование!$A$2:$A$200,0)),"")</f>
        <v/>
      </c>
      <c r="D105" s="10">
        <f>IFERROR(INDEX(Оборудование!$C$2:$C$200,MATCH(A105,Оборудование!$A$2:$A$200,0)),"")</f>
        <v/>
      </c>
      <c r="E105" s="10">
        <f>IFERROR(INDEX(Оборудование!$D$2:$D$200,MATCH(A105,Оборудование!$A$2:$A$200,0)),"")</f>
        <v/>
      </c>
      <c r="F105" s="10">
        <f>IFERROR(INDEX(Оборудование!$H$2:$H$200,MATCH(A105,Оборудование!$A$2:$A$200,0)),"")</f>
        <v/>
      </c>
      <c r="G105" s="11" t="n"/>
      <c r="H105" s="12">
        <f>IF(G105="","",G105+100)</f>
        <v/>
      </c>
      <c r="I105" s="11" t="n"/>
      <c r="J105" s="11" t="n"/>
      <c r="K105" s="11" t="n"/>
      <c r="L105" s="12">
        <f>IF(K105="","",K105+5)</f>
        <v/>
      </c>
      <c r="M105" s="11" t="n"/>
      <c r="N105" s="12">
        <f>IF(M105&lt;&gt;"",M105,IF(L105="","",L105))</f>
        <v/>
      </c>
      <c r="O105" s="12">
        <f>IF(N105="","",N105+40)</f>
        <v/>
      </c>
      <c r="P105" s="11" t="n"/>
      <c r="Q105" s="12">
        <f>IF(P105&lt;&gt;"",P105,IF(O105="","",O105))</f>
        <v/>
      </c>
      <c r="R105" s="12">
        <f>IF(Q105="","",Q105+70)</f>
        <v/>
      </c>
      <c r="S105" s="11" t="n"/>
      <c r="T105" s="10">
        <f>IF(G105="","",IF(S105&lt;&gt;"","Завершено",IF(P105&lt;&gt;"","Ожидание оплаты",IF(M105&lt;&gt;"","Входной контроль",IF(K105&lt;&gt;"","Ожидание получения в Ленске",IF(I105&lt;&gt;"","В пути Иркутск → Ленск","Ремонт у подрядчика"))))))</f>
        <v/>
      </c>
      <c r="U105" s="10">
        <f>IF(H105="","",MAX(0,IF(I105&lt;&gt;"",I105,Настройки!$B$2)-H105))</f>
        <v/>
      </c>
      <c r="V105" s="10">
        <f>IF(L105="","",MAX(0,IF(M105&lt;&gt;"",M105,Настройки!$B$2)-L105))</f>
        <v/>
      </c>
      <c r="W105" s="10">
        <f>IF(O105="","",MAX(0,IF(P105&lt;&gt;"",P105,Настройки!$B$2)-O105))</f>
        <v/>
      </c>
      <c r="X105" s="10">
        <f>IF(R105="","",MAX(0,IF(S105&lt;&gt;"",S105,Настройки!$B$2)-R105))</f>
        <v/>
      </c>
      <c r="Y105" s="10">
        <f>MAX(U105:X105)</f>
        <v/>
      </c>
    </row>
    <row r="106">
      <c r="A106" s="9" t="n"/>
      <c r="B106" s="9" t="n"/>
      <c r="C106" s="10">
        <f>IFERROR(INDEX(Оборудование!$B$2:$B$200,MATCH(A106,Оборудование!$A$2:$A$200,0)),"")</f>
        <v/>
      </c>
      <c r="D106" s="10">
        <f>IFERROR(INDEX(Оборудование!$C$2:$C$200,MATCH(A106,Оборудование!$A$2:$A$200,0)),"")</f>
        <v/>
      </c>
      <c r="E106" s="10">
        <f>IFERROR(INDEX(Оборудование!$D$2:$D$200,MATCH(A106,Оборудование!$A$2:$A$200,0)),"")</f>
        <v/>
      </c>
      <c r="F106" s="10">
        <f>IFERROR(INDEX(Оборудование!$H$2:$H$200,MATCH(A106,Оборудование!$A$2:$A$200,0)),"")</f>
        <v/>
      </c>
      <c r="G106" s="11" t="n"/>
      <c r="H106" s="12">
        <f>IF(G106="","",G106+100)</f>
        <v/>
      </c>
      <c r="I106" s="11" t="n"/>
      <c r="J106" s="11" t="n"/>
      <c r="K106" s="11" t="n"/>
      <c r="L106" s="12">
        <f>IF(K106="","",K106+5)</f>
        <v/>
      </c>
      <c r="M106" s="11" t="n"/>
      <c r="N106" s="12">
        <f>IF(M106&lt;&gt;"",M106,IF(L106="","",L106))</f>
        <v/>
      </c>
      <c r="O106" s="12">
        <f>IF(N106="","",N106+40)</f>
        <v/>
      </c>
      <c r="P106" s="11" t="n"/>
      <c r="Q106" s="12">
        <f>IF(P106&lt;&gt;"",P106,IF(O106="","",O106))</f>
        <v/>
      </c>
      <c r="R106" s="12">
        <f>IF(Q106="","",Q106+70)</f>
        <v/>
      </c>
      <c r="S106" s="11" t="n"/>
      <c r="T106" s="10">
        <f>IF(G106="","",IF(S106&lt;&gt;"","Завершено",IF(P106&lt;&gt;"","Ожидание оплаты",IF(M106&lt;&gt;"","Входной контроль",IF(K106&lt;&gt;"","Ожидание получения в Ленске",IF(I106&lt;&gt;"","В пути Иркутск → Ленск","Ремонт у подрядчика"))))))</f>
        <v/>
      </c>
      <c r="U106" s="10">
        <f>IF(H106="","",MAX(0,IF(I106&lt;&gt;"",I106,Настройки!$B$2)-H106))</f>
        <v/>
      </c>
      <c r="V106" s="10">
        <f>IF(L106="","",MAX(0,IF(M106&lt;&gt;"",M106,Настройки!$B$2)-L106))</f>
        <v/>
      </c>
      <c r="W106" s="10">
        <f>IF(O106="","",MAX(0,IF(P106&lt;&gt;"",P106,Настройки!$B$2)-O106))</f>
        <v/>
      </c>
      <c r="X106" s="10">
        <f>IF(R106="","",MAX(0,IF(S106&lt;&gt;"",S106,Настройки!$B$2)-R106))</f>
        <v/>
      </c>
      <c r="Y106" s="10">
        <f>MAX(U106:X106)</f>
        <v/>
      </c>
    </row>
    <row r="107">
      <c r="A107" s="9" t="n"/>
      <c r="B107" s="9" t="n"/>
      <c r="C107" s="10">
        <f>IFERROR(INDEX(Оборудование!$B$2:$B$200,MATCH(A107,Оборудование!$A$2:$A$200,0)),"")</f>
        <v/>
      </c>
      <c r="D107" s="10">
        <f>IFERROR(INDEX(Оборудование!$C$2:$C$200,MATCH(A107,Оборудование!$A$2:$A$200,0)),"")</f>
        <v/>
      </c>
      <c r="E107" s="10">
        <f>IFERROR(INDEX(Оборудование!$D$2:$D$200,MATCH(A107,Оборудование!$A$2:$A$200,0)),"")</f>
        <v/>
      </c>
      <c r="F107" s="10">
        <f>IFERROR(INDEX(Оборудование!$H$2:$H$200,MATCH(A107,Оборудование!$A$2:$A$200,0)),"")</f>
        <v/>
      </c>
      <c r="G107" s="11" t="n"/>
      <c r="H107" s="12">
        <f>IF(G107="","",G107+100)</f>
        <v/>
      </c>
      <c r="I107" s="11" t="n"/>
      <c r="J107" s="11" t="n"/>
      <c r="K107" s="11" t="n"/>
      <c r="L107" s="12">
        <f>IF(K107="","",K107+5)</f>
        <v/>
      </c>
      <c r="M107" s="11" t="n"/>
      <c r="N107" s="12">
        <f>IF(M107&lt;&gt;"",M107,IF(L107="","",L107))</f>
        <v/>
      </c>
      <c r="O107" s="12">
        <f>IF(N107="","",N107+40)</f>
        <v/>
      </c>
      <c r="P107" s="11" t="n"/>
      <c r="Q107" s="12">
        <f>IF(P107&lt;&gt;"",P107,IF(O107="","",O107))</f>
        <v/>
      </c>
      <c r="R107" s="12">
        <f>IF(Q107="","",Q107+70)</f>
        <v/>
      </c>
      <c r="S107" s="11" t="n"/>
      <c r="T107" s="10">
        <f>IF(G107="","",IF(S107&lt;&gt;"","Завершено",IF(P107&lt;&gt;"","Ожидание оплаты",IF(M107&lt;&gt;"","Входной контроль",IF(K107&lt;&gt;"","Ожидание получения в Ленске",IF(I107&lt;&gt;"","В пути Иркутск → Ленск","Ремонт у подрядчика"))))))</f>
        <v/>
      </c>
      <c r="U107" s="10">
        <f>IF(H107="","",MAX(0,IF(I107&lt;&gt;"",I107,Настройки!$B$2)-H107))</f>
        <v/>
      </c>
      <c r="V107" s="10">
        <f>IF(L107="","",MAX(0,IF(M107&lt;&gt;"",M107,Настройки!$B$2)-L107))</f>
        <v/>
      </c>
      <c r="W107" s="10">
        <f>IF(O107="","",MAX(0,IF(P107&lt;&gt;"",P107,Настройки!$B$2)-O107))</f>
        <v/>
      </c>
      <c r="X107" s="10">
        <f>IF(R107="","",MAX(0,IF(S107&lt;&gt;"",S107,Настройки!$B$2)-R107))</f>
        <v/>
      </c>
      <c r="Y107" s="10">
        <f>MAX(U107:X107)</f>
        <v/>
      </c>
    </row>
    <row r="108">
      <c r="A108" s="9" t="n"/>
      <c r="B108" s="9" t="n"/>
      <c r="C108" s="10">
        <f>IFERROR(INDEX(Оборудование!$B$2:$B$200,MATCH(A108,Оборудование!$A$2:$A$200,0)),"")</f>
        <v/>
      </c>
      <c r="D108" s="10">
        <f>IFERROR(INDEX(Оборудование!$C$2:$C$200,MATCH(A108,Оборудование!$A$2:$A$200,0)),"")</f>
        <v/>
      </c>
      <c r="E108" s="10">
        <f>IFERROR(INDEX(Оборудование!$D$2:$D$200,MATCH(A108,Оборудование!$A$2:$A$200,0)),"")</f>
        <v/>
      </c>
      <c r="F108" s="10">
        <f>IFERROR(INDEX(Оборудование!$H$2:$H$200,MATCH(A108,Оборудование!$A$2:$A$200,0)),"")</f>
        <v/>
      </c>
      <c r="G108" s="11" t="n"/>
      <c r="H108" s="12">
        <f>IF(G108="","",G108+100)</f>
        <v/>
      </c>
      <c r="I108" s="11" t="n"/>
      <c r="J108" s="11" t="n"/>
      <c r="K108" s="11" t="n"/>
      <c r="L108" s="12">
        <f>IF(K108="","",K108+5)</f>
        <v/>
      </c>
      <c r="M108" s="11" t="n"/>
      <c r="N108" s="12">
        <f>IF(M108&lt;&gt;"",M108,IF(L108="","",L108))</f>
        <v/>
      </c>
      <c r="O108" s="12">
        <f>IF(N108="","",N108+40)</f>
        <v/>
      </c>
      <c r="P108" s="11" t="n"/>
      <c r="Q108" s="12">
        <f>IF(P108&lt;&gt;"",P108,IF(O108="","",O108))</f>
        <v/>
      </c>
      <c r="R108" s="12">
        <f>IF(Q108="","",Q108+70)</f>
        <v/>
      </c>
      <c r="S108" s="11" t="n"/>
      <c r="T108" s="10">
        <f>IF(G108="","",IF(S108&lt;&gt;"","Завершено",IF(P108&lt;&gt;"","Ожидание оплаты",IF(M108&lt;&gt;"","Входной контроль",IF(K108&lt;&gt;"","Ожидание получения в Ленске",IF(I108&lt;&gt;"","В пути Иркутск → Ленск","Ремонт у подрядчика"))))))</f>
        <v/>
      </c>
      <c r="U108" s="10">
        <f>IF(H108="","",MAX(0,IF(I108&lt;&gt;"",I108,Настройки!$B$2)-H108))</f>
        <v/>
      </c>
      <c r="V108" s="10">
        <f>IF(L108="","",MAX(0,IF(M108&lt;&gt;"",M108,Настройки!$B$2)-L108))</f>
        <v/>
      </c>
      <c r="W108" s="10">
        <f>IF(O108="","",MAX(0,IF(P108&lt;&gt;"",P108,Настройки!$B$2)-O108))</f>
        <v/>
      </c>
      <c r="X108" s="10">
        <f>IF(R108="","",MAX(0,IF(S108&lt;&gt;"",S108,Настройки!$B$2)-R108))</f>
        <v/>
      </c>
      <c r="Y108" s="10">
        <f>MAX(U108:X108)</f>
        <v/>
      </c>
    </row>
    <row r="109">
      <c r="A109" s="9" t="n"/>
      <c r="B109" s="9" t="n"/>
      <c r="C109" s="10">
        <f>IFERROR(INDEX(Оборудование!$B$2:$B$200,MATCH(A109,Оборудование!$A$2:$A$200,0)),"")</f>
        <v/>
      </c>
      <c r="D109" s="10">
        <f>IFERROR(INDEX(Оборудование!$C$2:$C$200,MATCH(A109,Оборудование!$A$2:$A$200,0)),"")</f>
        <v/>
      </c>
      <c r="E109" s="10">
        <f>IFERROR(INDEX(Оборудование!$D$2:$D$200,MATCH(A109,Оборудование!$A$2:$A$200,0)),"")</f>
        <v/>
      </c>
      <c r="F109" s="10">
        <f>IFERROR(INDEX(Оборудование!$H$2:$H$200,MATCH(A109,Оборудование!$A$2:$A$200,0)),"")</f>
        <v/>
      </c>
      <c r="G109" s="11" t="n"/>
      <c r="H109" s="12">
        <f>IF(G109="","",G109+100)</f>
        <v/>
      </c>
      <c r="I109" s="11" t="n"/>
      <c r="J109" s="11" t="n"/>
      <c r="K109" s="11" t="n"/>
      <c r="L109" s="12">
        <f>IF(K109="","",K109+5)</f>
        <v/>
      </c>
      <c r="M109" s="11" t="n"/>
      <c r="N109" s="12">
        <f>IF(M109&lt;&gt;"",M109,IF(L109="","",L109))</f>
        <v/>
      </c>
      <c r="O109" s="12">
        <f>IF(N109="","",N109+40)</f>
        <v/>
      </c>
      <c r="P109" s="11" t="n"/>
      <c r="Q109" s="12">
        <f>IF(P109&lt;&gt;"",P109,IF(O109="","",O109))</f>
        <v/>
      </c>
      <c r="R109" s="12">
        <f>IF(Q109="","",Q109+70)</f>
        <v/>
      </c>
      <c r="S109" s="11" t="n"/>
      <c r="T109" s="10">
        <f>IF(G109="","",IF(S109&lt;&gt;"","Завершено",IF(P109&lt;&gt;"","Ожидание оплаты",IF(M109&lt;&gt;"","Входной контроль",IF(K109&lt;&gt;"","Ожидание получения в Ленске",IF(I109&lt;&gt;"","В пути Иркутск → Ленск","Ремонт у подрядчика"))))))</f>
        <v/>
      </c>
      <c r="U109" s="10">
        <f>IF(H109="","",MAX(0,IF(I109&lt;&gt;"",I109,Настройки!$B$2)-H109))</f>
        <v/>
      </c>
      <c r="V109" s="10">
        <f>IF(L109="","",MAX(0,IF(M109&lt;&gt;"",M109,Настройки!$B$2)-L109))</f>
        <v/>
      </c>
      <c r="W109" s="10">
        <f>IF(O109="","",MAX(0,IF(P109&lt;&gt;"",P109,Настройки!$B$2)-O109))</f>
        <v/>
      </c>
      <c r="X109" s="10">
        <f>IF(R109="","",MAX(0,IF(S109&lt;&gt;"",S109,Настройки!$B$2)-R109))</f>
        <v/>
      </c>
      <c r="Y109" s="10">
        <f>MAX(U109:X109)</f>
        <v/>
      </c>
    </row>
    <row r="110">
      <c r="A110" s="9" t="n"/>
      <c r="B110" s="9" t="n"/>
      <c r="C110" s="10">
        <f>IFERROR(INDEX(Оборудование!$B$2:$B$200,MATCH(A110,Оборудование!$A$2:$A$200,0)),"")</f>
        <v/>
      </c>
      <c r="D110" s="10">
        <f>IFERROR(INDEX(Оборудование!$C$2:$C$200,MATCH(A110,Оборудование!$A$2:$A$200,0)),"")</f>
        <v/>
      </c>
      <c r="E110" s="10">
        <f>IFERROR(INDEX(Оборудование!$D$2:$D$200,MATCH(A110,Оборудование!$A$2:$A$200,0)),"")</f>
        <v/>
      </c>
      <c r="F110" s="10">
        <f>IFERROR(INDEX(Оборудование!$H$2:$H$200,MATCH(A110,Оборудование!$A$2:$A$200,0)),"")</f>
        <v/>
      </c>
      <c r="G110" s="11" t="n"/>
      <c r="H110" s="12">
        <f>IF(G110="","",G110+100)</f>
        <v/>
      </c>
      <c r="I110" s="11" t="n"/>
      <c r="J110" s="11" t="n"/>
      <c r="K110" s="11" t="n"/>
      <c r="L110" s="12">
        <f>IF(K110="","",K110+5)</f>
        <v/>
      </c>
      <c r="M110" s="11" t="n"/>
      <c r="N110" s="12">
        <f>IF(M110&lt;&gt;"",M110,IF(L110="","",L110))</f>
        <v/>
      </c>
      <c r="O110" s="12">
        <f>IF(N110="","",N110+40)</f>
        <v/>
      </c>
      <c r="P110" s="11" t="n"/>
      <c r="Q110" s="12">
        <f>IF(P110&lt;&gt;"",P110,IF(O110="","",O110))</f>
        <v/>
      </c>
      <c r="R110" s="12">
        <f>IF(Q110="","",Q110+70)</f>
        <v/>
      </c>
      <c r="S110" s="11" t="n"/>
      <c r="T110" s="10">
        <f>IF(G110="","",IF(S110&lt;&gt;"","Завершено",IF(P110&lt;&gt;"","Ожидание оплаты",IF(M110&lt;&gt;"","Входной контроль",IF(K110&lt;&gt;"","Ожидание получения в Ленске",IF(I110&lt;&gt;"","В пути Иркутск → Ленск","Ремонт у подрядчика"))))))</f>
        <v/>
      </c>
      <c r="U110" s="10">
        <f>IF(H110="","",MAX(0,IF(I110&lt;&gt;"",I110,Настройки!$B$2)-H110))</f>
        <v/>
      </c>
      <c r="V110" s="10">
        <f>IF(L110="","",MAX(0,IF(M110&lt;&gt;"",M110,Настройки!$B$2)-L110))</f>
        <v/>
      </c>
      <c r="W110" s="10">
        <f>IF(O110="","",MAX(0,IF(P110&lt;&gt;"",P110,Настройки!$B$2)-O110))</f>
        <v/>
      </c>
      <c r="X110" s="10">
        <f>IF(R110="","",MAX(0,IF(S110&lt;&gt;"",S110,Настройки!$B$2)-R110))</f>
        <v/>
      </c>
      <c r="Y110" s="10">
        <f>MAX(U110:X110)</f>
        <v/>
      </c>
    </row>
    <row r="111">
      <c r="A111" s="9" t="n"/>
      <c r="B111" s="9" t="n"/>
      <c r="C111" s="10">
        <f>IFERROR(INDEX(Оборудование!$B$2:$B$200,MATCH(A111,Оборудование!$A$2:$A$200,0)),"")</f>
        <v/>
      </c>
      <c r="D111" s="10">
        <f>IFERROR(INDEX(Оборудование!$C$2:$C$200,MATCH(A111,Оборудование!$A$2:$A$200,0)),"")</f>
        <v/>
      </c>
      <c r="E111" s="10">
        <f>IFERROR(INDEX(Оборудование!$D$2:$D$200,MATCH(A111,Оборудование!$A$2:$A$200,0)),"")</f>
        <v/>
      </c>
      <c r="F111" s="10">
        <f>IFERROR(INDEX(Оборудование!$H$2:$H$200,MATCH(A111,Оборудование!$A$2:$A$200,0)),"")</f>
        <v/>
      </c>
      <c r="G111" s="11" t="n"/>
      <c r="H111" s="12">
        <f>IF(G111="","",G111+100)</f>
        <v/>
      </c>
      <c r="I111" s="11" t="n"/>
      <c r="J111" s="11" t="n"/>
      <c r="K111" s="11" t="n"/>
      <c r="L111" s="12">
        <f>IF(K111="","",K111+5)</f>
        <v/>
      </c>
      <c r="M111" s="11" t="n"/>
      <c r="N111" s="12">
        <f>IF(M111&lt;&gt;"",M111,IF(L111="","",L111))</f>
        <v/>
      </c>
      <c r="O111" s="12">
        <f>IF(N111="","",N111+40)</f>
        <v/>
      </c>
      <c r="P111" s="11" t="n"/>
      <c r="Q111" s="12">
        <f>IF(P111&lt;&gt;"",P111,IF(O111="","",O111))</f>
        <v/>
      </c>
      <c r="R111" s="12">
        <f>IF(Q111="","",Q111+70)</f>
        <v/>
      </c>
      <c r="S111" s="11" t="n"/>
      <c r="T111" s="10">
        <f>IF(G111="","",IF(S111&lt;&gt;"","Завершено",IF(P111&lt;&gt;"","Ожидание оплаты",IF(M111&lt;&gt;"","Входной контроль",IF(K111&lt;&gt;"","Ожидание получения в Ленске",IF(I111&lt;&gt;"","В пути Иркутск → Ленск","Ремонт у подрядчика"))))))</f>
        <v/>
      </c>
      <c r="U111" s="10">
        <f>IF(H111="","",MAX(0,IF(I111&lt;&gt;"",I111,Настройки!$B$2)-H111))</f>
        <v/>
      </c>
      <c r="V111" s="10">
        <f>IF(L111="","",MAX(0,IF(M111&lt;&gt;"",M111,Настройки!$B$2)-L111))</f>
        <v/>
      </c>
      <c r="W111" s="10">
        <f>IF(O111="","",MAX(0,IF(P111&lt;&gt;"",P111,Настройки!$B$2)-O111))</f>
        <v/>
      </c>
      <c r="X111" s="10">
        <f>IF(R111="","",MAX(0,IF(S111&lt;&gt;"",S111,Настройки!$B$2)-R111))</f>
        <v/>
      </c>
      <c r="Y111" s="10">
        <f>MAX(U111:X111)</f>
        <v/>
      </c>
    </row>
    <row r="112">
      <c r="A112" s="9" t="n"/>
      <c r="B112" s="9" t="n"/>
      <c r="C112" s="10">
        <f>IFERROR(INDEX(Оборудование!$B$2:$B$200,MATCH(A112,Оборудование!$A$2:$A$200,0)),"")</f>
        <v/>
      </c>
      <c r="D112" s="10">
        <f>IFERROR(INDEX(Оборудование!$C$2:$C$200,MATCH(A112,Оборудование!$A$2:$A$200,0)),"")</f>
        <v/>
      </c>
      <c r="E112" s="10">
        <f>IFERROR(INDEX(Оборудование!$D$2:$D$200,MATCH(A112,Оборудование!$A$2:$A$200,0)),"")</f>
        <v/>
      </c>
      <c r="F112" s="10">
        <f>IFERROR(INDEX(Оборудование!$H$2:$H$200,MATCH(A112,Оборудование!$A$2:$A$200,0)),"")</f>
        <v/>
      </c>
      <c r="G112" s="11" t="n"/>
      <c r="H112" s="12">
        <f>IF(G112="","",G112+100)</f>
        <v/>
      </c>
      <c r="I112" s="11" t="n"/>
      <c r="J112" s="11" t="n"/>
      <c r="K112" s="11" t="n"/>
      <c r="L112" s="12">
        <f>IF(K112="","",K112+5)</f>
        <v/>
      </c>
      <c r="M112" s="11" t="n"/>
      <c r="N112" s="12">
        <f>IF(M112&lt;&gt;"",M112,IF(L112="","",L112))</f>
        <v/>
      </c>
      <c r="O112" s="12">
        <f>IF(N112="","",N112+40)</f>
        <v/>
      </c>
      <c r="P112" s="11" t="n"/>
      <c r="Q112" s="12">
        <f>IF(P112&lt;&gt;"",P112,IF(O112="","",O112))</f>
        <v/>
      </c>
      <c r="R112" s="12">
        <f>IF(Q112="","",Q112+70)</f>
        <v/>
      </c>
      <c r="S112" s="11" t="n"/>
      <c r="T112" s="10">
        <f>IF(G112="","",IF(S112&lt;&gt;"","Завершено",IF(P112&lt;&gt;"","Ожидание оплаты",IF(M112&lt;&gt;"","Входной контроль",IF(K112&lt;&gt;"","Ожидание получения в Ленске",IF(I112&lt;&gt;"","В пути Иркутск → Ленск","Ремонт у подрядчика"))))))</f>
        <v/>
      </c>
      <c r="U112" s="10">
        <f>IF(H112="","",MAX(0,IF(I112&lt;&gt;"",I112,Настройки!$B$2)-H112))</f>
        <v/>
      </c>
      <c r="V112" s="10">
        <f>IF(L112="","",MAX(0,IF(M112&lt;&gt;"",M112,Настройки!$B$2)-L112))</f>
        <v/>
      </c>
      <c r="W112" s="10">
        <f>IF(O112="","",MAX(0,IF(P112&lt;&gt;"",P112,Настройки!$B$2)-O112))</f>
        <v/>
      </c>
      <c r="X112" s="10">
        <f>IF(R112="","",MAX(0,IF(S112&lt;&gt;"",S112,Настройки!$B$2)-R112))</f>
        <v/>
      </c>
      <c r="Y112" s="10">
        <f>MAX(U112:X112)</f>
        <v/>
      </c>
    </row>
    <row r="113">
      <c r="A113" s="9" t="n"/>
      <c r="B113" s="9" t="n"/>
      <c r="C113" s="10">
        <f>IFERROR(INDEX(Оборудование!$B$2:$B$200,MATCH(A113,Оборудование!$A$2:$A$200,0)),"")</f>
        <v/>
      </c>
      <c r="D113" s="10">
        <f>IFERROR(INDEX(Оборудование!$C$2:$C$200,MATCH(A113,Оборудование!$A$2:$A$200,0)),"")</f>
        <v/>
      </c>
      <c r="E113" s="10">
        <f>IFERROR(INDEX(Оборудование!$D$2:$D$200,MATCH(A113,Оборудование!$A$2:$A$200,0)),"")</f>
        <v/>
      </c>
      <c r="F113" s="10">
        <f>IFERROR(INDEX(Оборудование!$H$2:$H$200,MATCH(A113,Оборудование!$A$2:$A$200,0)),"")</f>
        <v/>
      </c>
      <c r="G113" s="11" t="n"/>
      <c r="H113" s="12">
        <f>IF(G113="","",G113+100)</f>
        <v/>
      </c>
      <c r="I113" s="11" t="n"/>
      <c r="J113" s="11" t="n"/>
      <c r="K113" s="11" t="n"/>
      <c r="L113" s="12">
        <f>IF(K113="","",K113+5)</f>
        <v/>
      </c>
      <c r="M113" s="11" t="n"/>
      <c r="N113" s="12">
        <f>IF(M113&lt;&gt;"",M113,IF(L113="","",L113))</f>
        <v/>
      </c>
      <c r="O113" s="12">
        <f>IF(N113="","",N113+40)</f>
        <v/>
      </c>
      <c r="P113" s="11" t="n"/>
      <c r="Q113" s="12">
        <f>IF(P113&lt;&gt;"",P113,IF(O113="","",O113))</f>
        <v/>
      </c>
      <c r="R113" s="12">
        <f>IF(Q113="","",Q113+70)</f>
        <v/>
      </c>
      <c r="S113" s="11" t="n"/>
      <c r="T113" s="10">
        <f>IF(G113="","",IF(S113&lt;&gt;"","Завершено",IF(P113&lt;&gt;"","Ожидание оплаты",IF(M113&lt;&gt;"","Входной контроль",IF(K113&lt;&gt;"","Ожидание получения в Ленске",IF(I113&lt;&gt;"","В пути Иркутск → Ленск","Ремонт у подрядчика"))))))</f>
        <v/>
      </c>
      <c r="U113" s="10">
        <f>IF(H113="","",MAX(0,IF(I113&lt;&gt;"",I113,Настройки!$B$2)-H113))</f>
        <v/>
      </c>
      <c r="V113" s="10">
        <f>IF(L113="","",MAX(0,IF(M113&lt;&gt;"",M113,Настройки!$B$2)-L113))</f>
        <v/>
      </c>
      <c r="W113" s="10">
        <f>IF(O113="","",MAX(0,IF(P113&lt;&gt;"",P113,Настройки!$B$2)-O113))</f>
        <v/>
      </c>
      <c r="X113" s="10">
        <f>IF(R113="","",MAX(0,IF(S113&lt;&gt;"",S113,Настройки!$B$2)-R113))</f>
        <v/>
      </c>
      <c r="Y113" s="10">
        <f>MAX(U113:X113)</f>
        <v/>
      </c>
    </row>
    <row r="114">
      <c r="A114" s="9" t="n"/>
      <c r="B114" s="9" t="n"/>
      <c r="C114" s="10">
        <f>IFERROR(INDEX(Оборудование!$B$2:$B$200,MATCH(A114,Оборудование!$A$2:$A$200,0)),"")</f>
        <v/>
      </c>
      <c r="D114" s="10">
        <f>IFERROR(INDEX(Оборудование!$C$2:$C$200,MATCH(A114,Оборудование!$A$2:$A$200,0)),"")</f>
        <v/>
      </c>
      <c r="E114" s="10">
        <f>IFERROR(INDEX(Оборудование!$D$2:$D$200,MATCH(A114,Оборудование!$A$2:$A$200,0)),"")</f>
        <v/>
      </c>
      <c r="F114" s="10">
        <f>IFERROR(INDEX(Оборудование!$H$2:$H$200,MATCH(A114,Оборудование!$A$2:$A$200,0)),"")</f>
        <v/>
      </c>
      <c r="G114" s="11" t="n"/>
      <c r="H114" s="12">
        <f>IF(G114="","",G114+100)</f>
        <v/>
      </c>
      <c r="I114" s="11" t="n"/>
      <c r="J114" s="11" t="n"/>
      <c r="K114" s="11" t="n"/>
      <c r="L114" s="12">
        <f>IF(K114="","",K114+5)</f>
        <v/>
      </c>
      <c r="M114" s="11" t="n"/>
      <c r="N114" s="12">
        <f>IF(M114&lt;&gt;"",M114,IF(L114="","",L114))</f>
        <v/>
      </c>
      <c r="O114" s="12">
        <f>IF(N114="","",N114+40)</f>
        <v/>
      </c>
      <c r="P114" s="11" t="n"/>
      <c r="Q114" s="12">
        <f>IF(P114&lt;&gt;"",P114,IF(O114="","",O114))</f>
        <v/>
      </c>
      <c r="R114" s="12">
        <f>IF(Q114="","",Q114+70)</f>
        <v/>
      </c>
      <c r="S114" s="11" t="n"/>
      <c r="T114" s="10">
        <f>IF(G114="","",IF(S114&lt;&gt;"","Завершено",IF(P114&lt;&gt;"","Ожидание оплаты",IF(M114&lt;&gt;"","Входной контроль",IF(K114&lt;&gt;"","Ожидание получения в Ленске",IF(I114&lt;&gt;"","В пути Иркутск → Ленск","Ремонт у подрядчика"))))))</f>
        <v/>
      </c>
      <c r="U114" s="10">
        <f>IF(H114="","",MAX(0,IF(I114&lt;&gt;"",I114,Настройки!$B$2)-H114))</f>
        <v/>
      </c>
      <c r="V114" s="10">
        <f>IF(L114="","",MAX(0,IF(M114&lt;&gt;"",M114,Настройки!$B$2)-L114))</f>
        <v/>
      </c>
      <c r="W114" s="10">
        <f>IF(O114="","",MAX(0,IF(P114&lt;&gt;"",P114,Настройки!$B$2)-O114))</f>
        <v/>
      </c>
      <c r="X114" s="10">
        <f>IF(R114="","",MAX(0,IF(S114&lt;&gt;"",S114,Настройки!$B$2)-R114))</f>
        <v/>
      </c>
      <c r="Y114" s="10">
        <f>MAX(U114:X114)</f>
        <v/>
      </c>
    </row>
    <row r="115">
      <c r="A115" s="9" t="n"/>
      <c r="B115" s="9" t="n"/>
      <c r="C115" s="10">
        <f>IFERROR(INDEX(Оборудование!$B$2:$B$200,MATCH(A115,Оборудование!$A$2:$A$200,0)),"")</f>
        <v/>
      </c>
      <c r="D115" s="10">
        <f>IFERROR(INDEX(Оборудование!$C$2:$C$200,MATCH(A115,Оборудование!$A$2:$A$200,0)),"")</f>
        <v/>
      </c>
      <c r="E115" s="10">
        <f>IFERROR(INDEX(Оборудование!$D$2:$D$200,MATCH(A115,Оборудование!$A$2:$A$200,0)),"")</f>
        <v/>
      </c>
      <c r="F115" s="10">
        <f>IFERROR(INDEX(Оборудование!$H$2:$H$200,MATCH(A115,Оборудование!$A$2:$A$200,0)),"")</f>
        <v/>
      </c>
      <c r="G115" s="11" t="n"/>
      <c r="H115" s="12">
        <f>IF(G115="","",G115+100)</f>
        <v/>
      </c>
      <c r="I115" s="11" t="n"/>
      <c r="J115" s="11" t="n"/>
      <c r="K115" s="11" t="n"/>
      <c r="L115" s="12">
        <f>IF(K115="","",K115+5)</f>
        <v/>
      </c>
      <c r="M115" s="11" t="n"/>
      <c r="N115" s="12">
        <f>IF(M115&lt;&gt;"",M115,IF(L115="","",L115))</f>
        <v/>
      </c>
      <c r="O115" s="12">
        <f>IF(N115="","",N115+40)</f>
        <v/>
      </c>
      <c r="P115" s="11" t="n"/>
      <c r="Q115" s="12">
        <f>IF(P115&lt;&gt;"",P115,IF(O115="","",O115))</f>
        <v/>
      </c>
      <c r="R115" s="12">
        <f>IF(Q115="","",Q115+70)</f>
        <v/>
      </c>
      <c r="S115" s="11" t="n"/>
      <c r="T115" s="10">
        <f>IF(G115="","",IF(S115&lt;&gt;"","Завершено",IF(P115&lt;&gt;"","Ожидание оплаты",IF(M115&lt;&gt;"","Входной контроль",IF(K115&lt;&gt;"","Ожидание получения в Ленске",IF(I115&lt;&gt;"","В пути Иркутск → Ленск","Ремонт у подрядчика"))))))</f>
        <v/>
      </c>
      <c r="U115" s="10">
        <f>IF(H115="","",MAX(0,IF(I115&lt;&gt;"",I115,Настройки!$B$2)-H115))</f>
        <v/>
      </c>
      <c r="V115" s="10">
        <f>IF(L115="","",MAX(0,IF(M115&lt;&gt;"",M115,Настройки!$B$2)-L115))</f>
        <v/>
      </c>
      <c r="W115" s="10">
        <f>IF(O115="","",MAX(0,IF(P115&lt;&gt;"",P115,Настройки!$B$2)-O115))</f>
        <v/>
      </c>
      <c r="X115" s="10">
        <f>IF(R115="","",MAX(0,IF(S115&lt;&gt;"",S115,Настройки!$B$2)-R115))</f>
        <v/>
      </c>
      <c r="Y115" s="10">
        <f>MAX(U115:X115)</f>
        <v/>
      </c>
    </row>
    <row r="116">
      <c r="A116" s="9" t="n"/>
      <c r="B116" s="9" t="n"/>
      <c r="C116" s="10">
        <f>IFERROR(INDEX(Оборудование!$B$2:$B$200,MATCH(A116,Оборудование!$A$2:$A$200,0)),"")</f>
        <v/>
      </c>
      <c r="D116" s="10">
        <f>IFERROR(INDEX(Оборудование!$C$2:$C$200,MATCH(A116,Оборудование!$A$2:$A$200,0)),"")</f>
        <v/>
      </c>
      <c r="E116" s="10">
        <f>IFERROR(INDEX(Оборудование!$D$2:$D$200,MATCH(A116,Оборудование!$A$2:$A$200,0)),"")</f>
        <v/>
      </c>
      <c r="F116" s="10">
        <f>IFERROR(INDEX(Оборудование!$H$2:$H$200,MATCH(A116,Оборудование!$A$2:$A$200,0)),"")</f>
        <v/>
      </c>
      <c r="G116" s="11" t="n"/>
      <c r="H116" s="12">
        <f>IF(G116="","",G116+100)</f>
        <v/>
      </c>
      <c r="I116" s="11" t="n"/>
      <c r="J116" s="11" t="n"/>
      <c r="K116" s="11" t="n"/>
      <c r="L116" s="12">
        <f>IF(K116="","",K116+5)</f>
        <v/>
      </c>
      <c r="M116" s="11" t="n"/>
      <c r="N116" s="12">
        <f>IF(M116&lt;&gt;"",M116,IF(L116="","",L116))</f>
        <v/>
      </c>
      <c r="O116" s="12">
        <f>IF(N116="","",N116+40)</f>
        <v/>
      </c>
      <c r="P116" s="11" t="n"/>
      <c r="Q116" s="12">
        <f>IF(P116&lt;&gt;"",P116,IF(O116="","",O116))</f>
        <v/>
      </c>
      <c r="R116" s="12">
        <f>IF(Q116="","",Q116+70)</f>
        <v/>
      </c>
      <c r="S116" s="11" t="n"/>
      <c r="T116" s="10">
        <f>IF(G116="","",IF(S116&lt;&gt;"","Завершено",IF(P116&lt;&gt;"","Ожидание оплаты",IF(M116&lt;&gt;"","Входной контроль",IF(K116&lt;&gt;"","Ожидание получения в Ленске",IF(I116&lt;&gt;"","В пути Иркутск → Ленск","Ремонт у подрядчика"))))))</f>
        <v/>
      </c>
      <c r="U116" s="10">
        <f>IF(H116="","",MAX(0,IF(I116&lt;&gt;"",I116,Настройки!$B$2)-H116))</f>
        <v/>
      </c>
      <c r="V116" s="10">
        <f>IF(L116="","",MAX(0,IF(M116&lt;&gt;"",M116,Настройки!$B$2)-L116))</f>
        <v/>
      </c>
      <c r="W116" s="10">
        <f>IF(O116="","",MAX(0,IF(P116&lt;&gt;"",P116,Настройки!$B$2)-O116))</f>
        <v/>
      </c>
      <c r="X116" s="10">
        <f>IF(R116="","",MAX(0,IF(S116&lt;&gt;"",S116,Настройки!$B$2)-R116))</f>
        <v/>
      </c>
      <c r="Y116" s="10">
        <f>MAX(U116:X116)</f>
        <v/>
      </c>
    </row>
    <row r="117">
      <c r="A117" s="9" t="n"/>
      <c r="B117" s="9" t="n"/>
      <c r="C117" s="10">
        <f>IFERROR(INDEX(Оборудование!$B$2:$B$200,MATCH(A117,Оборудование!$A$2:$A$200,0)),"")</f>
        <v/>
      </c>
      <c r="D117" s="10">
        <f>IFERROR(INDEX(Оборудование!$C$2:$C$200,MATCH(A117,Оборудование!$A$2:$A$200,0)),"")</f>
        <v/>
      </c>
      <c r="E117" s="10">
        <f>IFERROR(INDEX(Оборудование!$D$2:$D$200,MATCH(A117,Оборудование!$A$2:$A$200,0)),"")</f>
        <v/>
      </c>
      <c r="F117" s="10">
        <f>IFERROR(INDEX(Оборудование!$H$2:$H$200,MATCH(A117,Оборудование!$A$2:$A$200,0)),"")</f>
        <v/>
      </c>
      <c r="G117" s="11" t="n"/>
      <c r="H117" s="12">
        <f>IF(G117="","",G117+100)</f>
        <v/>
      </c>
      <c r="I117" s="11" t="n"/>
      <c r="J117" s="11" t="n"/>
      <c r="K117" s="11" t="n"/>
      <c r="L117" s="12">
        <f>IF(K117="","",K117+5)</f>
        <v/>
      </c>
      <c r="M117" s="11" t="n"/>
      <c r="N117" s="12">
        <f>IF(M117&lt;&gt;"",M117,IF(L117="","",L117))</f>
        <v/>
      </c>
      <c r="O117" s="12">
        <f>IF(N117="","",N117+40)</f>
        <v/>
      </c>
      <c r="P117" s="11" t="n"/>
      <c r="Q117" s="12">
        <f>IF(P117&lt;&gt;"",P117,IF(O117="","",O117))</f>
        <v/>
      </c>
      <c r="R117" s="12">
        <f>IF(Q117="","",Q117+70)</f>
        <v/>
      </c>
      <c r="S117" s="11" t="n"/>
      <c r="T117" s="10">
        <f>IF(G117="","",IF(S117&lt;&gt;"","Завершено",IF(P117&lt;&gt;"","Ожидание оплаты",IF(M117&lt;&gt;"","Входной контроль",IF(K117&lt;&gt;"","Ожидание получения в Ленске",IF(I117&lt;&gt;"","В пути Иркутск → Ленск","Ремонт у подрядчика"))))))</f>
        <v/>
      </c>
      <c r="U117" s="10">
        <f>IF(H117="","",MAX(0,IF(I117&lt;&gt;"",I117,Настройки!$B$2)-H117))</f>
        <v/>
      </c>
      <c r="V117" s="10">
        <f>IF(L117="","",MAX(0,IF(M117&lt;&gt;"",M117,Настройки!$B$2)-L117))</f>
        <v/>
      </c>
      <c r="W117" s="10">
        <f>IF(O117="","",MAX(0,IF(P117&lt;&gt;"",P117,Настройки!$B$2)-O117))</f>
        <v/>
      </c>
      <c r="X117" s="10">
        <f>IF(R117="","",MAX(0,IF(S117&lt;&gt;"",S117,Настройки!$B$2)-R117))</f>
        <v/>
      </c>
      <c r="Y117" s="10">
        <f>MAX(U117:X117)</f>
        <v/>
      </c>
    </row>
    <row r="118">
      <c r="A118" s="9" t="n"/>
      <c r="B118" s="9" t="n"/>
      <c r="C118" s="10">
        <f>IFERROR(INDEX(Оборудование!$B$2:$B$200,MATCH(A118,Оборудование!$A$2:$A$200,0)),"")</f>
        <v/>
      </c>
      <c r="D118" s="10">
        <f>IFERROR(INDEX(Оборудование!$C$2:$C$200,MATCH(A118,Оборудование!$A$2:$A$200,0)),"")</f>
        <v/>
      </c>
      <c r="E118" s="10">
        <f>IFERROR(INDEX(Оборудование!$D$2:$D$200,MATCH(A118,Оборудование!$A$2:$A$200,0)),"")</f>
        <v/>
      </c>
      <c r="F118" s="10">
        <f>IFERROR(INDEX(Оборудование!$H$2:$H$200,MATCH(A118,Оборудование!$A$2:$A$200,0)),"")</f>
        <v/>
      </c>
      <c r="G118" s="11" t="n"/>
      <c r="H118" s="12">
        <f>IF(G118="","",G118+100)</f>
        <v/>
      </c>
      <c r="I118" s="11" t="n"/>
      <c r="J118" s="11" t="n"/>
      <c r="K118" s="11" t="n"/>
      <c r="L118" s="12">
        <f>IF(K118="","",K118+5)</f>
        <v/>
      </c>
      <c r="M118" s="11" t="n"/>
      <c r="N118" s="12">
        <f>IF(M118&lt;&gt;"",M118,IF(L118="","",L118))</f>
        <v/>
      </c>
      <c r="O118" s="12">
        <f>IF(N118="","",N118+40)</f>
        <v/>
      </c>
      <c r="P118" s="11" t="n"/>
      <c r="Q118" s="12">
        <f>IF(P118&lt;&gt;"",P118,IF(O118="","",O118))</f>
        <v/>
      </c>
      <c r="R118" s="12">
        <f>IF(Q118="","",Q118+70)</f>
        <v/>
      </c>
      <c r="S118" s="11" t="n"/>
      <c r="T118" s="10">
        <f>IF(G118="","",IF(S118&lt;&gt;"","Завершено",IF(P118&lt;&gt;"","Ожидание оплаты",IF(M118&lt;&gt;"","Входной контроль",IF(K118&lt;&gt;"","Ожидание получения в Ленске",IF(I118&lt;&gt;"","В пути Иркутск → Ленск","Ремонт у подрядчика"))))))</f>
        <v/>
      </c>
      <c r="U118" s="10">
        <f>IF(H118="","",MAX(0,IF(I118&lt;&gt;"",I118,Настройки!$B$2)-H118))</f>
        <v/>
      </c>
      <c r="V118" s="10">
        <f>IF(L118="","",MAX(0,IF(M118&lt;&gt;"",M118,Настройки!$B$2)-L118))</f>
        <v/>
      </c>
      <c r="W118" s="10">
        <f>IF(O118="","",MAX(0,IF(P118&lt;&gt;"",P118,Настройки!$B$2)-O118))</f>
        <v/>
      </c>
      <c r="X118" s="10">
        <f>IF(R118="","",MAX(0,IF(S118&lt;&gt;"",S118,Настройки!$B$2)-R118))</f>
        <v/>
      </c>
      <c r="Y118" s="10">
        <f>MAX(U118:X118)</f>
        <v/>
      </c>
    </row>
    <row r="119">
      <c r="A119" s="9" t="n"/>
      <c r="B119" s="9" t="n"/>
      <c r="C119" s="10">
        <f>IFERROR(INDEX(Оборудование!$B$2:$B$200,MATCH(A119,Оборудование!$A$2:$A$200,0)),"")</f>
        <v/>
      </c>
      <c r="D119" s="10">
        <f>IFERROR(INDEX(Оборудование!$C$2:$C$200,MATCH(A119,Оборудование!$A$2:$A$200,0)),"")</f>
        <v/>
      </c>
      <c r="E119" s="10">
        <f>IFERROR(INDEX(Оборудование!$D$2:$D$200,MATCH(A119,Оборудование!$A$2:$A$200,0)),"")</f>
        <v/>
      </c>
      <c r="F119" s="10">
        <f>IFERROR(INDEX(Оборудование!$H$2:$H$200,MATCH(A119,Оборудование!$A$2:$A$200,0)),"")</f>
        <v/>
      </c>
      <c r="G119" s="11" t="n"/>
      <c r="H119" s="12">
        <f>IF(G119="","",G119+100)</f>
        <v/>
      </c>
      <c r="I119" s="11" t="n"/>
      <c r="J119" s="11" t="n"/>
      <c r="K119" s="11" t="n"/>
      <c r="L119" s="12">
        <f>IF(K119="","",K119+5)</f>
        <v/>
      </c>
      <c r="M119" s="11" t="n"/>
      <c r="N119" s="12">
        <f>IF(M119&lt;&gt;"",M119,IF(L119="","",L119))</f>
        <v/>
      </c>
      <c r="O119" s="12">
        <f>IF(N119="","",N119+40)</f>
        <v/>
      </c>
      <c r="P119" s="11" t="n"/>
      <c r="Q119" s="12">
        <f>IF(P119&lt;&gt;"",P119,IF(O119="","",O119))</f>
        <v/>
      </c>
      <c r="R119" s="12">
        <f>IF(Q119="","",Q119+70)</f>
        <v/>
      </c>
      <c r="S119" s="11" t="n"/>
      <c r="T119" s="10">
        <f>IF(G119="","",IF(S119&lt;&gt;"","Завершено",IF(P119&lt;&gt;"","Ожидание оплаты",IF(M119&lt;&gt;"","Входной контроль",IF(K119&lt;&gt;"","Ожидание получения в Ленске",IF(I119&lt;&gt;"","В пути Иркутск → Ленск","Ремонт у подрядчика"))))))</f>
        <v/>
      </c>
      <c r="U119" s="10">
        <f>IF(H119="","",MAX(0,IF(I119&lt;&gt;"",I119,Настройки!$B$2)-H119))</f>
        <v/>
      </c>
      <c r="V119" s="10">
        <f>IF(L119="","",MAX(0,IF(M119&lt;&gt;"",M119,Настройки!$B$2)-L119))</f>
        <v/>
      </c>
      <c r="W119" s="10">
        <f>IF(O119="","",MAX(0,IF(P119&lt;&gt;"",P119,Настройки!$B$2)-O119))</f>
        <v/>
      </c>
      <c r="X119" s="10">
        <f>IF(R119="","",MAX(0,IF(S119&lt;&gt;"",S119,Настройки!$B$2)-R119))</f>
        <v/>
      </c>
      <c r="Y119" s="10">
        <f>MAX(U119:X119)</f>
        <v/>
      </c>
    </row>
    <row r="120">
      <c r="A120" s="9" t="n"/>
      <c r="B120" s="9" t="n"/>
      <c r="C120" s="10">
        <f>IFERROR(INDEX(Оборудование!$B$2:$B$200,MATCH(A120,Оборудование!$A$2:$A$200,0)),"")</f>
        <v/>
      </c>
      <c r="D120" s="10">
        <f>IFERROR(INDEX(Оборудование!$C$2:$C$200,MATCH(A120,Оборудование!$A$2:$A$200,0)),"")</f>
        <v/>
      </c>
      <c r="E120" s="10">
        <f>IFERROR(INDEX(Оборудование!$D$2:$D$200,MATCH(A120,Оборудование!$A$2:$A$200,0)),"")</f>
        <v/>
      </c>
      <c r="F120" s="10">
        <f>IFERROR(INDEX(Оборудование!$H$2:$H$200,MATCH(A120,Оборудование!$A$2:$A$200,0)),"")</f>
        <v/>
      </c>
      <c r="G120" s="11" t="n"/>
      <c r="H120" s="12">
        <f>IF(G120="","",G120+100)</f>
        <v/>
      </c>
      <c r="I120" s="11" t="n"/>
      <c r="J120" s="11" t="n"/>
      <c r="K120" s="11" t="n"/>
      <c r="L120" s="12">
        <f>IF(K120="","",K120+5)</f>
        <v/>
      </c>
      <c r="M120" s="11" t="n"/>
      <c r="N120" s="12">
        <f>IF(M120&lt;&gt;"",M120,IF(L120="","",L120))</f>
        <v/>
      </c>
      <c r="O120" s="12">
        <f>IF(N120="","",N120+40)</f>
        <v/>
      </c>
      <c r="P120" s="11" t="n"/>
      <c r="Q120" s="12">
        <f>IF(P120&lt;&gt;"",P120,IF(O120="","",O120))</f>
        <v/>
      </c>
      <c r="R120" s="12">
        <f>IF(Q120="","",Q120+70)</f>
        <v/>
      </c>
      <c r="S120" s="11" t="n"/>
      <c r="T120" s="10">
        <f>IF(G120="","",IF(S120&lt;&gt;"","Завершено",IF(P120&lt;&gt;"","Ожидание оплаты",IF(M120&lt;&gt;"","Входной контроль",IF(K120&lt;&gt;"","Ожидание получения в Ленске",IF(I120&lt;&gt;"","В пути Иркутск → Ленск","Ремонт у подрядчика"))))))</f>
        <v/>
      </c>
      <c r="U120" s="10">
        <f>IF(H120="","",MAX(0,IF(I120&lt;&gt;"",I120,Настройки!$B$2)-H120))</f>
        <v/>
      </c>
      <c r="V120" s="10">
        <f>IF(L120="","",MAX(0,IF(M120&lt;&gt;"",M120,Настройки!$B$2)-L120))</f>
        <v/>
      </c>
      <c r="W120" s="10">
        <f>IF(O120="","",MAX(0,IF(P120&lt;&gt;"",P120,Настройки!$B$2)-O120))</f>
        <v/>
      </c>
      <c r="X120" s="10">
        <f>IF(R120="","",MAX(0,IF(S120&lt;&gt;"",S120,Настройки!$B$2)-R120))</f>
        <v/>
      </c>
      <c r="Y120" s="10">
        <f>MAX(U120:X120)</f>
        <v/>
      </c>
    </row>
    <row r="121">
      <c r="A121" s="9" t="n"/>
      <c r="B121" s="9" t="n"/>
      <c r="C121" s="10">
        <f>IFERROR(INDEX(Оборудование!$B$2:$B$200,MATCH(A121,Оборудование!$A$2:$A$200,0)),"")</f>
        <v/>
      </c>
      <c r="D121" s="10">
        <f>IFERROR(INDEX(Оборудование!$C$2:$C$200,MATCH(A121,Оборудование!$A$2:$A$200,0)),"")</f>
        <v/>
      </c>
      <c r="E121" s="10">
        <f>IFERROR(INDEX(Оборудование!$D$2:$D$200,MATCH(A121,Оборудование!$A$2:$A$200,0)),"")</f>
        <v/>
      </c>
      <c r="F121" s="10">
        <f>IFERROR(INDEX(Оборудование!$H$2:$H$200,MATCH(A121,Оборудование!$A$2:$A$200,0)),"")</f>
        <v/>
      </c>
      <c r="G121" s="11" t="n"/>
      <c r="H121" s="12">
        <f>IF(G121="","",G121+100)</f>
        <v/>
      </c>
      <c r="I121" s="11" t="n"/>
      <c r="J121" s="11" t="n"/>
      <c r="K121" s="11" t="n"/>
      <c r="L121" s="12">
        <f>IF(K121="","",K121+5)</f>
        <v/>
      </c>
      <c r="M121" s="11" t="n"/>
      <c r="N121" s="12">
        <f>IF(M121&lt;&gt;"",M121,IF(L121="","",L121))</f>
        <v/>
      </c>
      <c r="O121" s="12">
        <f>IF(N121="","",N121+40)</f>
        <v/>
      </c>
      <c r="P121" s="11" t="n"/>
      <c r="Q121" s="12">
        <f>IF(P121&lt;&gt;"",P121,IF(O121="","",O121))</f>
        <v/>
      </c>
      <c r="R121" s="12">
        <f>IF(Q121="","",Q121+70)</f>
        <v/>
      </c>
      <c r="S121" s="11" t="n"/>
      <c r="T121" s="10">
        <f>IF(G121="","",IF(S121&lt;&gt;"","Завершено",IF(P121&lt;&gt;"","Ожидание оплаты",IF(M121&lt;&gt;"","Входной контроль",IF(K121&lt;&gt;"","Ожидание получения в Ленске",IF(I121&lt;&gt;"","В пути Иркутск → Ленск","Ремонт у подрядчика"))))))</f>
        <v/>
      </c>
      <c r="U121" s="10">
        <f>IF(H121="","",MAX(0,IF(I121&lt;&gt;"",I121,Настройки!$B$2)-H121))</f>
        <v/>
      </c>
      <c r="V121" s="10">
        <f>IF(L121="","",MAX(0,IF(M121&lt;&gt;"",M121,Настройки!$B$2)-L121))</f>
        <v/>
      </c>
      <c r="W121" s="10">
        <f>IF(O121="","",MAX(0,IF(P121&lt;&gt;"",P121,Настройки!$B$2)-O121))</f>
        <v/>
      </c>
      <c r="X121" s="10">
        <f>IF(R121="","",MAX(0,IF(S121&lt;&gt;"",S121,Настройки!$B$2)-R121))</f>
        <v/>
      </c>
      <c r="Y121" s="10">
        <f>MAX(U121:X121)</f>
        <v/>
      </c>
    </row>
    <row r="122">
      <c r="A122" s="9" t="n"/>
      <c r="B122" s="9" t="n"/>
      <c r="C122" s="10">
        <f>IFERROR(INDEX(Оборудование!$B$2:$B$200,MATCH(A122,Оборудование!$A$2:$A$200,0)),"")</f>
        <v/>
      </c>
      <c r="D122" s="10">
        <f>IFERROR(INDEX(Оборудование!$C$2:$C$200,MATCH(A122,Оборудование!$A$2:$A$200,0)),"")</f>
        <v/>
      </c>
      <c r="E122" s="10">
        <f>IFERROR(INDEX(Оборудование!$D$2:$D$200,MATCH(A122,Оборудование!$A$2:$A$200,0)),"")</f>
        <v/>
      </c>
      <c r="F122" s="10">
        <f>IFERROR(INDEX(Оборудование!$H$2:$H$200,MATCH(A122,Оборудование!$A$2:$A$200,0)),"")</f>
        <v/>
      </c>
      <c r="G122" s="11" t="n"/>
      <c r="H122" s="12">
        <f>IF(G122="","",G122+100)</f>
        <v/>
      </c>
      <c r="I122" s="11" t="n"/>
      <c r="J122" s="11" t="n"/>
      <c r="K122" s="11" t="n"/>
      <c r="L122" s="12">
        <f>IF(K122="","",K122+5)</f>
        <v/>
      </c>
      <c r="M122" s="11" t="n"/>
      <c r="N122" s="12">
        <f>IF(M122&lt;&gt;"",M122,IF(L122="","",L122))</f>
        <v/>
      </c>
      <c r="O122" s="12">
        <f>IF(N122="","",N122+40)</f>
        <v/>
      </c>
      <c r="P122" s="11" t="n"/>
      <c r="Q122" s="12">
        <f>IF(P122&lt;&gt;"",P122,IF(O122="","",O122))</f>
        <v/>
      </c>
      <c r="R122" s="12">
        <f>IF(Q122="","",Q122+70)</f>
        <v/>
      </c>
      <c r="S122" s="11" t="n"/>
      <c r="T122" s="10">
        <f>IF(G122="","",IF(S122&lt;&gt;"","Завершено",IF(P122&lt;&gt;"","Ожидание оплаты",IF(M122&lt;&gt;"","Входной контроль",IF(K122&lt;&gt;"","Ожидание получения в Ленске",IF(I122&lt;&gt;"","В пути Иркутск → Ленск","Ремонт у подрядчика"))))))</f>
        <v/>
      </c>
      <c r="U122" s="10">
        <f>IF(H122="","",MAX(0,IF(I122&lt;&gt;"",I122,Настройки!$B$2)-H122))</f>
        <v/>
      </c>
      <c r="V122" s="10">
        <f>IF(L122="","",MAX(0,IF(M122&lt;&gt;"",M122,Настройки!$B$2)-L122))</f>
        <v/>
      </c>
      <c r="W122" s="10">
        <f>IF(O122="","",MAX(0,IF(P122&lt;&gt;"",P122,Настройки!$B$2)-O122))</f>
        <v/>
      </c>
      <c r="X122" s="10">
        <f>IF(R122="","",MAX(0,IF(S122&lt;&gt;"",S122,Настройки!$B$2)-R122))</f>
        <v/>
      </c>
      <c r="Y122" s="10">
        <f>MAX(U122:X122)</f>
        <v/>
      </c>
    </row>
    <row r="123">
      <c r="A123" s="9" t="n"/>
      <c r="B123" s="9" t="n"/>
      <c r="C123" s="10">
        <f>IFERROR(INDEX(Оборудование!$B$2:$B$200,MATCH(A123,Оборудование!$A$2:$A$200,0)),"")</f>
        <v/>
      </c>
      <c r="D123" s="10">
        <f>IFERROR(INDEX(Оборудование!$C$2:$C$200,MATCH(A123,Оборудование!$A$2:$A$200,0)),"")</f>
        <v/>
      </c>
      <c r="E123" s="10">
        <f>IFERROR(INDEX(Оборудование!$D$2:$D$200,MATCH(A123,Оборудование!$A$2:$A$200,0)),"")</f>
        <v/>
      </c>
      <c r="F123" s="10">
        <f>IFERROR(INDEX(Оборудование!$H$2:$H$200,MATCH(A123,Оборудование!$A$2:$A$200,0)),"")</f>
        <v/>
      </c>
      <c r="G123" s="11" t="n"/>
      <c r="H123" s="12">
        <f>IF(G123="","",G123+100)</f>
        <v/>
      </c>
      <c r="I123" s="11" t="n"/>
      <c r="J123" s="11" t="n"/>
      <c r="K123" s="11" t="n"/>
      <c r="L123" s="12">
        <f>IF(K123="","",K123+5)</f>
        <v/>
      </c>
      <c r="M123" s="11" t="n"/>
      <c r="N123" s="12">
        <f>IF(M123&lt;&gt;"",M123,IF(L123="","",L123))</f>
        <v/>
      </c>
      <c r="O123" s="12">
        <f>IF(N123="","",N123+40)</f>
        <v/>
      </c>
      <c r="P123" s="11" t="n"/>
      <c r="Q123" s="12">
        <f>IF(P123&lt;&gt;"",P123,IF(O123="","",O123))</f>
        <v/>
      </c>
      <c r="R123" s="12">
        <f>IF(Q123="","",Q123+70)</f>
        <v/>
      </c>
      <c r="S123" s="11" t="n"/>
      <c r="T123" s="10">
        <f>IF(G123="","",IF(S123&lt;&gt;"","Завершено",IF(P123&lt;&gt;"","Ожидание оплаты",IF(M123&lt;&gt;"","Входной контроль",IF(K123&lt;&gt;"","Ожидание получения в Ленске",IF(I123&lt;&gt;"","В пути Иркутск → Ленск","Ремонт у подрядчика"))))))</f>
        <v/>
      </c>
      <c r="U123" s="10">
        <f>IF(H123="","",MAX(0,IF(I123&lt;&gt;"",I123,Настройки!$B$2)-H123))</f>
        <v/>
      </c>
      <c r="V123" s="10">
        <f>IF(L123="","",MAX(0,IF(M123&lt;&gt;"",M123,Настройки!$B$2)-L123))</f>
        <v/>
      </c>
      <c r="W123" s="10">
        <f>IF(O123="","",MAX(0,IF(P123&lt;&gt;"",P123,Настройки!$B$2)-O123))</f>
        <v/>
      </c>
      <c r="X123" s="10">
        <f>IF(R123="","",MAX(0,IF(S123&lt;&gt;"",S123,Настройки!$B$2)-R123))</f>
        <v/>
      </c>
      <c r="Y123" s="10">
        <f>MAX(U123:X123)</f>
        <v/>
      </c>
    </row>
    <row r="124">
      <c r="A124" s="9" t="n"/>
      <c r="B124" s="9" t="n"/>
      <c r="C124" s="10">
        <f>IFERROR(INDEX(Оборудование!$B$2:$B$200,MATCH(A124,Оборудование!$A$2:$A$200,0)),"")</f>
        <v/>
      </c>
      <c r="D124" s="10">
        <f>IFERROR(INDEX(Оборудование!$C$2:$C$200,MATCH(A124,Оборудование!$A$2:$A$200,0)),"")</f>
        <v/>
      </c>
      <c r="E124" s="10">
        <f>IFERROR(INDEX(Оборудование!$D$2:$D$200,MATCH(A124,Оборудование!$A$2:$A$200,0)),"")</f>
        <v/>
      </c>
      <c r="F124" s="10">
        <f>IFERROR(INDEX(Оборудование!$H$2:$H$200,MATCH(A124,Оборудование!$A$2:$A$200,0)),"")</f>
        <v/>
      </c>
      <c r="G124" s="11" t="n"/>
      <c r="H124" s="12">
        <f>IF(G124="","",G124+100)</f>
        <v/>
      </c>
      <c r="I124" s="11" t="n"/>
      <c r="J124" s="11" t="n"/>
      <c r="K124" s="11" t="n"/>
      <c r="L124" s="12">
        <f>IF(K124="","",K124+5)</f>
        <v/>
      </c>
      <c r="M124" s="11" t="n"/>
      <c r="N124" s="12">
        <f>IF(M124&lt;&gt;"",M124,IF(L124="","",L124))</f>
        <v/>
      </c>
      <c r="O124" s="12">
        <f>IF(N124="","",N124+40)</f>
        <v/>
      </c>
      <c r="P124" s="11" t="n"/>
      <c r="Q124" s="12">
        <f>IF(P124&lt;&gt;"",P124,IF(O124="","",O124))</f>
        <v/>
      </c>
      <c r="R124" s="12">
        <f>IF(Q124="","",Q124+70)</f>
        <v/>
      </c>
      <c r="S124" s="11" t="n"/>
      <c r="T124" s="10">
        <f>IF(G124="","",IF(S124&lt;&gt;"","Завершено",IF(P124&lt;&gt;"","Ожидание оплаты",IF(M124&lt;&gt;"","Входной контроль",IF(K124&lt;&gt;"","Ожидание получения в Ленске",IF(I124&lt;&gt;"","В пути Иркутск → Ленск","Ремонт у подрядчика"))))))</f>
        <v/>
      </c>
      <c r="U124" s="10">
        <f>IF(H124="","",MAX(0,IF(I124&lt;&gt;"",I124,Настройки!$B$2)-H124))</f>
        <v/>
      </c>
      <c r="V124" s="10">
        <f>IF(L124="","",MAX(0,IF(M124&lt;&gt;"",M124,Настройки!$B$2)-L124))</f>
        <v/>
      </c>
      <c r="W124" s="10">
        <f>IF(O124="","",MAX(0,IF(P124&lt;&gt;"",P124,Настройки!$B$2)-O124))</f>
        <v/>
      </c>
      <c r="X124" s="10">
        <f>IF(R124="","",MAX(0,IF(S124&lt;&gt;"",S124,Настройки!$B$2)-R124))</f>
        <v/>
      </c>
      <c r="Y124" s="10">
        <f>MAX(U124:X124)</f>
        <v/>
      </c>
    </row>
    <row r="125">
      <c r="A125" s="9" t="n"/>
      <c r="B125" s="9" t="n"/>
      <c r="C125" s="10">
        <f>IFERROR(INDEX(Оборудование!$B$2:$B$200,MATCH(A125,Оборудование!$A$2:$A$200,0)),"")</f>
        <v/>
      </c>
      <c r="D125" s="10">
        <f>IFERROR(INDEX(Оборудование!$C$2:$C$200,MATCH(A125,Оборудование!$A$2:$A$200,0)),"")</f>
        <v/>
      </c>
      <c r="E125" s="10">
        <f>IFERROR(INDEX(Оборудование!$D$2:$D$200,MATCH(A125,Оборудование!$A$2:$A$200,0)),"")</f>
        <v/>
      </c>
      <c r="F125" s="10">
        <f>IFERROR(INDEX(Оборудование!$H$2:$H$200,MATCH(A125,Оборудование!$A$2:$A$200,0)),"")</f>
        <v/>
      </c>
      <c r="G125" s="11" t="n"/>
      <c r="H125" s="12">
        <f>IF(G125="","",G125+100)</f>
        <v/>
      </c>
      <c r="I125" s="11" t="n"/>
      <c r="J125" s="11" t="n"/>
      <c r="K125" s="11" t="n"/>
      <c r="L125" s="12">
        <f>IF(K125="","",K125+5)</f>
        <v/>
      </c>
      <c r="M125" s="11" t="n"/>
      <c r="N125" s="12">
        <f>IF(M125&lt;&gt;"",M125,IF(L125="","",L125))</f>
        <v/>
      </c>
      <c r="O125" s="12">
        <f>IF(N125="","",N125+40)</f>
        <v/>
      </c>
      <c r="P125" s="11" t="n"/>
      <c r="Q125" s="12">
        <f>IF(P125&lt;&gt;"",P125,IF(O125="","",O125))</f>
        <v/>
      </c>
      <c r="R125" s="12">
        <f>IF(Q125="","",Q125+70)</f>
        <v/>
      </c>
      <c r="S125" s="11" t="n"/>
      <c r="T125" s="10">
        <f>IF(G125="","",IF(S125&lt;&gt;"","Завершено",IF(P125&lt;&gt;"","Ожидание оплаты",IF(M125&lt;&gt;"","Входной контроль",IF(K125&lt;&gt;"","Ожидание получения в Ленске",IF(I125&lt;&gt;"","В пути Иркутск → Ленск","Ремонт у подрядчика"))))))</f>
        <v/>
      </c>
      <c r="U125" s="10">
        <f>IF(H125="","",MAX(0,IF(I125&lt;&gt;"",I125,Настройки!$B$2)-H125))</f>
        <v/>
      </c>
      <c r="V125" s="10">
        <f>IF(L125="","",MAX(0,IF(M125&lt;&gt;"",M125,Настройки!$B$2)-L125))</f>
        <v/>
      </c>
      <c r="W125" s="10">
        <f>IF(O125="","",MAX(0,IF(P125&lt;&gt;"",P125,Настройки!$B$2)-O125))</f>
        <v/>
      </c>
      <c r="X125" s="10">
        <f>IF(R125="","",MAX(0,IF(S125&lt;&gt;"",S125,Настройки!$B$2)-R125))</f>
        <v/>
      </c>
      <c r="Y125" s="10">
        <f>MAX(U125:X125)</f>
        <v/>
      </c>
    </row>
    <row r="126">
      <c r="A126" s="9" t="n"/>
      <c r="B126" s="9" t="n"/>
      <c r="C126" s="10">
        <f>IFERROR(INDEX(Оборудование!$B$2:$B$200,MATCH(A126,Оборудование!$A$2:$A$200,0)),"")</f>
        <v/>
      </c>
      <c r="D126" s="10">
        <f>IFERROR(INDEX(Оборудование!$C$2:$C$200,MATCH(A126,Оборудование!$A$2:$A$200,0)),"")</f>
        <v/>
      </c>
      <c r="E126" s="10">
        <f>IFERROR(INDEX(Оборудование!$D$2:$D$200,MATCH(A126,Оборудование!$A$2:$A$200,0)),"")</f>
        <v/>
      </c>
      <c r="F126" s="10">
        <f>IFERROR(INDEX(Оборудование!$H$2:$H$200,MATCH(A126,Оборудование!$A$2:$A$200,0)),"")</f>
        <v/>
      </c>
      <c r="G126" s="11" t="n"/>
      <c r="H126" s="12">
        <f>IF(G126="","",G126+100)</f>
        <v/>
      </c>
      <c r="I126" s="11" t="n"/>
      <c r="J126" s="11" t="n"/>
      <c r="K126" s="11" t="n"/>
      <c r="L126" s="12">
        <f>IF(K126="","",K126+5)</f>
        <v/>
      </c>
      <c r="M126" s="11" t="n"/>
      <c r="N126" s="12">
        <f>IF(M126&lt;&gt;"",M126,IF(L126="","",L126))</f>
        <v/>
      </c>
      <c r="O126" s="12">
        <f>IF(N126="","",N126+40)</f>
        <v/>
      </c>
      <c r="P126" s="11" t="n"/>
      <c r="Q126" s="12">
        <f>IF(P126&lt;&gt;"",P126,IF(O126="","",O126))</f>
        <v/>
      </c>
      <c r="R126" s="12">
        <f>IF(Q126="","",Q126+70)</f>
        <v/>
      </c>
      <c r="S126" s="11" t="n"/>
      <c r="T126" s="10">
        <f>IF(G126="","",IF(S126&lt;&gt;"","Завершено",IF(P126&lt;&gt;"","Ожидание оплаты",IF(M126&lt;&gt;"","Входной контроль",IF(K126&lt;&gt;"","Ожидание получения в Ленске",IF(I126&lt;&gt;"","В пути Иркутск → Ленск","Ремонт у подрядчика"))))))</f>
        <v/>
      </c>
      <c r="U126" s="10">
        <f>IF(H126="","",MAX(0,IF(I126&lt;&gt;"",I126,Настройки!$B$2)-H126))</f>
        <v/>
      </c>
      <c r="V126" s="10">
        <f>IF(L126="","",MAX(0,IF(M126&lt;&gt;"",M126,Настройки!$B$2)-L126))</f>
        <v/>
      </c>
      <c r="W126" s="10">
        <f>IF(O126="","",MAX(0,IF(P126&lt;&gt;"",P126,Настройки!$B$2)-O126))</f>
        <v/>
      </c>
      <c r="X126" s="10">
        <f>IF(R126="","",MAX(0,IF(S126&lt;&gt;"",S126,Настройки!$B$2)-R126))</f>
        <v/>
      </c>
      <c r="Y126" s="10">
        <f>MAX(U126:X126)</f>
        <v/>
      </c>
    </row>
    <row r="127">
      <c r="A127" s="9" t="n"/>
      <c r="B127" s="9" t="n"/>
      <c r="C127" s="10">
        <f>IFERROR(INDEX(Оборудование!$B$2:$B$200,MATCH(A127,Оборудование!$A$2:$A$200,0)),"")</f>
        <v/>
      </c>
      <c r="D127" s="10">
        <f>IFERROR(INDEX(Оборудование!$C$2:$C$200,MATCH(A127,Оборудование!$A$2:$A$200,0)),"")</f>
        <v/>
      </c>
      <c r="E127" s="10">
        <f>IFERROR(INDEX(Оборудование!$D$2:$D$200,MATCH(A127,Оборудование!$A$2:$A$200,0)),"")</f>
        <v/>
      </c>
      <c r="F127" s="10">
        <f>IFERROR(INDEX(Оборудование!$H$2:$H$200,MATCH(A127,Оборудование!$A$2:$A$200,0)),"")</f>
        <v/>
      </c>
      <c r="G127" s="11" t="n"/>
      <c r="H127" s="12">
        <f>IF(G127="","",G127+100)</f>
        <v/>
      </c>
      <c r="I127" s="11" t="n"/>
      <c r="J127" s="11" t="n"/>
      <c r="K127" s="11" t="n"/>
      <c r="L127" s="12">
        <f>IF(K127="","",K127+5)</f>
        <v/>
      </c>
      <c r="M127" s="11" t="n"/>
      <c r="N127" s="12">
        <f>IF(M127&lt;&gt;"",M127,IF(L127="","",L127))</f>
        <v/>
      </c>
      <c r="O127" s="12">
        <f>IF(N127="","",N127+40)</f>
        <v/>
      </c>
      <c r="P127" s="11" t="n"/>
      <c r="Q127" s="12">
        <f>IF(P127&lt;&gt;"",P127,IF(O127="","",O127))</f>
        <v/>
      </c>
      <c r="R127" s="12">
        <f>IF(Q127="","",Q127+70)</f>
        <v/>
      </c>
      <c r="S127" s="11" t="n"/>
      <c r="T127" s="10">
        <f>IF(G127="","",IF(S127&lt;&gt;"","Завершено",IF(P127&lt;&gt;"","Ожидание оплаты",IF(M127&lt;&gt;"","Входной контроль",IF(K127&lt;&gt;"","Ожидание получения в Ленске",IF(I127&lt;&gt;"","В пути Иркутск → Ленск","Ремонт у подрядчика"))))))</f>
        <v/>
      </c>
      <c r="U127" s="10">
        <f>IF(H127="","",MAX(0,IF(I127&lt;&gt;"",I127,Настройки!$B$2)-H127))</f>
        <v/>
      </c>
      <c r="V127" s="10">
        <f>IF(L127="","",MAX(0,IF(M127&lt;&gt;"",M127,Настройки!$B$2)-L127))</f>
        <v/>
      </c>
      <c r="W127" s="10">
        <f>IF(O127="","",MAX(0,IF(P127&lt;&gt;"",P127,Настройки!$B$2)-O127))</f>
        <v/>
      </c>
      <c r="X127" s="10">
        <f>IF(R127="","",MAX(0,IF(S127&lt;&gt;"",S127,Настройки!$B$2)-R127))</f>
        <v/>
      </c>
      <c r="Y127" s="10">
        <f>MAX(U127:X127)</f>
        <v/>
      </c>
    </row>
    <row r="128">
      <c r="A128" s="9" t="n"/>
      <c r="B128" s="9" t="n"/>
      <c r="C128" s="10">
        <f>IFERROR(INDEX(Оборудование!$B$2:$B$200,MATCH(A128,Оборудование!$A$2:$A$200,0)),"")</f>
        <v/>
      </c>
      <c r="D128" s="10">
        <f>IFERROR(INDEX(Оборудование!$C$2:$C$200,MATCH(A128,Оборудование!$A$2:$A$200,0)),"")</f>
        <v/>
      </c>
      <c r="E128" s="10">
        <f>IFERROR(INDEX(Оборудование!$D$2:$D$200,MATCH(A128,Оборудование!$A$2:$A$200,0)),"")</f>
        <v/>
      </c>
      <c r="F128" s="10">
        <f>IFERROR(INDEX(Оборудование!$H$2:$H$200,MATCH(A128,Оборудование!$A$2:$A$200,0)),"")</f>
        <v/>
      </c>
      <c r="G128" s="11" t="n"/>
      <c r="H128" s="12">
        <f>IF(G128="","",G128+100)</f>
        <v/>
      </c>
      <c r="I128" s="11" t="n"/>
      <c r="J128" s="11" t="n"/>
      <c r="K128" s="11" t="n"/>
      <c r="L128" s="12">
        <f>IF(K128="","",K128+5)</f>
        <v/>
      </c>
      <c r="M128" s="11" t="n"/>
      <c r="N128" s="12">
        <f>IF(M128&lt;&gt;"",M128,IF(L128="","",L128))</f>
        <v/>
      </c>
      <c r="O128" s="12">
        <f>IF(N128="","",N128+40)</f>
        <v/>
      </c>
      <c r="P128" s="11" t="n"/>
      <c r="Q128" s="12">
        <f>IF(P128&lt;&gt;"",P128,IF(O128="","",O128))</f>
        <v/>
      </c>
      <c r="R128" s="12">
        <f>IF(Q128="","",Q128+70)</f>
        <v/>
      </c>
      <c r="S128" s="11" t="n"/>
      <c r="T128" s="10">
        <f>IF(G128="","",IF(S128&lt;&gt;"","Завершено",IF(P128&lt;&gt;"","Ожидание оплаты",IF(M128&lt;&gt;"","Входной контроль",IF(K128&lt;&gt;"","Ожидание получения в Ленске",IF(I128&lt;&gt;"","В пути Иркутск → Ленск","Ремонт у подрядчика"))))))</f>
        <v/>
      </c>
      <c r="U128" s="10">
        <f>IF(H128="","",MAX(0,IF(I128&lt;&gt;"",I128,Настройки!$B$2)-H128))</f>
        <v/>
      </c>
      <c r="V128" s="10">
        <f>IF(L128="","",MAX(0,IF(M128&lt;&gt;"",M128,Настройки!$B$2)-L128))</f>
        <v/>
      </c>
      <c r="W128" s="10">
        <f>IF(O128="","",MAX(0,IF(P128&lt;&gt;"",P128,Настройки!$B$2)-O128))</f>
        <v/>
      </c>
      <c r="X128" s="10">
        <f>IF(R128="","",MAX(0,IF(S128&lt;&gt;"",S128,Настройки!$B$2)-R128))</f>
        <v/>
      </c>
      <c r="Y128" s="10">
        <f>MAX(U128:X128)</f>
        <v/>
      </c>
    </row>
    <row r="129">
      <c r="A129" s="9" t="n"/>
      <c r="B129" s="9" t="n"/>
      <c r="C129" s="10">
        <f>IFERROR(INDEX(Оборудование!$B$2:$B$200,MATCH(A129,Оборудование!$A$2:$A$200,0)),"")</f>
        <v/>
      </c>
      <c r="D129" s="10">
        <f>IFERROR(INDEX(Оборудование!$C$2:$C$200,MATCH(A129,Оборудование!$A$2:$A$200,0)),"")</f>
        <v/>
      </c>
      <c r="E129" s="10">
        <f>IFERROR(INDEX(Оборудование!$D$2:$D$200,MATCH(A129,Оборудование!$A$2:$A$200,0)),"")</f>
        <v/>
      </c>
      <c r="F129" s="10">
        <f>IFERROR(INDEX(Оборудование!$H$2:$H$200,MATCH(A129,Оборудование!$A$2:$A$200,0)),"")</f>
        <v/>
      </c>
      <c r="G129" s="11" t="n"/>
      <c r="H129" s="12">
        <f>IF(G129="","",G129+100)</f>
        <v/>
      </c>
      <c r="I129" s="11" t="n"/>
      <c r="J129" s="11" t="n"/>
      <c r="K129" s="11" t="n"/>
      <c r="L129" s="12">
        <f>IF(K129="","",K129+5)</f>
        <v/>
      </c>
      <c r="M129" s="11" t="n"/>
      <c r="N129" s="12">
        <f>IF(M129&lt;&gt;"",M129,IF(L129="","",L129))</f>
        <v/>
      </c>
      <c r="O129" s="12">
        <f>IF(N129="","",N129+40)</f>
        <v/>
      </c>
      <c r="P129" s="11" t="n"/>
      <c r="Q129" s="12">
        <f>IF(P129&lt;&gt;"",P129,IF(O129="","",O129))</f>
        <v/>
      </c>
      <c r="R129" s="12">
        <f>IF(Q129="","",Q129+70)</f>
        <v/>
      </c>
      <c r="S129" s="11" t="n"/>
      <c r="T129" s="10">
        <f>IF(G129="","",IF(S129&lt;&gt;"","Завершено",IF(P129&lt;&gt;"","Ожидание оплаты",IF(M129&lt;&gt;"","Входной контроль",IF(K129&lt;&gt;"","Ожидание получения в Ленске",IF(I129&lt;&gt;"","В пути Иркутск → Ленск","Ремонт у подрядчика"))))))</f>
        <v/>
      </c>
      <c r="U129" s="10">
        <f>IF(H129="","",MAX(0,IF(I129&lt;&gt;"",I129,Настройки!$B$2)-H129))</f>
        <v/>
      </c>
      <c r="V129" s="10">
        <f>IF(L129="","",MAX(0,IF(M129&lt;&gt;"",M129,Настройки!$B$2)-L129))</f>
        <v/>
      </c>
      <c r="W129" s="10">
        <f>IF(O129="","",MAX(0,IF(P129&lt;&gt;"",P129,Настройки!$B$2)-O129))</f>
        <v/>
      </c>
      <c r="X129" s="10">
        <f>IF(R129="","",MAX(0,IF(S129&lt;&gt;"",S129,Настройки!$B$2)-R129))</f>
        <v/>
      </c>
      <c r="Y129" s="10">
        <f>MAX(U129:X129)</f>
        <v/>
      </c>
    </row>
    <row r="130">
      <c r="A130" s="9" t="n"/>
      <c r="B130" s="9" t="n"/>
      <c r="C130" s="10">
        <f>IFERROR(INDEX(Оборудование!$B$2:$B$200,MATCH(A130,Оборудование!$A$2:$A$200,0)),"")</f>
        <v/>
      </c>
      <c r="D130" s="10">
        <f>IFERROR(INDEX(Оборудование!$C$2:$C$200,MATCH(A130,Оборудование!$A$2:$A$200,0)),"")</f>
        <v/>
      </c>
      <c r="E130" s="10">
        <f>IFERROR(INDEX(Оборудование!$D$2:$D$200,MATCH(A130,Оборудование!$A$2:$A$200,0)),"")</f>
        <v/>
      </c>
      <c r="F130" s="10">
        <f>IFERROR(INDEX(Оборудование!$H$2:$H$200,MATCH(A130,Оборудование!$A$2:$A$200,0)),"")</f>
        <v/>
      </c>
      <c r="G130" s="11" t="n"/>
      <c r="H130" s="12">
        <f>IF(G130="","",G130+100)</f>
        <v/>
      </c>
      <c r="I130" s="11" t="n"/>
      <c r="J130" s="11" t="n"/>
      <c r="K130" s="11" t="n"/>
      <c r="L130" s="12">
        <f>IF(K130="","",K130+5)</f>
        <v/>
      </c>
      <c r="M130" s="11" t="n"/>
      <c r="N130" s="12">
        <f>IF(M130&lt;&gt;"",M130,IF(L130="","",L130))</f>
        <v/>
      </c>
      <c r="O130" s="12">
        <f>IF(N130="","",N130+40)</f>
        <v/>
      </c>
      <c r="P130" s="11" t="n"/>
      <c r="Q130" s="12">
        <f>IF(P130&lt;&gt;"",P130,IF(O130="","",O130))</f>
        <v/>
      </c>
      <c r="R130" s="12">
        <f>IF(Q130="","",Q130+70)</f>
        <v/>
      </c>
      <c r="S130" s="11" t="n"/>
      <c r="T130" s="10">
        <f>IF(G130="","",IF(S130&lt;&gt;"","Завершено",IF(P130&lt;&gt;"","Ожидание оплаты",IF(M130&lt;&gt;"","Входной контроль",IF(K130&lt;&gt;"","Ожидание получения в Ленске",IF(I130&lt;&gt;"","В пути Иркутск → Ленск","Ремонт у подрядчика"))))))</f>
        <v/>
      </c>
      <c r="U130" s="10">
        <f>IF(H130="","",MAX(0,IF(I130&lt;&gt;"",I130,Настройки!$B$2)-H130))</f>
        <v/>
      </c>
      <c r="V130" s="10">
        <f>IF(L130="","",MAX(0,IF(M130&lt;&gt;"",M130,Настройки!$B$2)-L130))</f>
        <v/>
      </c>
      <c r="W130" s="10">
        <f>IF(O130="","",MAX(0,IF(P130&lt;&gt;"",P130,Настройки!$B$2)-O130))</f>
        <v/>
      </c>
      <c r="X130" s="10">
        <f>IF(R130="","",MAX(0,IF(S130&lt;&gt;"",S130,Настройки!$B$2)-R130))</f>
        <v/>
      </c>
      <c r="Y130" s="10">
        <f>MAX(U130:X130)</f>
        <v/>
      </c>
    </row>
    <row r="131">
      <c r="A131" s="9" t="n"/>
      <c r="B131" s="9" t="n"/>
      <c r="C131" s="10">
        <f>IFERROR(INDEX(Оборудование!$B$2:$B$200,MATCH(A131,Оборудование!$A$2:$A$200,0)),"")</f>
        <v/>
      </c>
      <c r="D131" s="10">
        <f>IFERROR(INDEX(Оборудование!$C$2:$C$200,MATCH(A131,Оборудование!$A$2:$A$200,0)),"")</f>
        <v/>
      </c>
      <c r="E131" s="10">
        <f>IFERROR(INDEX(Оборудование!$D$2:$D$200,MATCH(A131,Оборудование!$A$2:$A$200,0)),"")</f>
        <v/>
      </c>
      <c r="F131" s="10">
        <f>IFERROR(INDEX(Оборудование!$H$2:$H$200,MATCH(A131,Оборудование!$A$2:$A$200,0)),"")</f>
        <v/>
      </c>
      <c r="G131" s="11" t="n"/>
      <c r="H131" s="12">
        <f>IF(G131="","",G131+100)</f>
        <v/>
      </c>
      <c r="I131" s="11" t="n"/>
      <c r="J131" s="11" t="n"/>
      <c r="K131" s="11" t="n"/>
      <c r="L131" s="12">
        <f>IF(K131="","",K131+5)</f>
        <v/>
      </c>
      <c r="M131" s="11" t="n"/>
      <c r="N131" s="12">
        <f>IF(M131&lt;&gt;"",M131,IF(L131="","",L131))</f>
        <v/>
      </c>
      <c r="O131" s="12">
        <f>IF(N131="","",N131+40)</f>
        <v/>
      </c>
      <c r="P131" s="11" t="n"/>
      <c r="Q131" s="12">
        <f>IF(P131&lt;&gt;"",P131,IF(O131="","",O131))</f>
        <v/>
      </c>
      <c r="R131" s="12">
        <f>IF(Q131="","",Q131+70)</f>
        <v/>
      </c>
      <c r="S131" s="11" t="n"/>
      <c r="T131" s="10">
        <f>IF(G131="","",IF(S131&lt;&gt;"","Завершено",IF(P131&lt;&gt;"","Ожидание оплаты",IF(M131&lt;&gt;"","Входной контроль",IF(K131&lt;&gt;"","Ожидание получения в Ленске",IF(I131&lt;&gt;"","В пути Иркутск → Ленск","Ремонт у подрядчика"))))))</f>
        <v/>
      </c>
      <c r="U131" s="10">
        <f>IF(H131="","",MAX(0,IF(I131&lt;&gt;"",I131,Настройки!$B$2)-H131))</f>
        <v/>
      </c>
      <c r="V131" s="10">
        <f>IF(L131="","",MAX(0,IF(M131&lt;&gt;"",M131,Настройки!$B$2)-L131))</f>
        <v/>
      </c>
      <c r="W131" s="10">
        <f>IF(O131="","",MAX(0,IF(P131&lt;&gt;"",P131,Настройки!$B$2)-O131))</f>
        <v/>
      </c>
      <c r="X131" s="10">
        <f>IF(R131="","",MAX(0,IF(S131&lt;&gt;"",S131,Настройки!$B$2)-R131))</f>
        <v/>
      </c>
      <c r="Y131" s="10">
        <f>MAX(U131:X131)</f>
        <v/>
      </c>
    </row>
    <row r="132">
      <c r="A132" s="9" t="n"/>
      <c r="B132" s="9" t="n"/>
      <c r="C132" s="10">
        <f>IFERROR(INDEX(Оборудование!$B$2:$B$200,MATCH(A132,Оборудование!$A$2:$A$200,0)),"")</f>
        <v/>
      </c>
      <c r="D132" s="10">
        <f>IFERROR(INDEX(Оборудование!$C$2:$C$200,MATCH(A132,Оборудование!$A$2:$A$200,0)),"")</f>
        <v/>
      </c>
      <c r="E132" s="10">
        <f>IFERROR(INDEX(Оборудование!$D$2:$D$200,MATCH(A132,Оборудование!$A$2:$A$200,0)),"")</f>
        <v/>
      </c>
      <c r="F132" s="10">
        <f>IFERROR(INDEX(Оборудование!$H$2:$H$200,MATCH(A132,Оборудование!$A$2:$A$200,0)),"")</f>
        <v/>
      </c>
      <c r="G132" s="11" t="n"/>
      <c r="H132" s="12">
        <f>IF(G132="","",G132+100)</f>
        <v/>
      </c>
      <c r="I132" s="11" t="n"/>
      <c r="J132" s="11" t="n"/>
      <c r="K132" s="11" t="n"/>
      <c r="L132" s="12">
        <f>IF(K132="","",K132+5)</f>
        <v/>
      </c>
      <c r="M132" s="11" t="n"/>
      <c r="N132" s="12">
        <f>IF(M132&lt;&gt;"",M132,IF(L132="","",L132))</f>
        <v/>
      </c>
      <c r="O132" s="12">
        <f>IF(N132="","",N132+40)</f>
        <v/>
      </c>
      <c r="P132" s="11" t="n"/>
      <c r="Q132" s="12">
        <f>IF(P132&lt;&gt;"",P132,IF(O132="","",O132))</f>
        <v/>
      </c>
      <c r="R132" s="12">
        <f>IF(Q132="","",Q132+70)</f>
        <v/>
      </c>
      <c r="S132" s="11" t="n"/>
      <c r="T132" s="10">
        <f>IF(G132="","",IF(S132&lt;&gt;"","Завершено",IF(P132&lt;&gt;"","Ожидание оплаты",IF(M132&lt;&gt;"","Входной контроль",IF(K132&lt;&gt;"","Ожидание получения в Ленске",IF(I132&lt;&gt;"","В пути Иркутск → Ленск","Ремонт у подрядчика"))))))</f>
        <v/>
      </c>
      <c r="U132" s="10">
        <f>IF(H132="","",MAX(0,IF(I132&lt;&gt;"",I132,Настройки!$B$2)-H132))</f>
        <v/>
      </c>
      <c r="V132" s="10">
        <f>IF(L132="","",MAX(0,IF(M132&lt;&gt;"",M132,Настройки!$B$2)-L132))</f>
        <v/>
      </c>
      <c r="W132" s="10">
        <f>IF(O132="","",MAX(0,IF(P132&lt;&gt;"",P132,Настройки!$B$2)-O132))</f>
        <v/>
      </c>
      <c r="X132" s="10">
        <f>IF(R132="","",MAX(0,IF(S132&lt;&gt;"",S132,Настройки!$B$2)-R132))</f>
        <v/>
      </c>
      <c r="Y132" s="10">
        <f>MAX(U132:X132)</f>
        <v/>
      </c>
    </row>
    <row r="133">
      <c r="A133" s="9" t="n"/>
      <c r="B133" s="9" t="n"/>
      <c r="C133" s="10">
        <f>IFERROR(INDEX(Оборудование!$B$2:$B$200,MATCH(A133,Оборудование!$A$2:$A$200,0)),"")</f>
        <v/>
      </c>
      <c r="D133" s="10">
        <f>IFERROR(INDEX(Оборудование!$C$2:$C$200,MATCH(A133,Оборудование!$A$2:$A$200,0)),"")</f>
        <v/>
      </c>
      <c r="E133" s="10">
        <f>IFERROR(INDEX(Оборудование!$D$2:$D$200,MATCH(A133,Оборудование!$A$2:$A$200,0)),"")</f>
        <v/>
      </c>
      <c r="F133" s="10">
        <f>IFERROR(INDEX(Оборудование!$H$2:$H$200,MATCH(A133,Оборудование!$A$2:$A$200,0)),"")</f>
        <v/>
      </c>
      <c r="G133" s="11" t="n"/>
      <c r="H133" s="12">
        <f>IF(G133="","",G133+100)</f>
        <v/>
      </c>
      <c r="I133" s="11" t="n"/>
      <c r="J133" s="11" t="n"/>
      <c r="K133" s="11" t="n"/>
      <c r="L133" s="12">
        <f>IF(K133="","",K133+5)</f>
        <v/>
      </c>
      <c r="M133" s="11" t="n"/>
      <c r="N133" s="12">
        <f>IF(M133&lt;&gt;"",M133,IF(L133="","",L133))</f>
        <v/>
      </c>
      <c r="O133" s="12">
        <f>IF(N133="","",N133+40)</f>
        <v/>
      </c>
      <c r="P133" s="11" t="n"/>
      <c r="Q133" s="12">
        <f>IF(P133&lt;&gt;"",P133,IF(O133="","",O133))</f>
        <v/>
      </c>
      <c r="R133" s="12">
        <f>IF(Q133="","",Q133+70)</f>
        <v/>
      </c>
      <c r="S133" s="11" t="n"/>
      <c r="T133" s="10">
        <f>IF(G133="","",IF(S133&lt;&gt;"","Завершено",IF(P133&lt;&gt;"","Ожидание оплаты",IF(M133&lt;&gt;"","Входной контроль",IF(K133&lt;&gt;"","Ожидание получения в Ленске",IF(I133&lt;&gt;"","В пути Иркутск → Ленск","Ремонт у подрядчика"))))))</f>
        <v/>
      </c>
      <c r="U133" s="10">
        <f>IF(H133="","",MAX(0,IF(I133&lt;&gt;"",I133,Настройки!$B$2)-H133))</f>
        <v/>
      </c>
      <c r="V133" s="10">
        <f>IF(L133="","",MAX(0,IF(M133&lt;&gt;"",M133,Настройки!$B$2)-L133))</f>
        <v/>
      </c>
      <c r="W133" s="10">
        <f>IF(O133="","",MAX(0,IF(P133&lt;&gt;"",P133,Настройки!$B$2)-O133))</f>
        <v/>
      </c>
      <c r="X133" s="10">
        <f>IF(R133="","",MAX(0,IF(S133&lt;&gt;"",S133,Настройки!$B$2)-R133))</f>
        <v/>
      </c>
      <c r="Y133" s="10">
        <f>MAX(U133:X133)</f>
        <v/>
      </c>
    </row>
    <row r="134">
      <c r="A134" s="9" t="n"/>
      <c r="B134" s="9" t="n"/>
      <c r="C134" s="10">
        <f>IFERROR(INDEX(Оборудование!$B$2:$B$200,MATCH(A134,Оборудование!$A$2:$A$200,0)),"")</f>
        <v/>
      </c>
      <c r="D134" s="10">
        <f>IFERROR(INDEX(Оборудование!$C$2:$C$200,MATCH(A134,Оборудование!$A$2:$A$200,0)),"")</f>
        <v/>
      </c>
      <c r="E134" s="10">
        <f>IFERROR(INDEX(Оборудование!$D$2:$D$200,MATCH(A134,Оборудование!$A$2:$A$200,0)),"")</f>
        <v/>
      </c>
      <c r="F134" s="10">
        <f>IFERROR(INDEX(Оборудование!$H$2:$H$200,MATCH(A134,Оборудование!$A$2:$A$200,0)),"")</f>
        <v/>
      </c>
      <c r="G134" s="11" t="n"/>
      <c r="H134" s="12">
        <f>IF(G134="","",G134+100)</f>
        <v/>
      </c>
      <c r="I134" s="11" t="n"/>
      <c r="J134" s="11" t="n"/>
      <c r="K134" s="11" t="n"/>
      <c r="L134" s="12">
        <f>IF(K134="","",K134+5)</f>
        <v/>
      </c>
      <c r="M134" s="11" t="n"/>
      <c r="N134" s="12">
        <f>IF(M134&lt;&gt;"",M134,IF(L134="","",L134))</f>
        <v/>
      </c>
      <c r="O134" s="12">
        <f>IF(N134="","",N134+40)</f>
        <v/>
      </c>
      <c r="P134" s="11" t="n"/>
      <c r="Q134" s="12">
        <f>IF(P134&lt;&gt;"",P134,IF(O134="","",O134))</f>
        <v/>
      </c>
      <c r="R134" s="12">
        <f>IF(Q134="","",Q134+70)</f>
        <v/>
      </c>
      <c r="S134" s="11" t="n"/>
      <c r="T134" s="10">
        <f>IF(G134="","",IF(S134&lt;&gt;"","Завершено",IF(P134&lt;&gt;"","Ожидание оплаты",IF(M134&lt;&gt;"","Входной контроль",IF(K134&lt;&gt;"","Ожидание получения в Ленске",IF(I134&lt;&gt;"","В пути Иркутск → Ленск","Ремонт у подрядчика"))))))</f>
        <v/>
      </c>
      <c r="U134" s="10">
        <f>IF(H134="","",MAX(0,IF(I134&lt;&gt;"",I134,Настройки!$B$2)-H134))</f>
        <v/>
      </c>
      <c r="V134" s="10">
        <f>IF(L134="","",MAX(0,IF(M134&lt;&gt;"",M134,Настройки!$B$2)-L134))</f>
        <v/>
      </c>
      <c r="W134" s="10">
        <f>IF(O134="","",MAX(0,IF(P134&lt;&gt;"",P134,Настройки!$B$2)-O134))</f>
        <v/>
      </c>
      <c r="X134" s="10">
        <f>IF(R134="","",MAX(0,IF(S134&lt;&gt;"",S134,Настройки!$B$2)-R134))</f>
        <v/>
      </c>
      <c r="Y134" s="10">
        <f>MAX(U134:X134)</f>
        <v/>
      </c>
    </row>
    <row r="135">
      <c r="A135" s="9" t="n"/>
      <c r="B135" s="9" t="n"/>
      <c r="C135" s="10">
        <f>IFERROR(INDEX(Оборудование!$B$2:$B$200,MATCH(A135,Оборудование!$A$2:$A$200,0)),"")</f>
        <v/>
      </c>
      <c r="D135" s="10">
        <f>IFERROR(INDEX(Оборудование!$C$2:$C$200,MATCH(A135,Оборудование!$A$2:$A$200,0)),"")</f>
        <v/>
      </c>
      <c r="E135" s="10">
        <f>IFERROR(INDEX(Оборудование!$D$2:$D$200,MATCH(A135,Оборудование!$A$2:$A$200,0)),"")</f>
        <v/>
      </c>
      <c r="F135" s="10">
        <f>IFERROR(INDEX(Оборудование!$H$2:$H$200,MATCH(A135,Оборудование!$A$2:$A$200,0)),"")</f>
        <v/>
      </c>
      <c r="G135" s="11" t="n"/>
      <c r="H135" s="12">
        <f>IF(G135="","",G135+100)</f>
        <v/>
      </c>
      <c r="I135" s="11" t="n"/>
      <c r="J135" s="11" t="n"/>
      <c r="K135" s="11" t="n"/>
      <c r="L135" s="12">
        <f>IF(K135="","",K135+5)</f>
        <v/>
      </c>
      <c r="M135" s="11" t="n"/>
      <c r="N135" s="12">
        <f>IF(M135&lt;&gt;"",M135,IF(L135="","",L135))</f>
        <v/>
      </c>
      <c r="O135" s="12">
        <f>IF(N135="","",N135+40)</f>
        <v/>
      </c>
      <c r="P135" s="11" t="n"/>
      <c r="Q135" s="12">
        <f>IF(P135&lt;&gt;"",P135,IF(O135="","",O135))</f>
        <v/>
      </c>
      <c r="R135" s="12">
        <f>IF(Q135="","",Q135+70)</f>
        <v/>
      </c>
      <c r="S135" s="11" t="n"/>
      <c r="T135" s="10">
        <f>IF(G135="","",IF(S135&lt;&gt;"","Завершено",IF(P135&lt;&gt;"","Ожидание оплаты",IF(M135&lt;&gt;"","Входной контроль",IF(K135&lt;&gt;"","Ожидание получения в Ленске",IF(I135&lt;&gt;"","В пути Иркутск → Ленск","Ремонт у подрядчика"))))))</f>
        <v/>
      </c>
      <c r="U135" s="10">
        <f>IF(H135="","",MAX(0,IF(I135&lt;&gt;"",I135,Настройки!$B$2)-H135))</f>
        <v/>
      </c>
      <c r="V135" s="10">
        <f>IF(L135="","",MAX(0,IF(M135&lt;&gt;"",M135,Настройки!$B$2)-L135))</f>
        <v/>
      </c>
      <c r="W135" s="10">
        <f>IF(O135="","",MAX(0,IF(P135&lt;&gt;"",P135,Настройки!$B$2)-O135))</f>
        <v/>
      </c>
      <c r="X135" s="10">
        <f>IF(R135="","",MAX(0,IF(S135&lt;&gt;"",S135,Настройки!$B$2)-R135))</f>
        <v/>
      </c>
      <c r="Y135" s="10">
        <f>MAX(U135:X135)</f>
        <v/>
      </c>
    </row>
    <row r="136">
      <c r="A136" s="9" t="n"/>
      <c r="B136" s="9" t="n"/>
      <c r="C136" s="10">
        <f>IFERROR(INDEX(Оборудование!$B$2:$B$200,MATCH(A136,Оборудование!$A$2:$A$200,0)),"")</f>
        <v/>
      </c>
      <c r="D136" s="10">
        <f>IFERROR(INDEX(Оборудование!$C$2:$C$200,MATCH(A136,Оборудование!$A$2:$A$200,0)),"")</f>
        <v/>
      </c>
      <c r="E136" s="10">
        <f>IFERROR(INDEX(Оборудование!$D$2:$D$200,MATCH(A136,Оборудование!$A$2:$A$200,0)),"")</f>
        <v/>
      </c>
      <c r="F136" s="10">
        <f>IFERROR(INDEX(Оборудование!$H$2:$H$200,MATCH(A136,Оборудование!$A$2:$A$200,0)),"")</f>
        <v/>
      </c>
      <c r="G136" s="11" t="n"/>
      <c r="H136" s="12">
        <f>IF(G136="","",G136+100)</f>
        <v/>
      </c>
      <c r="I136" s="11" t="n"/>
      <c r="J136" s="11" t="n"/>
      <c r="K136" s="11" t="n"/>
      <c r="L136" s="12">
        <f>IF(K136="","",K136+5)</f>
        <v/>
      </c>
      <c r="M136" s="11" t="n"/>
      <c r="N136" s="12">
        <f>IF(M136&lt;&gt;"",M136,IF(L136="","",L136))</f>
        <v/>
      </c>
      <c r="O136" s="12">
        <f>IF(N136="","",N136+40)</f>
        <v/>
      </c>
      <c r="P136" s="11" t="n"/>
      <c r="Q136" s="12">
        <f>IF(P136&lt;&gt;"",P136,IF(O136="","",O136))</f>
        <v/>
      </c>
      <c r="R136" s="12">
        <f>IF(Q136="","",Q136+70)</f>
        <v/>
      </c>
      <c r="S136" s="11" t="n"/>
      <c r="T136" s="10">
        <f>IF(G136="","",IF(S136&lt;&gt;"","Завершено",IF(P136&lt;&gt;"","Ожидание оплаты",IF(M136&lt;&gt;"","Входной контроль",IF(K136&lt;&gt;"","Ожидание получения в Ленске",IF(I136&lt;&gt;"","В пути Иркутск → Ленск","Ремонт у подрядчика"))))))</f>
        <v/>
      </c>
      <c r="U136" s="10">
        <f>IF(H136="","",MAX(0,IF(I136&lt;&gt;"",I136,Настройки!$B$2)-H136))</f>
        <v/>
      </c>
      <c r="V136" s="10">
        <f>IF(L136="","",MAX(0,IF(M136&lt;&gt;"",M136,Настройки!$B$2)-L136))</f>
        <v/>
      </c>
      <c r="W136" s="10">
        <f>IF(O136="","",MAX(0,IF(P136&lt;&gt;"",P136,Настройки!$B$2)-O136))</f>
        <v/>
      </c>
      <c r="X136" s="10">
        <f>IF(R136="","",MAX(0,IF(S136&lt;&gt;"",S136,Настройки!$B$2)-R136))</f>
        <v/>
      </c>
      <c r="Y136" s="10">
        <f>MAX(U136:X136)</f>
        <v/>
      </c>
    </row>
    <row r="137">
      <c r="A137" s="9" t="n"/>
      <c r="B137" s="9" t="n"/>
      <c r="C137" s="10">
        <f>IFERROR(INDEX(Оборудование!$B$2:$B$200,MATCH(A137,Оборудование!$A$2:$A$200,0)),"")</f>
        <v/>
      </c>
      <c r="D137" s="10">
        <f>IFERROR(INDEX(Оборудование!$C$2:$C$200,MATCH(A137,Оборудование!$A$2:$A$200,0)),"")</f>
        <v/>
      </c>
      <c r="E137" s="10">
        <f>IFERROR(INDEX(Оборудование!$D$2:$D$200,MATCH(A137,Оборудование!$A$2:$A$200,0)),"")</f>
        <v/>
      </c>
      <c r="F137" s="10">
        <f>IFERROR(INDEX(Оборудование!$H$2:$H$200,MATCH(A137,Оборудование!$A$2:$A$200,0)),"")</f>
        <v/>
      </c>
      <c r="G137" s="11" t="n"/>
      <c r="H137" s="12">
        <f>IF(G137="","",G137+100)</f>
        <v/>
      </c>
      <c r="I137" s="11" t="n"/>
      <c r="J137" s="11" t="n"/>
      <c r="K137" s="11" t="n"/>
      <c r="L137" s="12">
        <f>IF(K137="","",K137+5)</f>
        <v/>
      </c>
      <c r="M137" s="11" t="n"/>
      <c r="N137" s="12">
        <f>IF(M137&lt;&gt;"",M137,IF(L137="","",L137))</f>
        <v/>
      </c>
      <c r="O137" s="12">
        <f>IF(N137="","",N137+40)</f>
        <v/>
      </c>
      <c r="P137" s="11" t="n"/>
      <c r="Q137" s="12">
        <f>IF(P137&lt;&gt;"",P137,IF(O137="","",O137))</f>
        <v/>
      </c>
      <c r="R137" s="12">
        <f>IF(Q137="","",Q137+70)</f>
        <v/>
      </c>
      <c r="S137" s="11" t="n"/>
      <c r="T137" s="10">
        <f>IF(G137="","",IF(S137&lt;&gt;"","Завершено",IF(P137&lt;&gt;"","Ожидание оплаты",IF(M137&lt;&gt;"","Входной контроль",IF(K137&lt;&gt;"","Ожидание получения в Ленске",IF(I137&lt;&gt;"","В пути Иркутск → Ленск","Ремонт у подрядчика"))))))</f>
        <v/>
      </c>
      <c r="U137" s="10">
        <f>IF(H137="","",MAX(0,IF(I137&lt;&gt;"",I137,Настройки!$B$2)-H137))</f>
        <v/>
      </c>
      <c r="V137" s="10">
        <f>IF(L137="","",MAX(0,IF(M137&lt;&gt;"",M137,Настройки!$B$2)-L137))</f>
        <v/>
      </c>
      <c r="W137" s="10">
        <f>IF(O137="","",MAX(0,IF(P137&lt;&gt;"",P137,Настройки!$B$2)-O137))</f>
        <v/>
      </c>
      <c r="X137" s="10">
        <f>IF(R137="","",MAX(0,IF(S137&lt;&gt;"",S137,Настройки!$B$2)-R137))</f>
        <v/>
      </c>
      <c r="Y137" s="10">
        <f>MAX(U137:X137)</f>
        <v/>
      </c>
    </row>
    <row r="138">
      <c r="A138" s="9" t="n"/>
      <c r="B138" s="9" t="n"/>
      <c r="C138" s="10">
        <f>IFERROR(INDEX(Оборудование!$B$2:$B$200,MATCH(A138,Оборудование!$A$2:$A$200,0)),"")</f>
        <v/>
      </c>
      <c r="D138" s="10">
        <f>IFERROR(INDEX(Оборудование!$C$2:$C$200,MATCH(A138,Оборудование!$A$2:$A$200,0)),"")</f>
        <v/>
      </c>
      <c r="E138" s="10">
        <f>IFERROR(INDEX(Оборудование!$D$2:$D$200,MATCH(A138,Оборудование!$A$2:$A$200,0)),"")</f>
        <v/>
      </c>
      <c r="F138" s="10">
        <f>IFERROR(INDEX(Оборудование!$H$2:$H$200,MATCH(A138,Оборудование!$A$2:$A$200,0)),"")</f>
        <v/>
      </c>
      <c r="G138" s="11" t="n"/>
      <c r="H138" s="12">
        <f>IF(G138="","",G138+100)</f>
        <v/>
      </c>
      <c r="I138" s="11" t="n"/>
      <c r="J138" s="11" t="n"/>
      <c r="K138" s="11" t="n"/>
      <c r="L138" s="12">
        <f>IF(K138="","",K138+5)</f>
        <v/>
      </c>
      <c r="M138" s="11" t="n"/>
      <c r="N138" s="12">
        <f>IF(M138&lt;&gt;"",M138,IF(L138="","",L138))</f>
        <v/>
      </c>
      <c r="O138" s="12">
        <f>IF(N138="","",N138+40)</f>
        <v/>
      </c>
      <c r="P138" s="11" t="n"/>
      <c r="Q138" s="12">
        <f>IF(P138&lt;&gt;"",P138,IF(O138="","",O138))</f>
        <v/>
      </c>
      <c r="R138" s="12">
        <f>IF(Q138="","",Q138+70)</f>
        <v/>
      </c>
      <c r="S138" s="11" t="n"/>
      <c r="T138" s="10">
        <f>IF(G138="","",IF(S138&lt;&gt;"","Завершено",IF(P138&lt;&gt;"","Ожидание оплаты",IF(M138&lt;&gt;"","Входной контроль",IF(K138&lt;&gt;"","Ожидание получения в Ленске",IF(I138&lt;&gt;"","В пути Иркутск → Ленск","Ремонт у подрядчика"))))))</f>
        <v/>
      </c>
      <c r="U138" s="10">
        <f>IF(H138="","",MAX(0,IF(I138&lt;&gt;"",I138,Настройки!$B$2)-H138))</f>
        <v/>
      </c>
      <c r="V138" s="10">
        <f>IF(L138="","",MAX(0,IF(M138&lt;&gt;"",M138,Настройки!$B$2)-L138))</f>
        <v/>
      </c>
      <c r="W138" s="10">
        <f>IF(O138="","",MAX(0,IF(P138&lt;&gt;"",P138,Настройки!$B$2)-O138))</f>
        <v/>
      </c>
      <c r="X138" s="10">
        <f>IF(R138="","",MAX(0,IF(S138&lt;&gt;"",S138,Настройки!$B$2)-R138))</f>
        <v/>
      </c>
      <c r="Y138" s="10">
        <f>MAX(U138:X138)</f>
        <v/>
      </c>
    </row>
    <row r="139">
      <c r="A139" s="9" t="n"/>
      <c r="B139" s="9" t="n"/>
      <c r="C139" s="10">
        <f>IFERROR(INDEX(Оборудование!$B$2:$B$200,MATCH(A139,Оборудование!$A$2:$A$200,0)),"")</f>
        <v/>
      </c>
      <c r="D139" s="10">
        <f>IFERROR(INDEX(Оборудование!$C$2:$C$200,MATCH(A139,Оборудование!$A$2:$A$200,0)),"")</f>
        <v/>
      </c>
      <c r="E139" s="10">
        <f>IFERROR(INDEX(Оборудование!$D$2:$D$200,MATCH(A139,Оборудование!$A$2:$A$200,0)),"")</f>
        <v/>
      </c>
      <c r="F139" s="10">
        <f>IFERROR(INDEX(Оборудование!$H$2:$H$200,MATCH(A139,Оборудование!$A$2:$A$200,0)),"")</f>
        <v/>
      </c>
      <c r="G139" s="11" t="n"/>
      <c r="H139" s="12">
        <f>IF(G139="","",G139+100)</f>
        <v/>
      </c>
      <c r="I139" s="11" t="n"/>
      <c r="J139" s="11" t="n"/>
      <c r="K139" s="11" t="n"/>
      <c r="L139" s="12">
        <f>IF(K139="","",K139+5)</f>
        <v/>
      </c>
      <c r="M139" s="11" t="n"/>
      <c r="N139" s="12">
        <f>IF(M139&lt;&gt;"",M139,IF(L139="","",L139))</f>
        <v/>
      </c>
      <c r="O139" s="12">
        <f>IF(N139="","",N139+40)</f>
        <v/>
      </c>
      <c r="P139" s="11" t="n"/>
      <c r="Q139" s="12">
        <f>IF(P139&lt;&gt;"",P139,IF(O139="","",O139))</f>
        <v/>
      </c>
      <c r="R139" s="12">
        <f>IF(Q139="","",Q139+70)</f>
        <v/>
      </c>
      <c r="S139" s="11" t="n"/>
      <c r="T139" s="10">
        <f>IF(G139="","",IF(S139&lt;&gt;"","Завершено",IF(P139&lt;&gt;"","Ожидание оплаты",IF(M139&lt;&gt;"","Входной контроль",IF(K139&lt;&gt;"","Ожидание получения в Ленске",IF(I139&lt;&gt;"","В пути Иркутск → Ленск","Ремонт у подрядчика"))))))</f>
        <v/>
      </c>
      <c r="U139" s="10">
        <f>IF(H139="","",MAX(0,IF(I139&lt;&gt;"",I139,Настройки!$B$2)-H139))</f>
        <v/>
      </c>
      <c r="V139" s="10">
        <f>IF(L139="","",MAX(0,IF(M139&lt;&gt;"",M139,Настройки!$B$2)-L139))</f>
        <v/>
      </c>
      <c r="W139" s="10">
        <f>IF(O139="","",MAX(0,IF(P139&lt;&gt;"",P139,Настройки!$B$2)-O139))</f>
        <v/>
      </c>
      <c r="X139" s="10">
        <f>IF(R139="","",MAX(0,IF(S139&lt;&gt;"",S139,Настройки!$B$2)-R139))</f>
        <v/>
      </c>
      <c r="Y139" s="10">
        <f>MAX(U139:X139)</f>
        <v/>
      </c>
    </row>
    <row r="140">
      <c r="A140" s="9" t="n"/>
      <c r="B140" s="9" t="n"/>
      <c r="C140" s="10">
        <f>IFERROR(INDEX(Оборудование!$B$2:$B$200,MATCH(A140,Оборудование!$A$2:$A$200,0)),"")</f>
        <v/>
      </c>
      <c r="D140" s="10">
        <f>IFERROR(INDEX(Оборудование!$C$2:$C$200,MATCH(A140,Оборудование!$A$2:$A$200,0)),"")</f>
        <v/>
      </c>
      <c r="E140" s="10">
        <f>IFERROR(INDEX(Оборудование!$D$2:$D$200,MATCH(A140,Оборудование!$A$2:$A$200,0)),"")</f>
        <v/>
      </c>
      <c r="F140" s="10">
        <f>IFERROR(INDEX(Оборудование!$H$2:$H$200,MATCH(A140,Оборудование!$A$2:$A$200,0)),"")</f>
        <v/>
      </c>
      <c r="G140" s="11" t="n"/>
      <c r="H140" s="12">
        <f>IF(G140="","",G140+100)</f>
        <v/>
      </c>
      <c r="I140" s="11" t="n"/>
      <c r="J140" s="11" t="n"/>
      <c r="K140" s="11" t="n"/>
      <c r="L140" s="12">
        <f>IF(K140="","",K140+5)</f>
        <v/>
      </c>
      <c r="M140" s="11" t="n"/>
      <c r="N140" s="12">
        <f>IF(M140&lt;&gt;"",M140,IF(L140="","",L140))</f>
        <v/>
      </c>
      <c r="O140" s="12">
        <f>IF(N140="","",N140+40)</f>
        <v/>
      </c>
      <c r="P140" s="11" t="n"/>
      <c r="Q140" s="12">
        <f>IF(P140&lt;&gt;"",P140,IF(O140="","",O140))</f>
        <v/>
      </c>
      <c r="R140" s="12">
        <f>IF(Q140="","",Q140+70)</f>
        <v/>
      </c>
      <c r="S140" s="11" t="n"/>
      <c r="T140" s="10">
        <f>IF(G140="","",IF(S140&lt;&gt;"","Завершено",IF(P140&lt;&gt;"","Ожидание оплаты",IF(M140&lt;&gt;"","Входной контроль",IF(K140&lt;&gt;"","Ожидание получения в Ленске",IF(I140&lt;&gt;"","В пути Иркутск → Ленск","Ремонт у подрядчика"))))))</f>
        <v/>
      </c>
      <c r="U140" s="10">
        <f>IF(H140="","",MAX(0,IF(I140&lt;&gt;"",I140,Настройки!$B$2)-H140))</f>
        <v/>
      </c>
      <c r="V140" s="10">
        <f>IF(L140="","",MAX(0,IF(M140&lt;&gt;"",M140,Настройки!$B$2)-L140))</f>
        <v/>
      </c>
      <c r="W140" s="10">
        <f>IF(O140="","",MAX(0,IF(P140&lt;&gt;"",P140,Настройки!$B$2)-O140))</f>
        <v/>
      </c>
      <c r="X140" s="10">
        <f>IF(R140="","",MAX(0,IF(S140&lt;&gt;"",S140,Настройки!$B$2)-R140))</f>
        <v/>
      </c>
      <c r="Y140" s="10">
        <f>MAX(U140:X140)</f>
        <v/>
      </c>
    </row>
    <row r="141">
      <c r="A141" s="9" t="n"/>
      <c r="B141" s="9" t="n"/>
      <c r="C141" s="10">
        <f>IFERROR(INDEX(Оборудование!$B$2:$B$200,MATCH(A141,Оборудование!$A$2:$A$200,0)),"")</f>
        <v/>
      </c>
      <c r="D141" s="10">
        <f>IFERROR(INDEX(Оборудование!$C$2:$C$200,MATCH(A141,Оборудование!$A$2:$A$200,0)),"")</f>
        <v/>
      </c>
      <c r="E141" s="10">
        <f>IFERROR(INDEX(Оборудование!$D$2:$D$200,MATCH(A141,Оборудование!$A$2:$A$200,0)),"")</f>
        <v/>
      </c>
      <c r="F141" s="10">
        <f>IFERROR(INDEX(Оборудование!$H$2:$H$200,MATCH(A141,Оборудование!$A$2:$A$200,0)),"")</f>
        <v/>
      </c>
      <c r="G141" s="11" t="n"/>
      <c r="H141" s="12">
        <f>IF(G141="","",G141+100)</f>
        <v/>
      </c>
      <c r="I141" s="11" t="n"/>
      <c r="J141" s="11" t="n"/>
      <c r="K141" s="11" t="n"/>
      <c r="L141" s="12">
        <f>IF(K141="","",K141+5)</f>
        <v/>
      </c>
      <c r="M141" s="11" t="n"/>
      <c r="N141" s="12">
        <f>IF(M141&lt;&gt;"",M141,IF(L141="","",L141))</f>
        <v/>
      </c>
      <c r="O141" s="12">
        <f>IF(N141="","",N141+40)</f>
        <v/>
      </c>
      <c r="P141" s="11" t="n"/>
      <c r="Q141" s="12">
        <f>IF(P141&lt;&gt;"",P141,IF(O141="","",O141))</f>
        <v/>
      </c>
      <c r="R141" s="12">
        <f>IF(Q141="","",Q141+70)</f>
        <v/>
      </c>
      <c r="S141" s="11" t="n"/>
      <c r="T141" s="10">
        <f>IF(G141="","",IF(S141&lt;&gt;"","Завершено",IF(P141&lt;&gt;"","Ожидание оплаты",IF(M141&lt;&gt;"","Входной контроль",IF(K141&lt;&gt;"","Ожидание получения в Ленске",IF(I141&lt;&gt;"","В пути Иркутск → Ленск","Ремонт у подрядчика"))))))</f>
        <v/>
      </c>
      <c r="U141" s="10">
        <f>IF(H141="","",MAX(0,IF(I141&lt;&gt;"",I141,Настройки!$B$2)-H141))</f>
        <v/>
      </c>
      <c r="V141" s="10">
        <f>IF(L141="","",MAX(0,IF(M141&lt;&gt;"",M141,Настройки!$B$2)-L141))</f>
        <v/>
      </c>
      <c r="W141" s="10">
        <f>IF(O141="","",MAX(0,IF(P141&lt;&gt;"",P141,Настройки!$B$2)-O141))</f>
        <v/>
      </c>
      <c r="X141" s="10">
        <f>IF(R141="","",MAX(0,IF(S141&lt;&gt;"",S141,Настройки!$B$2)-R141))</f>
        <v/>
      </c>
      <c r="Y141" s="10">
        <f>MAX(U141:X141)</f>
        <v/>
      </c>
    </row>
    <row r="142">
      <c r="A142" s="9" t="n"/>
      <c r="B142" s="9" t="n"/>
      <c r="C142" s="10">
        <f>IFERROR(INDEX(Оборудование!$B$2:$B$200,MATCH(A142,Оборудование!$A$2:$A$200,0)),"")</f>
        <v/>
      </c>
      <c r="D142" s="10">
        <f>IFERROR(INDEX(Оборудование!$C$2:$C$200,MATCH(A142,Оборудование!$A$2:$A$200,0)),"")</f>
        <v/>
      </c>
      <c r="E142" s="10">
        <f>IFERROR(INDEX(Оборудование!$D$2:$D$200,MATCH(A142,Оборудование!$A$2:$A$200,0)),"")</f>
        <v/>
      </c>
      <c r="F142" s="10">
        <f>IFERROR(INDEX(Оборудование!$H$2:$H$200,MATCH(A142,Оборудование!$A$2:$A$200,0)),"")</f>
        <v/>
      </c>
      <c r="G142" s="11" t="n"/>
      <c r="H142" s="12">
        <f>IF(G142="","",G142+100)</f>
        <v/>
      </c>
      <c r="I142" s="11" t="n"/>
      <c r="J142" s="11" t="n"/>
      <c r="K142" s="11" t="n"/>
      <c r="L142" s="12">
        <f>IF(K142="","",K142+5)</f>
        <v/>
      </c>
      <c r="M142" s="11" t="n"/>
      <c r="N142" s="12">
        <f>IF(M142&lt;&gt;"",M142,IF(L142="","",L142))</f>
        <v/>
      </c>
      <c r="O142" s="12">
        <f>IF(N142="","",N142+40)</f>
        <v/>
      </c>
      <c r="P142" s="11" t="n"/>
      <c r="Q142" s="12">
        <f>IF(P142&lt;&gt;"",P142,IF(O142="","",O142))</f>
        <v/>
      </c>
      <c r="R142" s="12">
        <f>IF(Q142="","",Q142+70)</f>
        <v/>
      </c>
      <c r="S142" s="11" t="n"/>
      <c r="T142" s="10">
        <f>IF(G142="","",IF(S142&lt;&gt;"","Завершено",IF(P142&lt;&gt;"","Ожидание оплаты",IF(M142&lt;&gt;"","Входной контроль",IF(K142&lt;&gt;"","Ожидание получения в Ленске",IF(I142&lt;&gt;"","В пути Иркутск → Ленск","Ремонт у подрядчика"))))))</f>
        <v/>
      </c>
      <c r="U142" s="10">
        <f>IF(H142="","",MAX(0,IF(I142&lt;&gt;"",I142,Настройки!$B$2)-H142))</f>
        <v/>
      </c>
      <c r="V142" s="10">
        <f>IF(L142="","",MAX(0,IF(M142&lt;&gt;"",M142,Настройки!$B$2)-L142))</f>
        <v/>
      </c>
      <c r="W142" s="10">
        <f>IF(O142="","",MAX(0,IF(P142&lt;&gt;"",P142,Настройки!$B$2)-O142))</f>
        <v/>
      </c>
      <c r="X142" s="10">
        <f>IF(R142="","",MAX(0,IF(S142&lt;&gt;"",S142,Настройки!$B$2)-R142))</f>
        <v/>
      </c>
      <c r="Y142" s="10">
        <f>MAX(U142:X142)</f>
        <v/>
      </c>
    </row>
    <row r="143">
      <c r="A143" s="9" t="n"/>
      <c r="B143" s="9" t="n"/>
      <c r="C143" s="10">
        <f>IFERROR(INDEX(Оборудование!$B$2:$B$200,MATCH(A143,Оборудование!$A$2:$A$200,0)),"")</f>
        <v/>
      </c>
      <c r="D143" s="10">
        <f>IFERROR(INDEX(Оборудование!$C$2:$C$200,MATCH(A143,Оборудование!$A$2:$A$200,0)),"")</f>
        <v/>
      </c>
      <c r="E143" s="10">
        <f>IFERROR(INDEX(Оборудование!$D$2:$D$200,MATCH(A143,Оборудование!$A$2:$A$200,0)),"")</f>
        <v/>
      </c>
      <c r="F143" s="10">
        <f>IFERROR(INDEX(Оборудование!$H$2:$H$200,MATCH(A143,Оборудование!$A$2:$A$200,0)),"")</f>
        <v/>
      </c>
      <c r="G143" s="11" t="n"/>
      <c r="H143" s="12">
        <f>IF(G143="","",G143+100)</f>
        <v/>
      </c>
      <c r="I143" s="11" t="n"/>
      <c r="J143" s="11" t="n"/>
      <c r="K143" s="11" t="n"/>
      <c r="L143" s="12">
        <f>IF(K143="","",K143+5)</f>
        <v/>
      </c>
      <c r="M143" s="11" t="n"/>
      <c r="N143" s="12">
        <f>IF(M143&lt;&gt;"",M143,IF(L143="","",L143))</f>
        <v/>
      </c>
      <c r="O143" s="12">
        <f>IF(N143="","",N143+40)</f>
        <v/>
      </c>
      <c r="P143" s="11" t="n"/>
      <c r="Q143" s="12">
        <f>IF(P143&lt;&gt;"",P143,IF(O143="","",O143))</f>
        <v/>
      </c>
      <c r="R143" s="12">
        <f>IF(Q143="","",Q143+70)</f>
        <v/>
      </c>
      <c r="S143" s="11" t="n"/>
      <c r="T143" s="10">
        <f>IF(G143="","",IF(S143&lt;&gt;"","Завершено",IF(P143&lt;&gt;"","Ожидание оплаты",IF(M143&lt;&gt;"","Входной контроль",IF(K143&lt;&gt;"","Ожидание получения в Ленске",IF(I143&lt;&gt;"","В пути Иркутск → Ленск","Ремонт у подрядчика"))))))</f>
        <v/>
      </c>
      <c r="U143" s="10">
        <f>IF(H143="","",MAX(0,IF(I143&lt;&gt;"",I143,Настройки!$B$2)-H143))</f>
        <v/>
      </c>
      <c r="V143" s="10">
        <f>IF(L143="","",MAX(0,IF(M143&lt;&gt;"",M143,Настройки!$B$2)-L143))</f>
        <v/>
      </c>
      <c r="W143" s="10">
        <f>IF(O143="","",MAX(0,IF(P143&lt;&gt;"",P143,Настройки!$B$2)-O143))</f>
        <v/>
      </c>
      <c r="X143" s="10">
        <f>IF(R143="","",MAX(0,IF(S143&lt;&gt;"",S143,Настройки!$B$2)-R143))</f>
        <v/>
      </c>
      <c r="Y143" s="10">
        <f>MAX(U143:X143)</f>
        <v/>
      </c>
    </row>
    <row r="144">
      <c r="A144" s="9" t="n"/>
      <c r="B144" s="9" t="n"/>
      <c r="C144" s="10">
        <f>IFERROR(INDEX(Оборудование!$B$2:$B$200,MATCH(A144,Оборудование!$A$2:$A$200,0)),"")</f>
        <v/>
      </c>
      <c r="D144" s="10">
        <f>IFERROR(INDEX(Оборудование!$C$2:$C$200,MATCH(A144,Оборудование!$A$2:$A$200,0)),"")</f>
        <v/>
      </c>
      <c r="E144" s="10">
        <f>IFERROR(INDEX(Оборудование!$D$2:$D$200,MATCH(A144,Оборудование!$A$2:$A$200,0)),"")</f>
        <v/>
      </c>
      <c r="F144" s="10">
        <f>IFERROR(INDEX(Оборудование!$H$2:$H$200,MATCH(A144,Оборудование!$A$2:$A$200,0)),"")</f>
        <v/>
      </c>
      <c r="G144" s="11" t="n"/>
      <c r="H144" s="12">
        <f>IF(G144="","",G144+100)</f>
        <v/>
      </c>
      <c r="I144" s="11" t="n"/>
      <c r="J144" s="11" t="n"/>
      <c r="K144" s="11" t="n"/>
      <c r="L144" s="12">
        <f>IF(K144="","",K144+5)</f>
        <v/>
      </c>
      <c r="M144" s="11" t="n"/>
      <c r="N144" s="12">
        <f>IF(M144&lt;&gt;"",M144,IF(L144="","",L144))</f>
        <v/>
      </c>
      <c r="O144" s="12">
        <f>IF(N144="","",N144+40)</f>
        <v/>
      </c>
      <c r="P144" s="11" t="n"/>
      <c r="Q144" s="12">
        <f>IF(P144&lt;&gt;"",P144,IF(O144="","",O144))</f>
        <v/>
      </c>
      <c r="R144" s="12">
        <f>IF(Q144="","",Q144+70)</f>
        <v/>
      </c>
      <c r="S144" s="11" t="n"/>
      <c r="T144" s="10">
        <f>IF(G144="","",IF(S144&lt;&gt;"","Завершено",IF(P144&lt;&gt;"","Ожидание оплаты",IF(M144&lt;&gt;"","Входной контроль",IF(K144&lt;&gt;"","Ожидание получения в Ленске",IF(I144&lt;&gt;"","В пути Иркутск → Ленск","Ремонт у подрядчика"))))))</f>
        <v/>
      </c>
      <c r="U144" s="10">
        <f>IF(H144="","",MAX(0,IF(I144&lt;&gt;"",I144,Настройки!$B$2)-H144))</f>
        <v/>
      </c>
      <c r="V144" s="10">
        <f>IF(L144="","",MAX(0,IF(M144&lt;&gt;"",M144,Настройки!$B$2)-L144))</f>
        <v/>
      </c>
      <c r="W144" s="10">
        <f>IF(O144="","",MAX(0,IF(P144&lt;&gt;"",P144,Настройки!$B$2)-O144))</f>
        <v/>
      </c>
      <c r="X144" s="10">
        <f>IF(R144="","",MAX(0,IF(S144&lt;&gt;"",S144,Настройки!$B$2)-R144))</f>
        <v/>
      </c>
      <c r="Y144" s="10">
        <f>MAX(U144:X144)</f>
        <v/>
      </c>
    </row>
    <row r="145">
      <c r="A145" s="9" t="n"/>
      <c r="B145" s="9" t="n"/>
      <c r="C145" s="10">
        <f>IFERROR(INDEX(Оборудование!$B$2:$B$200,MATCH(A145,Оборудование!$A$2:$A$200,0)),"")</f>
        <v/>
      </c>
      <c r="D145" s="10">
        <f>IFERROR(INDEX(Оборудование!$C$2:$C$200,MATCH(A145,Оборудование!$A$2:$A$200,0)),"")</f>
        <v/>
      </c>
      <c r="E145" s="10">
        <f>IFERROR(INDEX(Оборудование!$D$2:$D$200,MATCH(A145,Оборудование!$A$2:$A$200,0)),"")</f>
        <v/>
      </c>
      <c r="F145" s="10">
        <f>IFERROR(INDEX(Оборудование!$H$2:$H$200,MATCH(A145,Оборудование!$A$2:$A$200,0)),"")</f>
        <v/>
      </c>
      <c r="G145" s="11" t="n"/>
      <c r="H145" s="12">
        <f>IF(G145="","",G145+100)</f>
        <v/>
      </c>
      <c r="I145" s="11" t="n"/>
      <c r="J145" s="11" t="n"/>
      <c r="K145" s="11" t="n"/>
      <c r="L145" s="12">
        <f>IF(K145="","",K145+5)</f>
        <v/>
      </c>
      <c r="M145" s="11" t="n"/>
      <c r="N145" s="12">
        <f>IF(M145&lt;&gt;"",M145,IF(L145="","",L145))</f>
        <v/>
      </c>
      <c r="O145" s="12">
        <f>IF(N145="","",N145+40)</f>
        <v/>
      </c>
      <c r="P145" s="11" t="n"/>
      <c r="Q145" s="12">
        <f>IF(P145&lt;&gt;"",P145,IF(O145="","",O145))</f>
        <v/>
      </c>
      <c r="R145" s="12">
        <f>IF(Q145="","",Q145+70)</f>
        <v/>
      </c>
      <c r="S145" s="11" t="n"/>
      <c r="T145" s="10">
        <f>IF(G145="","",IF(S145&lt;&gt;"","Завершено",IF(P145&lt;&gt;"","Ожидание оплаты",IF(M145&lt;&gt;"","Входной контроль",IF(K145&lt;&gt;"","Ожидание получения в Ленске",IF(I145&lt;&gt;"","В пути Иркутск → Ленск","Ремонт у подрядчика"))))))</f>
        <v/>
      </c>
      <c r="U145" s="10">
        <f>IF(H145="","",MAX(0,IF(I145&lt;&gt;"",I145,Настройки!$B$2)-H145))</f>
        <v/>
      </c>
      <c r="V145" s="10">
        <f>IF(L145="","",MAX(0,IF(M145&lt;&gt;"",M145,Настройки!$B$2)-L145))</f>
        <v/>
      </c>
      <c r="W145" s="10">
        <f>IF(O145="","",MAX(0,IF(P145&lt;&gt;"",P145,Настройки!$B$2)-O145))</f>
        <v/>
      </c>
      <c r="X145" s="10">
        <f>IF(R145="","",MAX(0,IF(S145&lt;&gt;"",S145,Настройки!$B$2)-R145))</f>
        <v/>
      </c>
      <c r="Y145" s="10">
        <f>MAX(U145:X145)</f>
        <v/>
      </c>
    </row>
    <row r="146">
      <c r="A146" s="9" t="n"/>
      <c r="B146" s="9" t="n"/>
      <c r="C146" s="10">
        <f>IFERROR(INDEX(Оборудование!$B$2:$B$200,MATCH(A146,Оборудование!$A$2:$A$200,0)),"")</f>
        <v/>
      </c>
      <c r="D146" s="10">
        <f>IFERROR(INDEX(Оборудование!$C$2:$C$200,MATCH(A146,Оборудование!$A$2:$A$200,0)),"")</f>
        <v/>
      </c>
      <c r="E146" s="10">
        <f>IFERROR(INDEX(Оборудование!$D$2:$D$200,MATCH(A146,Оборудование!$A$2:$A$200,0)),"")</f>
        <v/>
      </c>
      <c r="F146" s="10">
        <f>IFERROR(INDEX(Оборудование!$H$2:$H$200,MATCH(A146,Оборудование!$A$2:$A$200,0)),"")</f>
        <v/>
      </c>
      <c r="G146" s="11" t="n"/>
      <c r="H146" s="12">
        <f>IF(G146="","",G146+100)</f>
        <v/>
      </c>
      <c r="I146" s="11" t="n"/>
      <c r="J146" s="11" t="n"/>
      <c r="K146" s="11" t="n"/>
      <c r="L146" s="12">
        <f>IF(K146="","",K146+5)</f>
        <v/>
      </c>
      <c r="M146" s="11" t="n"/>
      <c r="N146" s="12">
        <f>IF(M146&lt;&gt;"",M146,IF(L146="","",L146))</f>
        <v/>
      </c>
      <c r="O146" s="12">
        <f>IF(N146="","",N146+40)</f>
        <v/>
      </c>
      <c r="P146" s="11" t="n"/>
      <c r="Q146" s="12">
        <f>IF(P146&lt;&gt;"",P146,IF(O146="","",O146))</f>
        <v/>
      </c>
      <c r="R146" s="12">
        <f>IF(Q146="","",Q146+70)</f>
        <v/>
      </c>
      <c r="S146" s="11" t="n"/>
      <c r="T146" s="10">
        <f>IF(G146="","",IF(S146&lt;&gt;"","Завершено",IF(P146&lt;&gt;"","Ожидание оплаты",IF(M146&lt;&gt;"","Входной контроль",IF(K146&lt;&gt;"","Ожидание получения в Ленске",IF(I146&lt;&gt;"","В пути Иркутск → Ленск","Ремонт у подрядчика"))))))</f>
        <v/>
      </c>
      <c r="U146" s="10">
        <f>IF(H146="","",MAX(0,IF(I146&lt;&gt;"",I146,Настройки!$B$2)-H146))</f>
        <v/>
      </c>
      <c r="V146" s="10">
        <f>IF(L146="","",MAX(0,IF(M146&lt;&gt;"",M146,Настройки!$B$2)-L146))</f>
        <v/>
      </c>
      <c r="W146" s="10">
        <f>IF(O146="","",MAX(0,IF(P146&lt;&gt;"",P146,Настройки!$B$2)-O146))</f>
        <v/>
      </c>
      <c r="X146" s="10">
        <f>IF(R146="","",MAX(0,IF(S146&lt;&gt;"",S146,Настройки!$B$2)-R146))</f>
        <v/>
      </c>
      <c r="Y146" s="10">
        <f>MAX(U146:X146)</f>
        <v/>
      </c>
    </row>
    <row r="147">
      <c r="A147" s="9" t="n"/>
      <c r="B147" s="9" t="n"/>
      <c r="C147" s="10">
        <f>IFERROR(INDEX(Оборудование!$B$2:$B$200,MATCH(A147,Оборудование!$A$2:$A$200,0)),"")</f>
        <v/>
      </c>
      <c r="D147" s="10">
        <f>IFERROR(INDEX(Оборудование!$C$2:$C$200,MATCH(A147,Оборудование!$A$2:$A$200,0)),"")</f>
        <v/>
      </c>
      <c r="E147" s="10">
        <f>IFERROR(INDEX(Оборудование!$D$2:$D$200,MATCH(A147,Оборудование!$A$2:$A$200,0)),"")</f>
        <v/>
      </c>
      <c r="F147" s="10">
        <f>IFERROR(INDEX(Оборудование!$H$2:$H$200,MATCH(A147,Оборудование!$A$2:$A$200,0)),"")</f>
        <v/>
      </c>
      <c r="G147" s="11" t="n"/>
      <c r="H147" s="12">
        <f>IF(G147="","",G147+100)</f>
        <v/>
      </c>
      <c r="I147" s="11" t="n"/>
      <c r="J147" s="11" t="n"/>
      <c r="K147" s="11" t="n"/>
      <c r="L147" s="12">
        <f>IF(K147="","",K147+5)</f>
        <v/>
      </c>
      <c r="M147" s="11" t="n"/>
      <c r="N147" s="12">
        <f>IF(M147&lt;&gt;"",M147,IF(L147="","",L147))</f>
        <v/>
      </c>
      <c r="O147" s="12">
        <f>IF(N147="","",N147+40)</f>
        <v/>
      </c>
      <c r="P147" s="11" t="n"/>
      <c r="Q147" s="12">
        <f>IF(P147&lt;&gt;"",P147,IF(O147="","",O147))</f>
        <v/>
      </c>
      <c r="R147" s="12">
        <f>IF(Q147="","",Q147+70)</f>
        <v/>
      </c>
      <c r="S147" s="11" t="n"/>
      <c r="T147" s="10">
        <f>IF(G147="","",IF(S147&lt;&gt;"","Завершено",IF(P147&lt;&gt;"","Ожидание оплаты",IF(M147&lt;&gt;"","Входной контроль",IF(K147&lt;&gt;"","Ожидание получения в Ленске",IF(I147&lt;&gt;"","В пути Иркутск → Ленск","Ремонт у подрядчика"))))))</f>
        <v/>
      </c>
      <c r="U147" s="10">
        <f>IF(H147="","",MAX(0,IF(I147&lt;&gt;"",I147,Настройки!$B$2)-H147))</f>
        <v/>
      </c>
      <c r="V147" s="10">
        <f>IF(L147="","",MAX(0,IF(M147&lt;&gt;"",M147,Настройки!$B$2)-L147))</f>
        <v/>
      </c>
      <c r="W147" s="10">
        <f>IF(O147="","",MAX(0,IF(P147&lt;&gt;"",P147,Настройки!$B$2)-O147))</f>
        <v/>
      </c>
      <c r="X147" s="10">
        <f>IF(R147="","",MAX(0,IF(S147&lt;&gt;"",S147,Настройки!$B$2)-R147))</f>
        <v/>
      </c>
      <c r="Y147" s="10">
        <f>MAX(U147:X147)</f>
        <v/>
      </c>
    </row>
    <row r="148">
      <c r="A148" s="9" t="n"/>
      <c r="B148" s="9" t="n"/>
      <c r="C148" s="10">
        <f>IFERROR(INDEX(Оборудование!$B$2:$B$200,MATCH(A148,Оборудование!$A$2:$A$200,0)),"")</f>
        <v/>
      </c>
      <c r="D148" s="10">
        <f>IFERROR(INDEX(Оборудование!$C$2:$C$200,MATCH(A148,Оборудование!$A$2:$A$200,0)),"")</f>
        <v/>
      </c>
      <c r="E148" s="10">
        <f>IFERROR(INDEX(Оборудование!$D$2:$D$200,MATCH(A148,Оборудование!$A$2:$A$200,0)),"")</f>
        <v/>
      </c>
      <c r="F148" s="10">
        <f>IFERROR(INDEX(Оборудование!$H$2:$H$200,MATCH(A148,Оборудование!$A$2:$A$200,0)),"")</f>
        <v/>
      </c>
      <c r="G148" s="11" t="n"/>
      <c r="H148" s="12">
        <f>IF(G148="","",G148+100)</f>
        <v/>
      </c>
      <c r="I148" s="11" t="n"/>
      <c r="J148" s="11" t="n"/>
      <c r="K148" s="11" t="n"/>
      <c r="L148" s="12">
        <f>IF(K148="","",K148+5)</f>
        <v/>
      </c>
      <c r="M148" s="11" t="n"/>
      <c r="N148" s="12">
        <f>IF(M148&lt;&gt;"",M148,IF(L148="","",L148))</f>
        <v/>
      </c>
      <c r="O148" s="12">
        <f>IF(N148="","",N148+40)</f>
        <v/>
      </c>
      <c r="P148" s="11" t="n"/>
      <c r="Q148" s="12">
        <f>IF(P148&lt;&gt;"",P148,IF(O148="","",O148))</f>
        <v/>
      </c>
      <c r="R148" s="12">
        <f>IF(Q148="","",Q148+70)</f>
        <v/>
      </c>
      <c r="S148" s="11" t="n"/>
      <c r="T148" s="10">
        <f>IF(G148="","",IF(S148&lt;&gt;"","Завершено",IF(P148&lt;&gt;"","Ожидание оплаты",IF(M148&lt;&gt;"","Входной контроль",IF(K148&lt;&gt;"","Ожидание получения в Ленске",IF(I148&lt;&gt;"","В пути Иркутск → Ленск","Ремонт у подрядчика"))))))</f>
        <v/>
      </c>
      <c r="U148" s="10">
        <f>IF(H148="","",MAX(0,IF(I148&lt;&gt;"",I148,Настройки!$B$2)-H148))</f>
        <v/>
      </c>
      <c r="V148" s="10">
        <f>IF(L148="","",MAX(0,IF(M148&lt;&gt;"",M148,Настройки!$B$2)-L148))</f>
        <v/>
      </c>
      <c r="W148" s="10">
        <f>IF(O148="","",MAX(0,IF(P148&lt;&gt;"",P148,Настройки!$B$2)-O148))</f>
        <v/>
      </c>
      <c r="X148" s="10">
        <f>IF(R148="","",MAX(0,IF(S148&lt;&gt;"",S148,Настройки!$B$2)-R148))</f>
        <v/>
      </c>
      <c r="Y148" s="10">
        <f>MAX(U148:X148)</f>
        <v/>
      </c>
    </row>
    <row r="149">
      <c r="A149" s="9" t="n"/>
      <c r="B149" s="9" t="n"/>
      <c r="C149" s="10">
        <f>IFERROR(INDEX(Оборудование!$B$2:$B$200,MATCH(A149,Оборудование!$A$2:$A$200,0)),"")</f>
        <v/>
      </c>
      <c r="D149" s="10">
        <f>IFERROR(INDEX(Оборудование!$C$2:$C$200,MATCH(A149,Оборудование!$A$2:$A$200,0)),"")</f>
        <v/>
      </c>
      <c r="E149" s="10">
        <f>IFERROR(INDEX(Оборудование!$D$2:$D$200,MATCH(A149,Оборудование!$A$2:$A$200,0)),"")</f>
        <v/>
      </c>
      <c r="F149" s="10">
        <f>IFERROR(INDEX(Оборудование!$H$2:$H$200,MATCH(A149,Оборудование!$A$2:$A$200,0)),"")</f>
        <v/>
      </c>
      <c r="G149" s="11" t="n"/>
      <c r="H149" s="12">
        <f>IF(G149="","",G149+100)</f>
        <v/>
      </c>
      <c r="I149" s="11" t="n"/>
      <c r="J149" s="11" t="n"/>
      <c r="K149" s="11" t="n"/>
      <c r="L149" s="12">
        <f>IF(K149="","",K149+5)</f>
        <v/>
      </c>
      <c r="M149" s="11" t="n"/>
      <c r="N149" s="12">
        <f>IF(M149&lt;&gt;"",M149,IF(L149="","",L149))</f>
        <v/>
      </c>
      <c r="O149" s="12">
        <f>IF(N149="","",N149+40)</f>
        <v/>
      </c>
      <c r="P149" s="11" t="n"/>
      <c r="Q149" s="12">
        <f>IF(P149&lt;&gt;"",P149,IF(O149="","",O149))</f>
        <v/>
      </c>
      <c r="R149" s="12">
        <f>IF(Q149="","",Q149+70)</f>
        <v/>
      </c>
      <c r="S149" s="11" t="n"/>
      <c r="T149" s="10">
        <f>IF(G149="","",IF(S149&lt;&gt;"","Завершено",IF(P149&lt;&gt;"","Ожидание оплаты",IF(M149&lt;&gt;"","Входной контроль",IF(K149&lt;&gt;"","Ожидание получения в Ленске",IF(I149&lt;&gt;"","В пути Иркутск → Ленск","Ремонт у подрядчика"))))))</f>
        <v/>
      </c>
      <c r="U149" s="10">
        <f>IF(H149="","",MAX(0,IF(I149&lt;&gt;"",I149,Настройки!$B$2)-H149))</f>
        <v/>
      </c>
      <c r="V149" s="10">
        <f>IF(L149="","",MAX(0,IF(M149&lt;&gt;"",M149,Настройки!$B$2)-L149))</f>
        <v/>
      </c>
      <c r="W149" s="10">
        <f>IF(O149="","",MAX(0,IF(P149&lt;&gt;"",P149,Настройки!$B$2)-O149))</f>
        <v/>
      </c>
      <c r="X149" s="10">
        <f>IF(R149="","",MAX(0,IF(S149&lt;&gt;"",S149,Настройки!$B$2)-R149))</f>
        <v/>
      </c>
      <c r="Y149" s="10">
        <f>MAX(U149:X149)</f>
        <v/>
      </c>
    </row>
    <row r="150">
      <c r="A150" s="9" t="n"/>
      <c r="B150" s="9" t="n"/>
      <c r="C150" s="10">
        <f>IFERROR(INDEX(Оборудование!$B$2:$B$200,MATCH(A150,Оборудование!$A$2:$A$200,0)),"")</f>
        <v/>
      </c>
      <c r="D150" s="10">
        <f>IFERROR(INDEX(Оборудование!$C$2:$C$200,MATCH(A150,Оборудование!$A$2:$A$200,0)),"")</f>
        <v/>
      </c>
      <c r="E150" s="10">
        <f>IFERROR(INDEX(Оборудование!$D$2:$D$200,MATCH(A150,Оборудование!$A$2:$A$200,0)),"")</f>
        <v/>
      </c>
      <c r="F150" s="10">
        <f>IFERROR(INDEX(Оборудование!$H$2:$H$200,MATCH(A150,Оборудование!$A$2:$A$200,0)),"")</f>
        <v/>
      </c>
      <c r="G150" s="11" t="n"/>
      <c r="H150" s="12">
        <f>IF(G150="","",G150+100)</f>
        <v/>
      </c>
      <c r="I150" s="11" t="n"/>
      <c r="J150" s="11" t="n"/>
      <c r="K150" s="11" t="n"/>
      <c r="L150" s="12">
        <f>IF(K150="","",K150+5)</f>
        <v/>
      </c>
      <c r="M150" s="11" t="n"/>
      <c r="N150" s="12">
        <f>IF(M150&lt;&gt;"",M150,IF(L150="","",L150))</f>
        <v/>
      </c>
      <c r="O150" s="12">
        <f>IF(N150="","",N150+40)</f>
        <v/>
      </c>
      <c r="P150" s="11" t="n"/>
      <c r="Q150" s="12">
        <f>IF(P150&lt;&gt;"",P150,IF(O150="","",O150))</f>
        <v/>
      </c>
      <c r="R150" s="12">
        <f>IF(Q150="","",Q150+70)</f>
        <v/>
      </c>
      <c r="S150" s="11" t="n"/>
      <c r="T150" s="10">
        <f>IF(G150="","",IF(S150&lt;&gt;"","Завершено",IF(P150&lt;&gt;"","Ожидание оплаты",IF(M150&lt;&gt;"","Входной контроль",IF(K150&lt;&gt;"","Ожидание получения в Ленске",IF(I150&lt;&gt;"","В пути Иркутск → Ленск","Ремонт у подрядчика"))))))</f>
        <v/>
      </c>
      <c r="U150" s="10">
        <f>IF(H150="","",MAX(0,IF(I150&lt;&gt;"",I150,Настройки!$B$2)-H150))</f>
        <v/>
      </c>
      <c r="V150" s="10">
        <f>IF(L150="","",MAX(0,IF(M150&lt;&gt;"",M150,Настройки!$B$2)-L150))</f>
        <v/>
      </c>
      <c r="W150" s="10">
        <f>IF(O150="","",MAX(0,IF(P150&lt;&gt;"",P150,Настройки!$B$2)-O150))</f>
        <v/>
      </c>
      <c r="X150" s="10">
        <f>IF(R150="","",MAX(0,IF(S150&lt;&gt;"",S150,Настройки!$B$2)-R150))</f>
        <v/>
      </c>
      <c r="Y150" s="10">
        <f>MAX(U150:X150)</f>
        <v/>
      </c>
    </row>
    <row r="151">
      <c r="A151" s="9" t="n"/>
      <c r="B151" s="9" t="n"/>
      <c r="C151" s="10">
        <f>IFERROR(INDEX(Оборудование!$B$2:$B$200,MATCH(A151,Оборудование!$A$2:$A$200,0)),"")</f>
        <v/>
      </c>
      <c r="D151" s="10">
        <f>IFERROR(INDEX(Оборудование!$C$2:$C$200,MATCH(A151,Оборудование!$A$2:$A$200,0)),"")</f>
        <v/>
      </c>
      <c r="E151" s="10">
        <f>IFERROR(INDEX(Оборудование!$D$2:$D$200,MATCH(A151,Оборудование!$A$2:$A$200,0)),"")</f>
        <v/>
      </c>
      <c r="F151" s="10">
        <f>IFERROR(INDEX(Оборудование!$H$2:$H$200,MATCH(A151,Оборудование!$A$2:$A$200,0)),"")</f>
        <v/>
      </c>
      <c r="G151" s="11" t="n"/>
      <c r="H151" s="12">
        <f>IF(G151="","",G151+100)</f>
        <v/>
      </c>
      <c r="I151" s="11" t="n"/>
      <c r="J151" s="11" t="n"/>
      <c r="K151" s="11" t="n"/>
      <c r="L151" s="12">
        <f>IF(K151="","",K151+5)</f>
        <v/>
      </c>
      <c r="M151" s="11" t="n"/>
      <c r="N151" s="12">
        <f>IF(M151&lt;&gt;"",M151,IF(L151="","",L151))</f>
        <v/>
      </c>
      <c r="O151" s="12">
        <f>IF(N151="","",N151+40)</f>
        <v/>
      </c>
      <c r="P151" s="11" t="n"/>
      <c r="Q151" s="12">
        <f>IF(P151&lt;&gt;"",P151,IF(O151="","",O151))</f>
        <v/>
      </c>
      <c r="R151" s="12">
        <f>IF(Q151="","",Q151+70)</f>
        <v/>
      </c>
      <c r="S151" s="11" t="n"/>
      <c r="T151" s="10">
        <f>IF(G151="","",IF(S151&lt;&gt;"","Завершено",IF(P151&lt;&gt;"","Ожидание оплаты",IF(M151&lt;&gt;"","Входной контроль",IF(K151&lt;&gt;"","Ожидание получения в Ленске",IF(I151&lt;&gt;"","В пути Иркутск → Ленск","Ремонт у подрядчика"))))))</f>
        <v/>
      </c>
      <c r="U151" s="10">
        <f>IF(H151="","",MAX(0,IF(I151&lt;&gt;"",I151,Настройки!$B$2)-H151))</f>
        <v/>
      </c>
      <c r="V151" s="10">
        <f>IF(L151="","",MAX(0,IF(M151&lt;&gt;"",M151,Настройки!$B$2)-L151))</f>
        <v/>
      </c>
      <c r="W151" s="10">
        <f>IF(O151="","",MAX(0,IF(P151&lt;&gt;"",P151,Настройки!$B$2)-O151))</f>
        <v/>
      </c>
      <c r="X151" s="10">
        <f>IF(R151="","",MAX(0,IF(S151&lt;&gt;"",S151,Настройки!$B$2)-R151))</f>
        <v/>
      </c>
      <c r="Y151" s="10">
        <f>MAX(U151:X151)</f>
        <v/>
      </c>
    </row>
    <row r="152">
      <c r="A152" s="9" t="n"/>
      <c r="B152" s="9" t="n"/>
      <c r="C152" s="10">
        <f>IFERROR(INDEX(Оборудование!$B$2:$B$200,MATCH(A152,Оборудование!$A$2:$A$200,0)),"")</f>
        <v/>
      </c>
      <c r="D152" s="10">
        <f>IFERROR(INDEX(Оборудование!$C$2:$C$200,MATCH(A152,Оборудование!$A$2:$A$200,0)),"")</f>
        <v/>
      </c>
      <c r="E152" s="10">
        <f>IFERROR(INDEX(Оборудование!$D$2:$D$200,MATCH(A152,Оборудование!$A$2:$A$200,0)),"")</f>
        <v/>
      </c>
      <c r="F152" s="10">
        <f>IFERROR(INDEX(Оборудование!$H$2:$H$200,MATCH(A152,Оборудование!$A$2:$A$200,0)),"")</f>
        <v/>
      </c>
      <c r="G152" s="11" t="n"/>
      <c r="H152" s="12">
        <f>IF(G152="","",G152+100)</f>
        <v/>
      </c>
      <c r="I152" s="11" t="n"/>
      <c r="J152" s="11" t="n"/>
      <c r="K152" s="11" t="n"/>
      <c r="L152" s="12">
        <f>IF(K152="","",K152+5)</f>
        <v/>
      </c>
      <c r="M152" s="11" t="n"/>
      <c r="N152" s="12">
        <f>IF(M152&lt;&gt;"",M152,IF(L152="","",L152))</f>
        <v/>
      </c>
      <c r="O152" s="12">
        <f>IF(N152="","",N152+40)</f>
        <v/>
      </c>
      <c r="P152" s="11" t="n"/>
      <c r="Q152" s="12">
        <f>IF(P152&lt;&gt;"",P152,IF(O152="","",O152))</f>
        <v/>
      </c>
      <c r="R152" s="12">
        <f>IF(Q152="","",Q152+70)</f>
        <v/>
      </c>
      <c r="S152" s="11" t="n"/>
      <c r="T152" s="10">
        <f>IF(G152="","",IF(S152&lt;&gt;"","Завершено",IF(P152&lt;&gt;"","Ожидание оплаты",IF(M152&lt;&gt;"","Входной контроль",IF(K152&lt;&gt;"","Ожидание получения в Ленске",IF(I152&lt;&gt;"","В пути Иркутск → Ленск","Ремонт у подрядчика"))))))</f>
        <v/>
      </c>
      <c r="U152" s="10">
        <f>IF(H152="","",MAX(0,IF(I152&lt;&gt;"",I152,Настройки!$B$2)-H152))</f>
        <v/>
      </c>
      <c r="V152" s="10">
        <f>IF(L152="","",MAX(0,IF(M152&lt;&gt;"",M152,Настройки!$B$2)-L152))</f>
        <v/>
      </c>
      <c r="W152" s="10">
        <f>IF(O152="","",MAX(0,IF(P152&lt;&gt;"",P152,Настройки!$B$2)-O152))</f>
        <v/>
      </c>
      <c r="X152" s="10">
        <f>IF(R152="","",MAX(0,IF(S152&lt;&gt;"",S152,Настройки!$B$2)-R152))</f>
        <v/>
      </c>
      <c r="Y152" s="10">
        <f>MAX(U152:X152)</f>
        <v/>
      </c>
    </row>
    <row r="153">
      <c r="A153" s="9" t="n"/>
      <c r="B153" s="9" t="n"/>
      <c r="C153" s="10">
        <f>IFERROR(INDEX(Оборудование!$B$2:$B$200,MATCH(A153,Оборудование!$A$2:$A$200,0)),"")</f>
        <v/>
      </c>
      <c r="D153" s="10">
        <f>IFERROR(INDEX(Оборудование!$C$2:$C$200,MATCH(A153,Оборудование!$A$2:$A$200,0)),"")</f>
        <v/>
      </c>
      <c r="E153" s="10">
        <f>IFERROR(INDEX(Оборудование!$D$2:$D$200,MATCH(A153,Оборудование!$A$2:$A$200,0)),"")</f>
        <v/>
      </c>
      <c r="F153" s="10">
        <f>IFERROR(INDEX(Оборудование!$H$2:$H$200,MATCH(A153,Оборудование!$A$2:$A$200,0)),"")</f>
        <v/>
      </c>
      <c r="G153" s="11" t="n"/>
      <c r="H153" s="12">
        <f>IF(G153="","",G153+100)</f>
        <v/>
      </c>
      <c r="I153" s="11" t="n"/>
      <c r="J153" s="11" t="n"/>
      <c r="K153" s="11" t="n"/>
      <c r="L153" s="12">
        <f>IF(K153="","",K153+5)</f>
        <v/>
      </c>
      <c r="M153" s="11" t="n"/>
      <c r="N153" s="12">
        <f>IF(M153&lt;&gt;"",M153,IF(L153="","",L153))</f>
        <v/>
      </c>
      <c r="O153" s="12">
        <f>IF(N153="","",N153+40)</f>
        <v/>
      </c>
      <c r="P153" s="11" t="n"/>
      <c r="Q153" s="12">
        <f>IF(P153&lt;&gt;"",P153,IF(O153="","",O153))</f>
        <v/>
      </c>
      <c r="R153" s="12">
        <f>IF(Q153="","",Q153+70)</f>
        <v/>
      </c>
      <c r="S153" s="11" t="n"/>
      <c r="T153" s="10">
        <f>IF(G153="","",IF(S153&lt;&gt;"","Завершено",IF(P153&lt;&gt;"","Ожидание оплаты",IF(M153&lt;&gt;"","Входной контроль",IF(K153&lt;&gt;"","Ожидание получения в Ленске",IF(I153&lt;&gt;"","В пути Иркутск → Ленск","Ремонт у подрядчика"))))))</f>
        <v/>
      </c>
      <c r="U153" s="10">
        <f>IF(H153="","",MAX(0,IF(I153&lt;&gt;"",I153,Настройки!$B$2)-H153))</f>
        <v/>
      </c>
      <c r="V153" s="10">
        <f>IF(L153="","",MAX(0,IF(M153&lt;&gt;"",M153,Настройки!$B$2)-L153))</f>
        <v/>
      </c>
      <c r="W153" s="10">
        <f>IF(O153="","",MAX(0,IF(P153&lt;&gt;"",P153,Настройки!$B$2)-O153))</f>
        <v/>
      </c>
      <c r="X153" s="10">
        <f>IF(R153="","",MAX(0,IF(S153&lt;&gt;"",S153,Настройки!$B$2)-R153))</f>
        <v/>
      </c>
      <c r="Y153" s="10">
        <f>MAX(U153:X153)</f>
        <v/>
      </c>
    </row>
    <row r="154">
      <c r="A154" s="9" t="n"/>
      <c r="B154" s="9" t="n"/>
      <c r="C154" s="10">
        <f>IFERROR(INDEX(Оборудование!$B$2:$B$200,MATCH(A154,Оборудование!$A$2:$A$200,0)),"")</f>
        <v/>
      </c>
      <c r="D154" s="10">
        <f>IFERROR(INDEX(Оборудование!$C$2:$C$200,MATCH(A154,Оборудование!$A$2:$A$200,0)),"")</f>
        <v/>
      </c>
      <c r="E154" s="10">
        <f>IFERROR(INDEX(Оборудование!$D$2:$D$200,MATCH(A154,Оборудование!$A$2:$A$200,0)),"")</f>
        <v/>
      </c>
      <c r="F154" s="10">
        <f>IFERROR(INDEX(Оборудование!$H$2:$H$200,MATCH(A154,Оборудование!$A$2:$A$200,0)),"")</f>
        <v/>
      </c>
      <c r="G154" s="11" t="n"/>
      <c r="H154" s="12">
        <f>IF(G154="","",G154+100)</f>
        <v/>
      </c>
      <c r="I154" s="11" t="n"/>
      <c r="J154" s="11" t="n"/>
      <c r="K154" s="11" t="n"/>
      <c r="L154" s="12">
        <f>IF(K154="","",K154+5)</f>
        <v/>
      </c>
      <c r="M154" s="11" t="n"/>
      <c r="N154" s="12">
        <f>IF(M154&lt;&gt;"",M154,IF(L154="","",L154))</f>
        <v/>
      </c>
      <c r="O154" s="12">
        <f>IF(N154="","",N154+40)</f>
        <v/>
      </c>
      <c r="P154" s="11" t="n"/>
      <c r="Q154" s="12">
        <f>IF(P154&lt;&gt;"",P154,IF(O154="","",O154))</f>
        <v/>
      </c>
      <c r="R154" s="12">
        <f>IF(Q154="","",Q154+70)</f>
        <v/>
      </c>
      <c r="S154" s="11" t="n"/>
      <c r="T154" s="10">
        <f>IF(G154="","",IF(S154&lt;&gt;"","Завершено",IF(P154&lt;&gt;"","Ожидание оплаты",IF(M154&lt;&gt;"","Входной контроль",IF(K154&lt;&gt;"","Ожидание получения в Ленске",IF(I154&lt;&gt;"","В пути Иркутск → Ленск","Ремонт у подрядчика"))))))</f>
        <v/>
      </c>
      <c r="U154" s="10">
        <f>IF(H154="","",MAX(0,IF(I154&lt;&gt;"",I154,Настройки!$B$2)-H154))</f>
        <v/>
      </c>
      <c r="V154" s="10">
        <f>IF(L154="","",MAX(0,IF(M154&lt;&gt;"",M154,Настройки!$B$2)-L154))</f>
        <v/>
      </c>
      <c r="W154" s="10">
        <f>IF(O154="","",MAX(0,IF(P154&lt;&gt;"",P154,Настройки!$B$2)-O154))</f>
        <v/>
      </c>
      <c r="X154" s="10">
        <f>IF(R154="","",MAX(0,IF(S154&lt;&gt;"",S154,Настройки!$B$2)-R154))</f>
        <v/>
      </c>
      <c r="Y154" s="10">
        <f>MAX(U154:X154)</f>
        <v/>
      </c>
    </row>
    <row r="155">
      <c r="A155" s="9" t="n"/>
      <c r="B155" s="9" t="n"/>
      <c r="C155" s="10">
        <f>IFERROR(INDEX(Оборудование!$B$2:$B$200,MATCH(A155,Оборудование!$A$2:$A$200,0)),"")</f>
        <v/>
      </c>
      <c r="D155" s="10">
        <f>IFERROR(INDEX(Оборудование!$C$2:$C$200,MATCH(A155,Оборудование!$A$2:$A$200,0)),"")</f>
        <v/>
      </c>
      <c r="E155" s="10">
        <f>IFERROR(INDEX(Оборудование!$D$2:$D$200,MATCH(A155,Оборудование!$A$2:$A$200,0)),"")</f>
        <v/>
      </c>
      <c r="F155" s="10">
        <f>IFERROR(INDEX(Оборудование!$H$2:$H$200,MATCH(A155,Оборудование!$A$2:$A$200,0)),"")</f>
        <v/>
      </c>
      <c r="G155" s="11" t="n"/>
      <c r="H155" s="12">
        <f>IF(G155="","",G155+100)</f>
        <v/>
      </c>
      <c r="I155" s="11" t="n"/>
      <c r="J155" s="11" t="n"/>
      <c r="K155" s="11" t="n"/>
      <c r="L155" s="12">
        <f>IF(K155="","",K155+5)</f>
        <v/>
      </c>
      <c r="M155" s="11" t="n"/>
      <c r="N155" s="12">
        <f>IF(M155&lt;&gt;"",M155,IF(L155="","",L155))</f>
        <v/>
      </c>
      <c r="O155" s="12">
        <f>IF(N155="","",N155+40)</f>
        <v/>
      </c>
      <c r="P155" s="11" t="n"/>
      <c r="Q155" s="12">
        <f>IF(P155&lt;&gt;"",P155,IF(O155="","",O155))</f>
        <v/>
      </c>
      <c r="R155" s="12">
        <f>IF(Q155="","",Q155+70)</f>
        <v/>
      </c>
      <c r="S155" s="11" t="n"/>
      <c r="T155" s="10">
        <f>IF(G155="","",IF(S155&lt;&gt;"","Завершено",IF(P155&lt;&gt;"","Ожидание оплаты",IF(M155&lt;&gt;"","Входной контроль",IF(K155&lt;&gt;"","Ожидание получения в Ленске",IF(I155&lt;&gt;"","В пути Иркутск → Ленск","Ремонт у подрядчика"))))))</f>
        <v/>
      </c>
      <c r="U155" s="10">
        <f>IF(H155="","",MAX(0,IF(I155&lt;&gt;"",I155,Настройки!$B$2)-H155))</f>
        <v/>
      </c>
      <c r="V155" s="10">
        <f>IF(L155="","",MAX(0,IF(M155&lt;&gt;"",M155,Настройки!$B$2)-L155))</f>
        <v/>
      </c>
      <c r="W155" s="10">
        <f>IF(O155="","",MAX(0,IF(P155&lt;&gt;"",P155,Настройки!$B$2)-O155))</f>
        <v/>
      </c>
      <c r="X155" s="10">
        <f>IF(R155="","",MAX(0,IF(S155&lt;&gt;"",S155,Настройки!$B$2)-R155))</f>
        <v/>
      </c>
      <c r="Y155" s="10">
        <f>MAX(U155:X155)</f>
        <v/>
      </c>
    </row>
    <row r="156">
      <c r="A156" s="9" t="n"/>
      <c r="B156" s="9" t="n"/>
      <c r="C156" s="10">
        <f>IFERROR(INDEX(Оборудование!$B$2:$B$200,MATCH(A156,Оборудование!$A$2:$A$200,0)),"")</f>
        <v/>
      </c>
      <c r="D156" s="10">
        <f>IFERROR(INDEX(Оборудование!$C$2:$C$200,MATCH(A156,Оборудование!$A$2:$A$200,0)),"")</f>
        <v/>
      </c>
      <c r="E156" s="10">
        <f>IFERROR(INDEX(Оборудование!$D$2:$D$200,MATCH(A156,Оборудование!$A$2:$A$200,0)),"")</f>
        <v/>
      </c>
      <c r="F156" s="10">
        <f>IFERROR(INDEX(Оборудование!$H$2:$H$200,MATCH(A156,Оборудование!$A$2:$A$200,0)),"")</f>
        <v/>
      </c>
      <c r="G156" s="11" t="n"/>
      <c r="H156" s="12">
        <f>IF(G156="","",G156+100)</f>
        <v/>
      </c>
      <c r="I156" s="11" t="n"/>
      <c r="J156" s="11" t="n"/>
      <c r="K156" s="11" t="n"/>
      <c r="L156" s="12">
        <f>IF(K156="","",K156+5)</f>
        <v/>
      </c>
      <c r="M156" s="11" t="n"/>
      <c r="N156" s="12">
        <f>IF(M156&lt;&gt;"",M156,IF(L156="","",L156))</f>
        <v/>
      </c>
      <c r="O156" s="12">
        <f>IF(N156="","",N156+40)</f>
        <v/>
      </c>
      <c r="P156" s="11" t="n"/>
      <c r="Q156" s="12">
        <f>IF(P156&lt;&gt;"",P156,IF(O156="","",O156))</f>
        <v/>
      </c>
      <c r="R156" s="12">
        <f>IF(Q156="","",Q156+70)</f>
        <v/>
      </c>
      <c r="S156" s="11" t="n"/>
      <c r="T156" s="10">
        <f>IF(G156="","",IF(S156&lt;&gt;"","Завершено",IF(P156&lt;&gt;"","Ожидание оплаты",IF(M156&lt;&gt;"","Входной контроль",IF(K156&lt;&gt;"","Ожидание получения в Ленске",IF(I156&lt;&gt;"","В пути Иркутск → Ленск","Ремонт у подрядчика"))))))</f>
        <v/>
      </c>
      <c r="U156" s="10">
        <f>IF(H156="","",MAX(0,IF(I156&lt;&gt;"",I156,Настройки!$B$2)-H156))</f>
        <v/>
      </c>
      <c r="V156" s="10">
        <f>IF(L156="","",MAX(0,IF(M156&lt;&gt;"",M156,Настройки!$B$2)-L156))</f>
        <v/>
      </c>
      <c r="W156" s="10">
        <f>IF(O156="","",MAX(0,IF(P156&lt;&gt;"",P156,Настройки!$B$2)-O156))</f>
        <v/>
      </c>
      <c r="X156" s="10">
        <f>IF(R156="","",MAX(0,IF(S156&lt;&gt;"",S156,Настройки!$B$2)-R156))</f>
        <v/>
      </c>
      <c r="Y156" s="10">
        <f>MAX(U156:X156)</f>
        <v/>
      </c>
    </row>
    <row r="157">
      <c r="A157" s="9" t="n"/>
      <c r="B157" s="9" t="n"/>
      <c r="C157" s="10">
        <f>IFERROR(INDEX(Оборудование!$B$2:$B$200,MATCH(A157,Оборудование!$A$2:$A$200,0)),"")</f>
        <v/>
      </c>
      <c r="D157" s="10">
        <f>IFERROR(INDEX(Оборудование!$C$2:$C$200,MATCH(A157,Оборудование!$A$2:$A$200,0)),"")</f>
        <v/>
      </c>
      <c r="E157" s="10">
        <f>IFERROR(INDEX(Оборудование!$D$2:$D$200,MATCH(A157,Оборудование!$A$2:$A$200,0)),"")</f>
        <v/>
      </c>
      <c r="F157" s="10">
        <f>IFERROR(INDEX(Оборудование!$H$2:$H$200,MATCH(A157,Оборудование!$A$2:$A$200,0)),"")</f>
        <v/>
      </c>
      <c r="G157" s="11" t="n"/>
      <c r="H157" s="12">
        <f>IF(G157="","",G157+100)</f>
        <v/>
      </c>
      <c r="I157" s="11" t="n"/>
      <c r="J157" s="11" t="n"/>
      <c r="K157" s="11" t="n"/>
      <c r="L157" s="12">
        <f>IF(K157="","",K157+5)</f>
        <v/>
      </c>
      <c r="M157" s="11" t="n"/>
      <c r="N157" s="12">
        <f>IF(M157&lt;&gt;"",M157,IF(L157="","",L157))</f>
        <v/>
      </c>
      <c r="O157" s="12">
        <f>IF(N157="","",N157+40)</f>
        <v/>
      </c>
      <c r="P157" s="11" t="n"/>
      <c r="Q157" s="12">
        <f>IF(P157&lt;&gt;"",P157,IF(O157="","",O157))</f>
        <v/>
      </c>
      <c r="R157" s="12">
        <f>IF(Q157="","",Q157+70)</f>
        <v/>
      </c>
      <c r="S157" s="11" t="n"/>
      <c r="T157" s="10">
        <f>IF(G157="","",IF(S157&lt;&gt;"","Завершено",IF(P157&lt;&gt;"","Ожидание оплаты",IF(M157&lt;&gt;"","Входной контроль",IF(K157&lt;&gt;"","Ожидание получения в Ленске",IF(I157&lt;&gt;"","В пути Иркутск → Ленск","Ремонт у подрядчика"))))))</f>
        <v/>
      </c>
      <c r="U157" s="10">
        <f>IF(H157="","",MAX(0,IF(I157&lt;&gt;"",I157,Настройки!$B$2)-H157))</f>
        <v/>
      </c>
      <c r="V157" s="10">
        <f>IF(L157="","",MAX(0,IF(M157&lt;&gt;"",M157,Настройки!$B$2)-L157))</f>
        <v/>
      </c>
      <c r="W157" s="10">
        <f>IF(O157="","",MAX(0,IF(P157&lt;&gt;"",P157,Настройки!$B$2)-O157))</f>
        <v/>
      </c>
      <c r="X157" s="10">
        <f>IF(R157="","",MAX(0,IF(S157&lt;&gt;"",S157,Настройки!$B$2)-R157))</f>
        <v/>
      </c>
      <c r="Y157" s="10">
        <f>MAX(U157:X157)</f>
        <v/>
      </c>
    </row>
    <row r="158">
      <c r="A158" s="9" t="n"/>
      <c r="B158" s="9" t="n"/>
      <c r="C158" s="10">
        <f>IFERROR(INDEX(Оборудование!$B$2:$B$200,MATCH(A158,Оборудование!$A$2:$A$200,0)),"")</f>
        <v/>
      </c>
      <c r="D158" s="10">
        <f>IFERROR(INDEX(Оборудование!$C$2:$C$200,MATCH(A158,Оборудование!$A$2:$A$200,0)),"")</f>
        <v/>
      </c>
      <c r="E158" s="10">
        <f>IFERROR(INDEX(Оборудование!$D$2:$D$200,MATCH(A158,Оборудование!$A$2:$A$200,0)),"")</f>
        <v/>
      </c>
      <c r="F158" s="10">
        <f>IFERROR(INDEX(Оборудование!$H$2:$H$200,MATCH(A158,Оборудование!$A$2:$A$200,0)),"")</f>
        <v/>
      </c>
      <c r="G158" s="11" t="n"/>
      <c r="H158" s="12">
        <f>IF(G158="","",G158+100)</f>
        <v/>
      </c>
      <c r="I158" s="11" t="n"/>
      <c r="J158" s="11" t="n"/>
      <c r="K158" s="11" t="n"/>
      <c r="L158" s="12">
        <f>IF(K158="","",K158+5)</f>
        <v/>
      </c>
      <c r="M158" s="11" t="n"/>
      <c r="N158" s="12">
        <f>IF(M158&lt;&gt;"",M158,IF(L158="","",L158))</f>
        <v/>
      </c>
      <c r="O158" s="12">
        <f>IF(N158="","",N158+40)</f>
        <v/>
      </c>
      <c r="P158" s="11" t="n"/>
      <c r="Q158" s="12">
        <f>IF(P158&lt;&gt;"",P158,IF(O158="","",O158))</f>
        <v/>
      </c>
      <c r="R158" s="12">
        <f>IF(Q158="","",Q158+70)</f>
        <v/>
      </c>
      <c r="S158" s="11" t="n"/>
      <c r="T158" s="10">
        <f>IF(G158="","",IF(S158&lt;&gt;"","Завершено",IF(P158&lt;&gt;"","Ожидание оплаты",IF(M158&lt;&gt;"","Входной контроль",IF(K158&lt;&gt;"","Ожидание получения в Ленске",IF(I158&lt;&gt;"","В пути Иркутск → Ленск","Ремонт у подрядчика"))))))</f>
        <v/>
      </c>
      <c r="U158" s="10">
        <f>IF(H158="","",MAX(0,IF(I158&lt;&gt;"",I158,Настройки!$B$2)-H158))</f>
        <v/>
      </c>
      <c r="V158" s="10">
        <f>IF(L158="","",MAX(0,IF(M158&lt;&gt;"",M158,Настройки!$B$2)-L158))</f>
        <v/>
      </c>
      <c r="W158" s="10">
        <f>IF(O158="","",MAX(0,IF(P158&lt;&gt;"",P158,Настройки!$B$2)-O158))</f>
        <v/>
      </c>
      <c r="X158" s="10">
        <f>IF(R158="","",MAX(0,IF(S158&lt;&gt;"",S158,Настройки!$B$2)-R158))</f>
        <v/>
      </c>
      <c r="Y158" s="10">
        <f>MAX(U158:X158)</f>
        <v/>
      </c>
    </row>
    <row r="159">
      <c r="A159" s="9" t="n"/>
      <c r="B159" s="9" t="n"/>
      <c r="C159" s="10">
        <f>IFERROR(INDEX(Оборудование!$B$2:$B$200,MATCH(A159,Оборудование!$A$2:$A$200,0)),"")</f>
        <v/>
      </c>
      <c r="D159" s="10">
        <f>IFERROR(INDEX(Оборудование!$C$2:$C$200,MATCH(A159,Оборудование!$A$2:$A$200,0)),"")</f>
        <v/>
      </c>
      <c r="E159" s="10">
        <f>IFERROR(INDEX(Оборудование!$D$2:$D$200,MATCH(A159,Оборудование!$A$2:$A$200,0)),"")</f>
        <v/>
      </c>
      <c r="F159" s="10">
        <f>IFERROR(INDEX(Оборудование!$H$2:$H$200,MATCH(A159,Оборудование!$A$2:$A$200,0)),"")</f>
        <v/>
      </c>
      <c r="G159" s="11" t="n"/>
      <c r="H159" s="12">
        <f>IF(G159="","",G159+100)</f>
        <v/>
      </c>
      <c r="I159" s="11" t="n"/>
      <c r="J159" s="11" t="n"/>
      <c r="K159" s="11" t="n"/>
      <c r="L159" s="12">
        <f>IF(K159="","",K159+5)</f>
        <v/>
      </c>
      <c r="M159" s="11" t="n"/>
      <c r="N159" s="12">
        <f>IF(M159&lt;&gt;"",M159,IF(L159="","",L159))</f>
        <v/>
      </c>
      <c r="O159" s="12">
        <f>IF(N159="","",N159+40)</f>
        <v/>
      </c>
      <c r="P159" s="11" t="n"/>
      <c r="Q159" s="12">
        <f>IF(P159&lt;&gt;"",P159,IF(O159="","",O159))</f>
        <v/>
      </c>
      <c r="R159" s="12">
        <f>IF(Q159="","",Q159+70)</f>
        <v/>
      </c>
      <c r="S159" s="11" t="n"/>
      <c r="T159" s="10">
        <f>IF(G159="","",IF(S159&lt;&gt;"","Завершено",IF(P159&lt;&gt;"","Ожидание оплаты",IF(M159&lt;&gt;"","Входной контроль",IF(K159&lt;&gt;"","Ожидание получения в Ленске",IF(I159&lt;&gt;"","В пути Иркутск → Ленск","Ремонт у подрядчика"))))))</f>
        <v/>
      </c>
      <c r="U159" s="10">
        <f>IF(H159="","",MAX(0,IF(I159&lt;&gt;"",I159,Настройки!$B$2)-H159))</f>
        <v/>
      </c>
      <c r="V159" s="10">
        <f>IF(L159="","",MAX(0,IF(M159&lt;&gt;"",M159,Настройки!$B$2)-L159))</f>
        <v/>
      </c>
      <c r="W159" s="10">
        <f>IF(O159="","",MAX(0,IF(P159&lt;&gt;"",P159,Настройки!$B$2)-O159))</f>
        <v/>
      </c>
      <c r="X159" s="10">
        <f>IF(R159="","",MAX(0,IF(S159&lt;&gt;"",S159,Настройки!$B$2)-R159))</f>
        <v/>
      </c>
      <c r="Y159" s="10">
        <f>MAX(U159:X159)</f>
        <v/>
      </c>
    </row>
    <row r="160">
      <c r="A160" s="9" t="n"/>
      <c r="B160" s="9" t="n"/>
      <c r="C160" s="10">
        <f>IFERROR(INDEX(Оборудование!$B$2:$B$200,MATCH(A160,Оборудование!$A$2:$A$200,0)),"")</f>
        <v/>
      </c>
      <c r="D160" s="10">
        <f>IFERROR(INDEX(Оборудование!$C$2:$C$200,MATCH(A160,Оборудование!$A$2:$A$200,0)),"")</f>
        <v/>
      </c>
      <c r="E160" s="10">
        <f>IFERROR(INDEX(Оборудование!$D$2:$D$200,MATCH(A160,Оборудование!$A$2:$A$200,0)),"")</f>
        <v/>
      </c>
      <c r="F160" s="10">
        <f>IFERROR(INDEX(Оборудование!$H$2:$H$200,MATCH(A160,Оборудование!$A$2:$A$200,0)),"")</f>
        <v/>
      </c>
      <c r="G160" s="11" t="n"/>
      <c r="H160" s="12">
        <f>IF(G160="","",G160+100)</f>
        <v/>
      </c>
      <c r="I160" s="11" t="n"/>
      <c r="J160" s="11" t="n"/>
      <c r="K160" s="11" t="n"/>
      <c r="L160" s="12">
        <f>IF(K160="","",K160+5)</f>
        <v/>
      </c>
      <c r="M160" s="11" t="n"/>
      <c r="N160" s="12">
        <f>IF(M160&lt;&gt;"",M160,IF(L160="","",L160))</f>
        <v/>
      </c>
      <c r="O160" s="12">
        <f>IF(N160="","",N160+40)</f>
        <v/>
      </c>
      <c r="P160" s="11" t="n"/>
      <c r="Q160" s="12">
        <f>IF(P160&lt;&gt;"",P160,IF(O160="","",O160))</f>
        <v/>
      </c>
      <c r="R160" s="12">
        <f>IF(Q160="","",Q160+70)</f>
        <v/>
      </c>
      <c r="S160" s="11" t="n"/>
      <c r="T160" s="10">
        <f>IF(G160="","",IF(S160&lt;&gt;"","Завершено",IF(P160&lt;&gt;"","Ожидание оплаты",IF(M160&lt;&gt;"","Входной контроль",IF(K160&lt;&gt;"","Ожидание получения в Ленске",IF(I160&lt;&gt;"","В пути Иркутск → Ленск","Ремонт у подрядчика"))))))</f>
        <v/>
      </c>
      <c r="U160" s="10">
        <f>IF(H160="","",MAX(0,IF(I160&lt;&gt;"",I160,Настройки!$B$2)-H160))</f>
        <v/>
      </c>
      <c r="V160" s="10">
        <f>IF(L160="","",MAX(0,IF(M160&lt;&gt;"",M160,Настройки!$B$2)-L160))</f>
        <v/>
      </c>
      <c r="W160" s="10">
        <f>IF(O160="","",MAX(0,IF(P160&lt;&gt;"",P160,Настройки!$B$2)-O160))</f>
        <v/>
      </c>
      <c r="X160" s="10">
        <f>IF(R160="","",MAX(0,IF(S160&lt;&gt;"",S160,Настройки!$B$2)-R160))</f>
        <v/>
      </c>
      <c r="Y160" s="10">
        <f>MAX(U160:X160)</f>
        <v/>
      </c>
    </row>
    <row r="161">
      <c r="A161" s="9" t="n"/>
      <c r="B161" s="9" t="n"/>
      <c r="C161" s="10">
        <f>IFERROR(INDEX(Оборудование!$B$2:$B$200,MATCH(A161,Оборудование!$A$2:$A$200,0)),"")</f>
        <v/>
      </c>
      <c r="D161" s="10">
        <f>IFERROR(INDEX(Оборудование!$C$2:$C$200,MATCH(A161,Оборудование!$A$2:$A$200,0)),"")</f>
        <v/>
      </c>
      <c r="E161" s="10">
        <f>IFERROR(INDEX(Оборудование!$D$2:$D$200,MATCH(A161,Оборудование!$A$2:$A$200,0)),"")</f>
        <v/>
      </c>
      <c r="F161" s="10">
        <f>IFERROR(INDEX(Оборудование!$H$2:$H$200,MATCH(A161,Оборудование!$A$2:$A$200,0)),"")</f>
        <v/>
      </c>
      <c r="G161" s="11" t="n"/>
      <c r="H161" s="12">
        <f>IF(G161="","",G161+100)</f>
        <v/>
      </c>
      <c r="I161" s="11" t="n"/>
      <c r="J161" s="11" t="n"/>
      <c r="K161" s="11" t="n"/>
      <c r="L161" s="12">
        <f>IF(K161="","",K161+5)</f>
        <v/>
      </c>
      <c r="M161" s="11" t="n"/>
      <c r="N161" s="12">
        <f>IF(M161&lt;&gt;"",M161,IF(L161="","",L161))</f>
        <v/>
      </c>
      <c r="O161" s="12">
        <f>IF(N161="","",N161+40)</f>
        <v/>
      </c>
      <c r="P161" s="11" t="n"/>
      <c r="Q161" s="12">
        <f>IF(P161&lt;&gt;"",P161,IF(O161="","",O161))</f>
        <v/>
      </c>
      <c r="R161" s="12">
        <f>IF(Q161="","",Q161+70)</f>
        <v/>
      </c>
      <c r="S161" s="11" t="n"/>
      <c r="T161" s="10">
        <f>IF(G161="","",IF(S161&lt;&gt;"","Завершено",IF(P161&lt;&gt;"","Ожидание оплаты",IF(M161&lt;&gt;"","Входной контроль",IF(K161&lt;&gt;"","Ожидание получения в Ленске",IF(I161&lt;&gt;"","В пути Иркутск → Ленск","Ремонт у подрядчика"))))))</f>
        <v/>
      </c>
      <c r="U161" s="10">
        <f>IF(H161="","",MAX(0,IF(I161&lt;&gt;"",I161,Настройки!$B$2)-H161))</f>
        <v/>
      </c>
      <c r="V161" s="10">
        <f>IF(L161="","",MAX(0,IF(M161&lt;&gt;"",M161,Настройки!$B$2)-L161))</f>
        <v/>
      </c>
      <c r="W161" s="10">
        <f>IF(O161="","",MAX(0,IF(P161&lt;&gt;"",P161,Настройки!$B$2)-O161))</f>
        <v/>
      </c>
      <c r="X161" s="10">
        <f>IF(R161="","",MAX(0,IF(S161&lt;&gt;"",S161,Настройки!$B$2)-R161))</f>
        <v/>
      </c>
      <c r="Y161" s="10">
        <f>MAX(U161:X161)</f>
        <v/>
      </c>
    </row>
    <row r="162">
      <c r="A162" s="9" t="n"/>
      <c r="B162" s="9" t="n"/>
      <c r="C162" s="10">
        <f>IFERROR(INDEX(Оборудование!$B$2:$B$200,MATCH(A162,Оборудование!$A$2:$A$200,0)),"")</f>
        <v/>
      </c>
      <c r="D162" s="10">
        <f>IFERROR(INDEX(Оборудование!$C$2:$C$200,MATCH(A162,Оборудование!$A$2:$A$200,0)),"")</f>
        <v/>
      </c>
      <c r="E162" s="10">
        <f>IFERROR(INDEX(Оборудование!$D$2:$D$200,MATCH(A162,Оборудование!$A$2:$A$200,0)),"")</f>
        <v/>
      </c>
      <c r="F162" s="10">
        <f>IFERROR(INDEX(Оборудование!$H$2:$H$200,MATCH(A162,Оборудование!$A$2:$A$200,0)),"")</f>
        <v/>
      </c>
      <c r="G162" s="11" t="n"/>
      <c r="H162" s="12">
        <f>IF(G162="","",G162+100)</f>
        <v/>
      </c>
      <c r="I162" s="11" t="n"/>
      <c r="J162" s="11" t="n"/>
      <c r="K162" s="11" t="n"/>
      <c r="L162" s="12">
        <f>IF(K162="","",K162+5)</f>
        <v/>
      </c>
      <c r="M162" s="11" t="n"/>
      <c r="N162" s="12">
        <f>IF(M162&lt;&gt;"",M162,IF(L162="","",L162))</f>
        <v/>
      </c>
      <c r="O162" s="12">
        <f>IF(N162="","",N162+40)</f>
        <v/>
      </c>
      <c r="P162" s="11" t="n"/>
      <c r="Q162" s="12">
        <f>IF(P162&lt;&gt;"",P162,IF(O162="","",O162))</f>
        <v/>
      </c>
      <c r="R162" s="12">
        <f>IF(Q162="","",Q162+70)</f>
        <v/>
      </c>
      <c r="S162" s="11" t="n"/>
      <c r="T162" s="10">
        <f>IF(G162="","",IF(S162&lt;&gt;"","Завершено",IF(P162&lt;&gt;"","Ожидание оплаты",IF(M162&lt;&gt;"","Входной контроль",IF(K162&lt;&gt;"","Ожидание получения в Ленске",IF(I162&lt;&gt;"","В пути Иркутск → Ленск","Ремонт у подрядчика"))))))</f>
        <v/>
      </c>
      <c r="U162" s="10">
        <f>IF(H162="","",MAX(0,IF(I162&lt;&gt;"",I162,Настройки!$B$2)-H162))</f>
        <v/>
      </c>
      <c r="V162" s="10">
        <f>IF(L162="","",MAX(0,IF(M162&lt;&gt;"",M162,Настройки!$B$2)-L162))</f>
        <v/>
      </c>
      <c r="W162" s="10">
        <f>IF(O162="","",MAX(0,IF(P162&lt;&gt;"",P162,Настройки!$B$2)-O162))</f>
        <v/>
      </c>
      <c r="X162" s="10">
        <f>IF(R162="","",MAX(0,IF(S162&lt;&gt;"",S162,Настройки!$B$2)-R162))</f>
        <v/>
      </c>
      <c r="Y162" s="10">
        <f>MAX(U162:X162)</f>
        <v/>
      </c>
    </row>
    <row r="163">
      <c r="A163" s="9" t="n"/>
      <c r="B163" s="9" t="n"/>
      <c r="C163" s="10">
        <f>IFERROR(INDEX(Оборудование!$B$2:$B$200,MATCH(A163,Оборудование!$A$2:$A$200,0)),"")</f>
        <v/>
      </c>
      <c r="D163" s="10">
        <f>IFERROR(INDEX(Оборудование!$C$2:$C$200,MATCH(A163,Оборудование!$A$2:$A$200,0)),"")</f>
        <v/>
      </c>
      <c r="E163" s="10">
        <f>IFERROR(INDEX(Оборудование!$D$2:$D$200,MATCH(A163,Оборудование!$A$2:$A$200,0)),"")</f>
        <v/>
      </c>
      <c r="F163" s="10">
        <f>IFERROR(INDEX(Оборудование!$H$2:$H$200,MATCH(A163,Оборудование!$A$2:$A$200,0)),"")</f>
        <v/>
      </c>
      <c r="G163" s="11" t="n"/>
      <c r="H163" s="12">
        <f>IF(G163="","",G163+100)</f>
        <v/>
      </c>
      <c r="I163" s="11" t="n"/>
      <c r="J163" s="11" t="n"/>
      <c r="K163" s="11" t="n"/>
      <c r="L163" s="12">
        <f>IF(K163="","",K163+5)</f>
        <v/>
      </c>
      <c r="M163" s="11" t="n"/>
      <c r="N163" s="12">
        <f>IF(M163&lt;&gt;"",M163,IF(L163="","",L163))</f>
        <v/>
      </c>
      <c r="O163" s="12">
        <f>IF(N163="","",N163+40)</f>
        <v/>
      </c>
      <c r="P163" s="11" t="n"/>
      <c r="Q163" s="12">
        <f>IF(P163&lt;&gt;"",P163,IF(O163="","",O163))</f>
        <v/>
      </c>
      <c r="R163" s="12">
        <f>IF(Q163="","",Q163+70)</f>
        <v/>
      </c>
      <c r="S163" s="11" t="n"/>
      <c r="T163" s="10">
        <f>IF(G163="","",IF(S163&lt;&gt;"","Завершено",IF(P163&lt;&gt;"","Ожидание оплаты",IF(M163&lt;&gt;"","Входной контроль",IF(K163&lt;&gt;"","Ожидание получения в Ленске",IF(I163&lt;&gt;"","В пути Иркутск → Ленск","Ремонт у подрядчика"))))))</f>
        <v/>
      </c>
      <c r="U163" s="10">
        <f>IF(H163="","",MAX(0,IF(I163&lt;&gt;"",I163,Настройки!$B$2)-H163))</f>
        <v/>
      </c>
      <c r="V163" s="10">
        <f>IF(L163="","",MAX(0,IF(M163&lt;&gt;"",M163,Настройки!$B$2)-L163))</f>
        <v/>
      </c>
      <c r="W163" s="10">
        <f>IF(O163="","",MAX(0,IF(P163&lt;&gt;"",P163,Настройки!$B$2)-O163))</f>
        <v/>
      </c>
      <c r="X163" s="10">
        <f>IF(R163="","",MAX(0,IF(S163&lt;&gt;"",S163,Настройки!$B$2)-R163))</f>
        <v/>
      </c>
      <c r="Y163" s="10">
        <f>MAX(U163:X163)</f>
        <v/>
      </c>
    </row>
    <row r="164">
      <c r="A164" s="9" t="n"/>
      <c r="B164" s="9" t="n"/>
      <c r="C164" s="10">
        <f>IFERROR(INDEX(Оборудование!$B$2:$B$200,MATCH(A164,Оборудование!$A$2:$A$200,0)),"")</f>
        <v/>
      </c>
      <c r="D164" s="10">
        <f>IFERROR(INDEX(Оборудование!$C$2:$C$200,MATCH(A164,Оборудование!$A$2:$A$200,0)),"")</f>
        <v/>
      </c>
      <c r="E164" s="10">
        <f>IFERROR(INDEX(Оборудование!$D$2:$D$200,MATCH(A164,Оборудование!$A$2:$A$200,0)),"")</f>
        <v/>
      </c>
      <c r="F164" s="10">
        <f>IFERROR(INDEX(Оборудование!$H$2:$H$200,MATCH(A164,Оборудование!$A$2:$A$200,0)),"")</f>
        <v/>
      </c>
      <c r="G164" s="11" t="n"/>
      <c r="H164" s="12">
        <f>IF(G164="","",G164+100)</f>
        <v/>
      </c>
      <c r="I164" s="11" t="n"/>
      <c r="J164" s="11" t="n"/>
      <c r="K164" s="11" t="n"/>
      <c r="L164" s="12">
        <f>IF(K164="","",K164+5)</f>
        <v/>
      </c>
      <c r="M164" s="11" t="n"/>
      <c r="N164" s="12">
        <f>IF(M164&lt;&gt;"",M164,IF(L164="","",L164))</f>
        <v/>
      </c>
      <c r="O164" s="12">
        <f>IF(N164="","",N164+40)</f>
        <v/>
      </c>
      <c r="P164" s="11" t="n"/>
      <c r="Q164" s="12">
        <f>IF(P164&lt;&gt;"",P164,IF(O164="","",O164))</f>
        <v/>
      </c>
      <c r="R164" s="12">
        <f>IF(Q164="","",Q164+70)</f>
        <v/>
      </c>
      <c r="S164" s="11" t="n"/>
      <c r="T164" s="10">
        <f>IF(G164="","",IF(S164&lt;&gt;"","Завершено",IF(P164&lt;&gt;"","Ожидание оплаты",IF(M164&lt;&gt;"","Входной контроль",IF(K164&lt;&gt;"","Ожидание получения в Ленске",IF(I164&lt;&gt;"","В пути Иркутск → Ленск","Ремонт у подрядчика"))))))</f>
        <v/>
      </c>
      <c r="U164" s="10">
        <f>IF(H164="","",MAX(0,IF(I164&lt;&gt;"",I164,Настройки!$B$2)-H164))</f>
        <v/>
      </c>
      <c r="V164" s="10">
        <f>IF(L164="","",MAX(0,IF(M164&lt;&gt;"",M164,Настройки!$B$2)-L164))</f>
        <v/>
      </c>
      <c r="W164" s="10">
        <f>IF(O164="","",MAX(0,IF(P164&lt;&gt;"",P164,Настройки!$B$2)-O164))</f>
        <v/>
      </c>
      <c r="X164" s="10">
        <f>IF(R164="","",MAX(0,IF(S164&lt;&gt;"",S164,Настройки!$B$2)-R164))</f>
        <v/>
      </c>
      <c r="Y164" s="10">
        <f>MAX(U164:X164)</f>
        <v/>
      </c>
    </row>
    <row r="165">
      <c r="A165" s="9" t="n"/>
      <c r="B165" s="9" t="n"/>
      <c r="C165" s="10">
        <f>IFERROR(INDEX(Оборудование!$B$2:$B$200,MATCH(A165,Оборудование!$A$2:$A$200,0)),"")</f>
        <v/>
      </c>
      <c r="D165" s="10">
        <f>IFERROR(INDEX(Оборудование!$C$2:$C$200,MATCH(A165,Оборудование!$A$2:$A$200,0)),"")</f>
        <v/>
      </c>
      <c r="E165" s="10">
        <f>IFERROR(INDEX(Оборудование!$D$2:$D$200,MATCH(A165,Оборудование!$A$2:$A$200,0)),"")</f>
        <v/>
      </c>
      <c r="F165" s="10">
        <f>IFERROR(INDEX(Оборудование!$H$2:$H$200,MATCH(A165,Оборудование!$A$2:$A$200,0)),"")</f>
        <v/>
      </c>
      <c r="G165" s="11" t="n"/>
      <c r="H165" s="12">
        <f>IF(G165="","",G165+100)</f>
        <v/>
      </c>
      <c r="I165" s="11" t="n"/>
      <c r="J165" s="11" t="n"/>
      <c r="K165" s="11" t="n"/>
      <c r="L165" s="12">
        <f>IF(K165="","",K165+5)</f>
        <v/>
      </c>
      <c r="M165" s="11" t="n"/>
      <c r="N165" s="12">
        <f>IF(M165&lt;&gt;"",M165,IF(L165="","",L165))</f>
        <v/>
      </c>
      <c r="O165" s="12">
        <f>IF(N165="","",N165+40)</f>
        <v/>
      </c>
      <c r="P165" s="11" t="n"/>
      <c r="Q165" s="12">
        <f>IF(P165&lt;&gt;"",P165,IF(O165="","",O165))</f>
        <v/>
      </c>
      <c r="R165" s="12">
        <f>IF(Q165="","",Q165+70)</f>
        <v/>
      </c>
      <c r="S165" s="11" t="n"/>
      <c r="T165" s="10">
        <f>IF(G165="","",IF(S165&lt;&gt;"","Завершено",IF(P165&lt;&gt;"","Ожидание оплаты",IF(M165&lt;&gt;"","Входной контроль",IF(K165&lt;&gt;"","Ожидание получения в Ленске",IF(I165&lt;&gt;"","В пути Иркутск → Ленск","Ремонт у подрядчика"))))))</f>
        <v/>
      </c>
      <c r="U165" s="10">
        <f>IF(H165="","",MAX(0,IF(I165&lt;&gt;"",I165,Настройки!$B$2)-H165))</f>
        <v/>
      </c>
      <c r="V165" s="10">
        <f>IF(L165="","",MAX(0,IF(M165&lt;&gt;"",M165,Настройки!$B$2)-L165))</f>
        <v/>
      </c>
      <c r="W165" s="10">
        <f>IF(O165="","",MAX(0,IF(P165&lt;&gt;"",P165,Настройки!$B$2)-O165))</f>
        <v/>
      </c>
      <c r="X165" s="10">
        <f>IF(R165="","",MAX(0,IF(S165&lt;&gt;"",S165,Настройки!$B$2)-R165))</f>
        <v/>
      </c>
      <c r="Y165" s="10">
        <f>MAX(U165:X165)</f>
        <v/>
      </c>
    </row>
    <row r="166">
      <c r="A166" s="9" t="n"/>
      <c r="B166" s="9" t="n"/>
      <c r="C166" s="10">
        <f>IFERROR(INDEX(Оборудование!$B$2:$B$200,MATCH(A166,Оборудование!$A$2:$A$200,0)),"")</f>
        <v/>
      </c>
      <c r="D166" s="10">
        <f>IFERROR(INDEX(Оборудование!$C$2:$C$200,MATCH(A166,Оборудование!$A$2:$A$200,0)),"")</f>
        <v/>
      </c>
      <c r="E166" s="10">
        <f>IFERROR(INDEX(Оборудование!$D$2:$D$200,MATCH(A166,Оборудование!$A$2:$A$200,0)),"")</f>
        <v/>
      </c>
      <c r="F166" s="10">
        <f>IFERROR(INDEX(Оборудование!$H$2:$H$200,MATCH(A166,Оборудование!$A$2:$A$200,0)),"")</f>
        <v/>
      </c>
      <c r="G166" s="11" t="n"/>
      <c r="H166" s="12">
        <f>IF(G166="","",G166+100)</f>
        <v/>
      </c>
      <c r="I166" s="11" t="n"/>
      <c r="J166" s="11" t="n"/>
      <c r="K166" s="11" t="n"/>
      <c r="L166" s="12">
        <f>IF(K166="","",K166+5)</f>
        <v/>
      </c>
      <c r="M166" s="11" t="n"/>
      <c r="N166" s="12">
        <f>IF(M166&lt;&gt;"",M166,IF(L166="","",L166))</f>
        <v/>
      </c>
      <c r="O166" s="12">
        <f>IF(N166="","",N166+40)</f>
        <v/>
      </c>
      <c r="P166" s="11" t="n"/>
      <c r="Q166" s="12">
        <f>IF(P166&lt;&gt;"",P166,IF(O166="","",O166))</f>
        <v/>
      </c>
      <c r="R166" s="12">
        <f>IF(Q166="","",Q166+70)</f>
        <v/>
      </c>
      <c r="S166" s="11" t="n"/>
      <c r="T166" s="10">
        <f>IF(G166="","",IF(S166&lt;&gt;"","Завершено",IF(P166&lt;&gt;"","Ожидание оплаты",IF(M166&lt;&gt;"","Входной контроль",IF(K166&lt;&gt;"","Ожидание получения в Ленске",IF(I166&lt;&gt;"","В пути Иркутск → Ленск","Ремонт у подрядчика"))))))</f>
        <v/>
      </c>
      <c r="U166" s="10">
        <f>IF(H166="","",MAX(0,IF(I166&lt;&gt;"",I166,Настройки!$B$2)-H166))</f>
        <v/>
      </c>
      <c r="V166" s="10">
        <f>IF(L166="","",MAX(0,IF(M166&lt;&gt;"",M166,Настройки!$B$2)-L166))</f>
        <v/>
      </c>
      <c r="W166" s="10">
        <f>IF(O166="","",MAX(0,IF(P166&lt;&gt;"",P166,Настройки!$B$2)-O166))</f>
        <v/>
      </c>
      <c r="X166" s="10">
        <f>IF(R166="","",MAX(0,IF(S166&lt;&gt;"",S166,Настройки!$B$2)-R166))</f>
        <v/>
      </c>
      <c r="Y166" s="10">
        <f>MAX(U166:X166)</f>
        <v/>
      </c>
    </row>
    <row r="167">
      <c r="A167" s="9" t="n"/>
      <c r="B167" s="9" t="n"/>
      <c r="C167" s="10">
        <f>IFERROR(INDEX(Оборудование!$B$2:$B$200,MATCH(A167,Оборудование!$A$2:$A$200,0)),"")</f>
        <v/>
      </c>
      <c r="D167" s="10">
        <f>IFERROR(INDEX(Оборудование!$C$2:$C$200,MATCH(A167,Оборудование!$A$2:$A$200,0)),"")</f>
        <v/>
      </c>
      <c r="E167" s="10">
        <f>IFERROR(INDEX(Оборудование!$D$2:$D$200,MATCH(A167,Оборудование!$A$2:$A$200,0)),"")</f>
        <v/>
      </c>
      <c r="F167" s="10">
        <f>IFERROR(INDEX(Оборудование!$H$2:$H$200,MATCH(A167,Оборудование!$A$2:$A$200,0)),"")</f>
        <v/>
      </c>
      <c r="G167" s="11" t="n"/>
      <c r="H167" s="12">
        <f>IF(G167="","",G167+100)</f>
        <v/>
      </c>
      <c r="I167" s="11" t="n"/>
      <c r="J167" s="11" t="n"/>
      <c r="K167" s="11" t="n"/>
      <c r="L167" s="12">
        <f>IF(K167="","",K167+5)</f>
        <v/>
      </c>
      <c r="M167" s="11" t="n"/>
      <c r="N167" s="12">
        <f>IF(M167&lt;&gt;"",M167,IF(L167="","",L167))</f>
        <v/>
      </c>
      <c r="O167" s="12">
        <f>IF(N167="","",N167+40)</f>
        <v/>
      </c>
      <c r="P167" s="11" t="n"/>
      <c r="Q167" s="12">
        <f>IF(P167&lt;&gt;"",P167,IF(O167="","",O167))</f>
        <v/>
      </c>
      <c r="R167" s="12">
        <f>IF(Q167="","",Q167+70)</f>
        <v/>
      </c>
      <c r="S167" s="11" t="n"/>
      <c r="T167" s="10">
        <f>IF(G167="","",IF(S167&lt;&gt;"","Завершено",IF(P167&lt;&gt;"","Ожидание оплаты",IF(M167&lt;&gt;"","Входной контроль",IF(K167&lt;&gt;"","Ожидание получения в Ленске",IF(I167&lt;&gt;"","В пути Иркутск → Ленск","Ремонт у подрядчика"))))))</f>
        <v/>
      </c>
      <c r="U167" s="10">
        <f>IF(H167="","",MAX(0,IF(I167&lt;&gt;"",I167,Настройки!$B$2)-H167))</f>
        <v/>
      </c>
      <c r="V167" s="10">
        <f>IF(L167="","",MAX(0,IF(M167&lt;&gt;"",M167,Настройки!$B$2)-L167))</f>
        <v/>
      </c>
      <c r="W167" s="10">
        <f>IF(O167="","",MAX(0,IF(P167&lt;&gt;"",P167,Настройки!$B$2)-O167))</f>
        <v/>
      </c>
      <c r="X167" s="10">
        <f>IF(R167="","",MAX(0,IF(S167&lt;&gt;"",S167,Настройки!$B$2)-R167))</f>
        <v/>
      </c>
      <c r="Y167" s="10">
        <f>MAX(U167:X167)</f>
        <v/>
      </c>
    </row>
    <row r="168">
      <c r="A168" s="9" t="n"/>
      <c r="B168" s="9" t="n"/>
      <c r="C168" s="10">
        <f>IFERROR(INDEX(Оборудование!$B$2:$B$200,MATCH(A168,Оборудование!$A$2:$A$200,0)),"")</f>
        <v/>
      </c>
      <c r="D168" s="10">
        <f>IFERROR(INDEX(Оборудование!$C$2:$C$200,MATCH(A168,Оборудование!$A$2:$A$200,0)),"")</f>
        <v/>
      </c>
      <c r="E168" s="10">
        <f>IFERROR(INDEX(Оборудование!$D$2:$D$200,MATCH(A168,Оборудование!$A$2:$A$200,0)),"")</f>
        <v/>
      </c>
      <c r="F168" s="10">
        <f>IFERROR(INDEX(Оборудование!$H$2:$H$200,MATCH(A168,Оборудование!$A$2:$A$200,0)),"")</f>
        <v/>
      </c>
      <c r="G168" s="11" t="n"/>
      <c r="H168" s="12">
        <f>IF(G168="","",G168+100)</f>
        <v/>
      </c>
      <c r="I168" s="11" t="n"/>
      <c r="J168" s="11" t="n"/>
      <c r="K168" s="11" t="n"/>
      <c r="L168" s="12">
        <f>IF(K168="","",K168+5)</f>
        <v/>
      </c>
      <c r="M168" s="11" t="n"/>
      <c r="N168" s="12">
        <f>IF(M168&lt;&gt;"",M168,IF(L168="","",L168))</f>
        <v/>
      </c>
      <c r="O168" s="12">
        <f>IF(N168="","",N168+40)</f>
        <v/>
      </c>
      <c r="P168" s="11" t="n"/>
      <c r="Q168" s="12">
        <f>IF(P168&lt;&gt;"",P168,IF(O168="","",O168))</f>
        <v/>
      </c>
      <c r="R168" s="12">
        <f>IF(Q168="","",Q168+70)</f>
        <v/>
      </c>
      <c r="S168" s="11" t="n"/>
      <c r="T168" s="10">
        <f>IF(G168="","",IF(S168&lt;&gt;"","Завершено",IF(P168&lt;&gt;"","Ожидание оплаты",IF(M168&lt;&gt;"","Входной контроль",IF(K168&lt;&gt;"","Ожидание получения в Ленске",IF(I168&lt;&gt;"","В пути Иркутск → Ленск","Ремонт у подрядчика"))))))</f>
        <v/>
      </c>
      <c r="U168" s="10">
        <f>IF(H168="","",MAX(0,IF(I168&lt;&gt;"",I168,Настройки!$B$2)-H168))</f>
        <v/>
      </c>
      <c r="V168" s="10">
        <f>IF(L168="","",MAX(0,IF(M168&lt;&gt;"",M168,Настройки!$B$2)-L168))</f>
        <v/>
      </c>
      <c r="W168" s="10">
        <f>IF(O168="","",MAX(0,IF(P168&lt;&gt;"",P168,Настройки!$B$2)-O168))</f>
        <v/>
      </c>
      <c r="X168" s="10">
        <f>IF(R168="","",MAX(0,IF(S168&lt;&gt;"",S168,Настройки!$B$2)-R168))</f>
        <v/>
      </c>
      <c r="Y168" s="10">
        <f>MAX(U168:X168)</f>
        <v/>
      </c>
    </row>
    <row r="169">
      <c r="A169" s="9" t="n"/>
      <c r="B169" s="9" t="n"/>
      <c r="C169" s="10">
        <f>IFERROR(INDEX(Оборудование!$B$2:$B$200,MATCH(A169,Оборудование!$A$2:$A$200,0)),"")</f>
        <v/>
      </c>
      <c r="D169" s="10">
        <f>IFERROR(INDEX(Оборудование!$C$2:$C$200,MATCH(A169,Оборудование!$A$2:$A$200,0)),"")</f>
        <v/>
      </c>
      <c r="E169" s="10">
        <f>IFERROR(INDEX(Оборудование!$D$2:$D$200,MATCH(A169,Оборудование!$A$2:$A$200,0)),"")</f>
        <v/>
      </c>
      <c r="F169" s="10">
        <f>IFERROR(INDEX(Оборудование!$H$2:$H$200,MATCH(A169,Оборудование!$A$2:$A$200,0)),"")</f>
        <v/>
      </c>
      <c r="G169" s="11" t="n"/>
      <c r="H169" s="12">
        <f>IF(G169="","",G169+100)</f>
        <v/>
      </c>
      <c r="I169" s="11" t="n"/>
      <c r="J169" s="11" t="n"/>
      <c r="K169" s="11" t="n"/>
      <c r="L169" s="12">
        <f>IF(K169="","",K169+5)</f>
        <v/>
      </c>
      <c r="M169" s="11" t="n"/>
      <c r="N169" s="12">
        <f>IF(M169&lt;&gt;"",M169,IF(L169="","",L169))</f>
        <v/>
      </c>
      <c r="O169" s="12">
        <f>IF(N169="","",N169+40)</f>
        <v/>
      </c>
      <c r="P169" s="11" t="n"/>
      <c r="Q169" s="12">
        <f>IF(P169&lt;&gt;"",P169,IF(O169="","",O169))</f>
        <v/>
      </c>
      <c r="R169" s="12">
        <f>IF(Q169="","",Q169+70)</f>
        <v/>
      </c>
      <c r="S169" s="11" t="n"/>
      <c r="T169" s="10">
        <f>IF(G169="","",IF(S169&lt;&gt;"","Завершено",IF(P169&lt;&gt;"","Ожидание оплаты",IF(M169&lt;&gt;"","Входной контроль",IF(K169&lt;&gt;"","Ожидание получения в Ленске",IF(I169&lt;&gt;"","В пути Иркутск → Ленск","Ремонт у подрядчика"))))))</f>
        <v/>
      </c>
      <c r="U169" s="10">
        <f>IF(H169="","",MAX(0,IF(I169&lt;&gt;"",I169,Настройки!$B$2)-H169))</f>
        <v/>
      </c>
      <c r="V169" s="10">
        <f>IF(L169="","",MAX(0,IF(M169&lt;&gt;"",M169,Настройки!$B$2)-L169))</f>
        <v/>
      </c>
      <c r="W169" s="10">
        <f>IF(O169="","",MAX(0,IF(P169&lt;&gt;"",P169,Настройки!$B$2)-O169))</f>
        <v/>
      </c>
      <c r="X169" s="10">
        <f>IF(R169="","",MAX(0,IF(S169&lt;&gt;"",S169,Настройки!$B$2)-R169))</f>
        <v/>
      </c>
      <c r="Y169" s="10">
        <f>MAX(U169:X169)</f>
        <v/>
      </c>
    </row>
    <row r="170">
      <c r="A170" s="9" t="n"/>
      <c r="B170" s="9" t="n"/>
      <c r="C170" s="10">
        <f>IFERROR(INDEX(Оборудование!$B$2:$B$200,MATCH(A170,Оборудование!$A$2:$A$200,0)),"")</f>
        <v/>
      </c>
      <c r="D170" s="10">
        <f>IFERROR(INDEX(Оборудование!$C$2:$C$200,MATCH(A170,Оборудование!$A$2:$A$200,0)),"")</f>
        <v/>
      </c>
      <c r="E170" s="10">
        <f>IFERROR(INDEX(Оборудование!$D$2:$D$200,MATCH(A170,Оборудование!$A$2:$A$200,0)),"")</f>
        <v/>
      </c>
      <c r="F170" s="10">
        <f>IFERROR(INDEX(Оборудование!$H$2:$H$200,MATCH(A170,Оборудование!$A$2:$A$200,0)),"")</f>
        <v/>
      </c>
      <c r="G170" s="11" t="n"/>
      <c r="H170" s="12">
        <f>IF(G170="","",G170+100)</f>
        <v/>
      </c>
      <c r="I170" s="11" t="n"/>
      <c r="J170" s="11" t="n"/>
      <c r="K170" s="11" t="n"/>
      <c r="L170" s="12">
        <f>IF(K170="","",K170+5)</f>
        <v/>
      </c>
      <c r="M170" s="11" t="n"/>
      <c r="N170" s="12">
        <f>IF(M170&lt;&gt;"",M170,IF(L170="","",L170))</f>
        <v/>
      </c>
      <c r="O170" s="12">
        <f>IF(N170="","",N170+40)</f>
        <v/>
      </c>
      <c r="P170" s="11" t="n"/>
      <c r="Q170" s="12">
        <f>IF(P170&lt;&gt;"",P170,IF(O170="","",O170))</f>
        <v/>
      </c>
      <c r="R170" s="12">
        <f>IF(Q170="","",Q170+70)</f>
        <v/>
      </c>
      <c r="S170" s="11" t="n"/>
      <c r="T170" s="10">
        <f>IF(G170="","",IF(S170&lt;&gt;"","Завершено",IF(P170&lt;&gt;"","Ожидание оплаты",IF(M170&lt;&gt;"","Входной контроль",IF(K170&lt;&gt;"","Ожидание получения в Ленске",IF(I170&lt;&gt;"","В пути Иркутск → Ленск","Ремонт у подрядчика"))))))</f>
        <v/>
      </c>
      <c r="U170" s="10">
        <f>IF(H170="","",MAX(0,IF(I170&lt;&gt;"",I170,Настройки!$B$2)-H170))</f>
        <v/>
      </c>
      <c r="V170" s="10">
        <f>IF(L170="","",MAX(0,IF(M170&lt;&gt;"",M170,Настройки!$B$2)-L170))</f>
        <v/>
      </c>
      <c r="W170" s="10">
        <f>IF(O170="","",MAX(0,IF(P170&lt;&gt;"",P170,Настройки!$B$2)-O170))</f>
        <v/>
      </c>
      <c r="X170" s="10">
        <f>IF(R170="","",MAX(0,IF(S170&lt;&gt;"",S170,Настройки!$B$2)-R170))</f>
        <v/>
      </c>
      <c r="Y170" s="10">
        <f>MAX(U170:X170)</f>
        <v/>
      </c>
    </row>
    <row r="171">
      <c r="A171" s="9" t="n"/>
      <c r="B171" s="9" t="n"/>
      <c r="C171" s="10">
        <f>IFERROR(INDEX(Оборудование!$B$2:$B$200,MATCH(A171,Оборудование!$A$2:$A$200,0)),"")</f>
        <v/>
      </c>
      <c r="D171" s="10">
        <f>IFERROR(INDEX(Оборудование!$C$2:$C$200,MATCH(A171,Оборудование!$A$2:$A$200,0)),"")</f>
        <v/>
      </c>
      <c r="E171" s="10">
        <f>IFERROR(INDEX(Оборудование!$D$2:$D$200,MATCH(A171,Оборудование!$A$2:$A$200,0)),"")</f>
        <v/>
      </c>
      <c r="F171" s="10">
        <f>IFERROR(INDEX(Оборудование!$H$2:$H$200,MATCH(A171,Оборудование!$A$2:$A$200,0)),"")</f>
        <v/>
      </c>
      <c r="G171" s="11" t="n"/>
      <c r="H171" s="12">
        <f>IF(G171="","",G171+100)</f>
        <v/>
      </c>
      <c r="I171" s="11" t="n"/>
      <c r="J171" s="11" t="n"/>
      <c r="K171" s="11" t="n"/>
      <c r="L171" s="12">
        <f>IF(K171="","",K171+5)</f>
        <v/>
      </c>
      <c r="M171" s="11" t="n"/>
      <c r="N171" s="12">
        <f>IF(M171&lt;&gt;"",M171,IF(L171="","",L171))</f>
        <v/>
      </c>
      <c r="O171" s="12">
        <f>IF(N171="","",N171+40)</f>
        <v/>
      </c>
      <c r="P171" s="11" t="n"/>
      <c r="Q171" s="12">
        <f>IF(P171&lt;&gt;"",P171,IF(O171="","",O171))</f>
        <v/>
      </c>
      <c r="R171" s="12">
        <f>IF(Q171="","",Q171+70)</f>
        <v/>
      </c>
      <c r="S171" s="11" t="n"/>
      <c r="T171" s="10">
        <f>IF(G171="","",IF(S171&lt;&gt;"","Завершено",IF(P171&lt;&gt;"","Ожидание оплаты",IF(M171&lt;&gt;"","Входной контроль",IF(K171&lt;&gt;"","Ожидание получения в Ленске",IF(I171&lt;&gt;"","В пути Иркутск → Ленск","Ремонт у подрядчика"))))))</f>
        <v/>
      </c>
      <c r="U171" s="10">
        <f>IF(H171="","",MAX(0,IF(I171&lt;&gt;"",I171,Настройки!$B$2)-H171))</f>
        <v/>
      </c>
      <c r="V171" s="10">
        <f>IF(L171="","",MAX(0,IF(M171&lt;&gt;"",M171,Настройки!$B$2)-L171))</f>
        <v/>
      </c>
      <c r="W171" s="10">
        <f>IF(O171="","",MAX(0,IF(P171&lt;&gt;"",P171,Настройки!$B$2)-O171))</f>
        <v/>
      </c>
      <c r="X171" s="10">
        <f>IF(R171="","",MAX(0,IF(S171&lt;&gt;"",S171,Настройки!$B$2)-R171))</f>
        <v/>
      </c>
      <c r="Y171" s="10">
        <f>MAX(U171:X171)</f>
        <v/>
      </c>
    </row>
    <row r="172">
      <c r="A172" s="9" t="n"/>
      <c r="B172" s="9" t="n"/>
      <c r="C172" s="10">
        <f>IFERROR(INDEX(Оборудование!$B$2:$B$200,MATCH(A172,Оборудование!$A$2:$A$200,0)),"")</f>
        <v/>
      </c>
      <c r="D172" s="10">
        <f>IFERROR(INDEX(Оборудование!$C$2:$C$200,MATCH(A172,Оборудование!$A$2:$A$200,0)),"")</f>
        <v/>
      </c>
      <c r="E172" s="10">
        <f>IFERROR(INDEX(Оборудование!$D$2:$D$200,MATCH(A172,Оборудование!$A$2:$A$200,0)),"")</f>
        <v/>
      </c>
      <c r="F172" s="10">
        <f>IFERROR(INDEX(Оборудование!$H$2:$H$200,MATCH(A172,Оборудование!$A$2:$A$200,0)),"")</f>
        <v/>
      </c>
      <c r="G172" s="11" t="n"/>
      <c r="H172" s="12">
        <f>IF(G172="","",G172+100)</f>
        <v/>
      </c>
      <c r="I172" s="11" t="n"/>
      <c r="J172" s="11" t="n"/>
      <c r="K172" s="11" t="n"/>
      <c r="L172" s="12">
        <f>IF(K172="","",K172+5)</f>
        <v/>
      </c>
      <c r="M172" s="11" t="n"/>
      <c r="N172" s="12">
        <f>IF(M172&lt;&gt;"",M172,IF(L172="","",L172))</f>
        <v/>
      </c>
      <c r="O172" s="12">
        <f>IF(N172="","",N172+40)</f>
        <v/>
      </c>
      <c r="P172" s="11" t="n"/>
      <c r="Q172" s="12">
        <f>IF(P172&lt;&gt;"",P172,IF(O172="","",O172))</f>
        <v/>
      </c>
      <c r="R172" s="12">
        <f>IF(Q172="","",Q172+70)</f>
        <v/>
      </c>
      <c r="S172" s="11" t="n"/>
      <c r="T172" s="10">
        <f>IF(G172="","",IF(S172&lt;&gt;"","Завершено",IF(P172&lt;&gt;"","Ожидание оплаты",IF(M172&lt;&gt;"","Входной контроль",IF(K172&lt;&gt;"","Ожидание получения в Ленске",IF(I172&lt;&gt;"","В пути Иркутск → Ленск","Ремонт у подрядчика"))))))</f>
        <v/>
      </c>
      <c r="U172" s="10">
        <f>IF(H172="","",MAX(0,IF(I172&lt;&gt;"",I172,Настройки!$B$2)-H172))</f>
        <v/>
      </c>
      <c r="V172" s="10">
        <f>IF(L172="","",MAX(0,IF(M172&lt;&gt;"",M172,Настройки!$B$2)-L172))</f>
        <v/>
      </c>
      <c r="W172" s="10">
        <f>IF(O172="","",MAX(0,IF(P172&lt;&gt;"",P172,Настройки!$B$2)-O172))</f>
        <v/>
      </c>
      <c r="X172" s="10">
        <f>IF(R172="","",MAX(0,IF(S172&lt;&gt;"",S172,Настройки!$B$2)-R172))</f>
        <v/>
      </c>
      <c r="Y172" s="10">
        <f>MAX(U172:X172)</f>
        <v/>
      </c>
    </row>
    <row r="173">
      <c r="A173" s="9" t="n"/>
      <c r="B173" s="9" t="n"/>
      <c r="C173" s="10">
        <f>IFERROR(INDEX(Оборудование!$B$2:$B$200,MATCH(A173,Оборудование!$A$2:$A$200,0)),"")</f>
        <v/>
      </c>
      <c r="D173" s="10">
        <f>IFERROR(INDEX(Оборудование!$C$2:$C$200,MATCH(A173,Оборудование!$A$2:$A$200,0)),"")</f>
        <v/>
      </c>
      <c r="E173" s="10">
        <f>IFERROR(INDEX(Оборудование!$D$2:$D$200,MATCH(A173,Оборудование!$A$2:$A$200,0)),"")</f>
        <v/>
      </c>
      <c r="F173" s="10">
        <f>IFERROR(INDEX(Оборудование!$H$2:$H$200,MATCH(A173,Оборудование!$A$2:$A$200,0)),"")</f>
        <v/>
      </c>
      <c r="G173" s="11" t="n"/>
      <c r="H173" s="12">
        <f>IF(G173="","",G173+100)</f>
        <v/>
      </c>
      <c r="I173" s="11" t="n"/>
      <c r="J173" s="11" t="n"/>
      <c r="K173" s="11" t="n"/>
      <c r="L173" s="12">
        <f>IF(K173="","",K173+5)</f>
        <v/>
      </c>
      <c r="M173" s="11" t="n"/>
      <c r="N173" s="12">
        <f>IF(M173&lt;&gt;"",M173,IF(L173="","",L173))</f>
        <v/>
      </c>
      <c r="O173" s="12">
        <f>IF(N173="","",N173+40)</f>
        <v/>
      </c>
      <c r="P173" s="11" t="n"/>
      <c r="Q173" s="12">
        <f>IF(P173&lt;&gt;"",P173,IF(O173="","",O173))</f>
        <v/>
      </c>
      <c r="R173" s="12">
        <f>IF(Q173="","",Q173+70)</f>
        <v/>
      </c>
      <c r="S173" s="11" t="n"/>
      <c r="T173" s="10">
        <f>IF(G173="","",IF(S173&lt;&gt;"","Завершено",IF(P173&lt;&gt;"","Ожидание оплаты",IF(M173&lt;&gt;"","Входной контроль",IF(K173&lt;&gt;"","Ожидание получения в Ленске",IF(I173&lt;&gt;"","В пути Иркутск → Ленск","Ремонт у подрядчика"))))))</f>
        <v/>
      </c>
      <c r="U173" s="10">
        <f>IF(H173="","",MAX(0,IF(I173&lt;&gt;"",I173,Настройки!$B$2)-H173))</f>
        <v/>
      </c>
      <c r="V173" s="10">
        <f>IF(L173="","",MAX(0,IF(M173&lt;&gt;"",M173,Настройки!$B$2)-L173))</f>
        <v/>
      </c>
      <c r="W173" s="10">
        <f>IF(O173="","",MAX(0,IF(P173&lt;&gt;"",P173,Настройки!$B$2)-O173))</f>
        <v/>
      </c>
      <c r="X173" s="10">
        <f>IF(R173="","",MAX(0,IF(S173&lt;&gt;"",S173,Настройки!$B$2)-R173))</f>
        <v/>
      </c>
      <c r="Y173" s="10">
        <f>MAX(U173:X173)</f>
        <v/>
      </c>
    </row>
    <row r="174">
      <c r="A174" s="9" t="n"/>
      <c r="B174" s="9" t="n"/>
      <c r="C174" s="10">
        <f>IFERROR(INDEX(Оборудование!$B$2:$B$200,MATCH(A174,Оборудование!$A$2:$A$200,0)),"")</f>
        <v/>
      </c>
      <c r="D174" s="10">
        <f>IFERROR(INDEX(Оборудование!$C$2:$C$200,MATCH(A174,Оборудование!$A$2:$A$200,0)),"")</f>
        <v/>
      </c>
      <c r="E174" s="10">
        <f>IFERROR(INDEX(Оборудование!$D$2:$D$200,MATCH(A174,Оборудование!$A$2:$A$200,0)),"")</f>
        <v/>
      </c>
      <c r="F174" s="10">
        <f>IFERROR(INDEX(Оборудование!$H$2:$H$200,MATCH(A174,Оборудование!$A$2:$A$200,0)),"")</f>
        <v/>
      </c>
      <c r="G174" s="11" t="n"/>
      <c r="H174" s="12">
        <f>IF(G174="","",G174+100)</f>
        <v/>
      </c>
      <c r="I174" s="11" t="n"/>
      <c r="J174" s="11" t="n"/>
      <c r="K174" s="11" t="n"/>
      <c r="L174" s="12">
        <f>IF(K174="","",K174+5)</f>
        <v/>
      </c>
      <c r="M174" s="11" t="n"/>
      <c r="N174" s="12">
        <f>IF(M174&lt;&gt;"",M174,IF(L174="","",L174))</f>
        <v/>
      </c>
      <c r="O174" s="12">
        <f>IF(N174="","",N174+40)</f>
        <v/>
      </c>
      <c r="P174" s="11" t="n"/>
      <c r="Q174" s="12">
        <f>IF(P174&lt;&gt;"",P174,IF(O174="","",O174))</f>
        <v/>
      </c>
      <c r="R174" s="12">
        <f>IF(Q174="","",Q174+70)</f>
        <v/>
      </c>
      <c r="S174" s="11" t="n"/>
      <c r="T174" s="10">
        <f>IF(G174="","",IF(S174&lt;&gt;"","Завершено",IF(P174&lt;&gt;"","Ожидание оплаты",IF(M174&lt;&gt;"","Входной контроль",IF(K174&lt;&gt;"","Ожидание получения в Ленске",IF(I174&lt;&gt;"","В пути Иркутск → Ленск","Ремонт у подрядчика"))))))</f>
        <v/>
      </c>
      <c r="U174" s="10">
        <f>IF(H174="","",MAX(0,IF(I174&lt;&gt;"",I174,Настройки!$B$2)-H174))</f>
        <v/>
      </c>
      <c r="V174" s="10">
        <f>IF(L174="","",MAX(0,IF(M174&lt;&gt;"",M174,Настройки!$B$2)-L174))</f>
        <v/>
      </c>
      <c r="W174" s="10">
        <f>IF(O174="","",MAX(0,IF(P174&lt;&gt;"",P174,Настройки!$B$2)-O174))</f>
        <v/>
      </c>
      <c r="X174" s="10">
        <f>IF(R174="","",MAX(0,IF(S174&lt;&gt;"",S174,Настройки!$B$2)-R174))</f>
        <v/>
      </c>
      <c r="Y174" s="10">
        <f>MAX(U174:X174)</f>
        <v/>
      </c>
    </row>
    <row r="175">
      <c r="A175" s="9" t="n"/>
      <c r="B175" s="9" t="n"/>
      <c r="C175" s="10">
        <f>IFERROR(INDEX(Оборудование!$B$2:$B$200,MATCH(A175,Оборудование!$A$2:$A$200,0)),"")</f>
        <v/>
      </c>
      <c r="D175" s="10">
        <f>IFERROR(INDEX(Оборудование!$C$2:$C$200,MATCH(A175,Оборудование!$A$2:$A$200,0)),"")</f>
        <v/>
      </c>
      <c r="E175" s="10">
        <f>IFERROR(INDEX(Оборудование!$D$2:$D$200,MATCH(A175,Оборудование!$A$2:$A$200,0)),"")</f>
        <v/>
      </c>
      <c r="F175" s="10">
        <f>IFERROR(INDEX(Оборудование!$H$2:$H$200,MATCH(A175,Оборудование!$A$2:$A$200,0)),"")</f>
        <v/>
      </c>
      <c r="G175" s="11" t="n"/>
      <c r="H175" s="12">
        <f>IF(G175="","",G175+100)</f>
        <v/>
      </c>
      <c r="I175" s="11" t="n"/>
      <c r="J175" s="11" t="n"/>
      <c r="K175" s="11" t="n"/>
      <c r="L175" s="12">
        <f>IF(K175="","",K175+5)</f>
        <v/>
      </c>
      <c r="M175" s="11" t="n"/>
      <c r="N175" s="12">
        <f>IF(M175&lt;&gt;"",M175,IF(L175="","",L175))</f>
        <v/>
      </c>
      <c r="O175" s="12">
        <f>IF(N175="","",N175+40)</f>
        <v/>
      </c>
      <c r="P175" s="11" t="n"/>
      <c r="Q175" s="12">
        <f>IF(P175&lt;&gt;"",P175,IF(O175="","",O175))</f>
        <v/>
      </c>
      <c r="R175" s="12">
        <f>IF(Q175="","",Q175+70)</f>
        <v/>
      </c>
      <c r="S175" s="11" t="n"/>
      <c r="T175" s="10">
        <f>IF(G175="","",IF(S175&lt;&gt;"","Завершено",IF(P175&lt;&gt;"","Ожидание оплаты",IF(M175&lt;&gt;"","Входной контроль",IF(K175&lt;&gt;"","Ожидание получения в Ленске",IF(I175&lt;&gt;"","В пути Иркутск → Ленск","Ремонт у подрядчика"))))))</f>
        <v/>
      </c>
      <c r="U175" s="10">
        <f>IF(H175="","",MAX(0,IF(I175&lt;&gt;"",I175,Настройки!$B$2)-H175))</f>
        <v/>
      </c>
      <c r="V175" s="10">
        <f>IF(L175="","",MAX(0,IF(M175&lt;&gt;"",M175,Настройки!$B$2)-L175))</f>
        <v/>
      </c>
      <c r="W175" s="10">
        <f>IF(O175="","",MAX(0,IF(P175&lt;&gt;"",P175,Настройки!$B$2)-O175))</f>
        <v/>
      </c>
      <c r="X175" s="10">
        <f>IF(R175="","",MAX(0,IF(S175&lt;&gt;"",S175,Настройки!$B$2)-R175))</f>
        <v/>
      </c>
      <c r="Y175" s="10">
        <f>MAX(U175:X175)</f>
        <v/>
      </c>
    </row>
    <row r="176">
      <c r="A176" s="9" t="n"/>
      <c r="B176" s="9" t="n"/>
      <c r="C176" s="10">
        <f>IFERROR(INDEX(Оборудование!$B$2:$B$200,MATCH(A176,Оборудование!$A$2:$A$200,0)),"")</f>
        <v/>
      </c>
      <c r="D176" s="10">
        <f>IFERROR(INDEX(Оборудование!$C$2:$C$200,MATCH(A176,Оборудование!$A$2:$A$200,0)),"")</f>
        <v/>
      </c>
      <c r="E176" s="10">
        <f>IFERROR(INDEX(Оборудование!$D$2:$D$200,MATCH(A176,Оборудование!$A$2:$A$200,0)),"")</f>
        <v/>
      </c>
      <c r="F176" s="10">
        <f>IFERROR(INDEX(Оборудование!$H$2:$H$200,MATCH(A176,Оборудование!$A$2:$A$200,0)),"")</f>
        <v/>
      </c>
      <c r="G176" s="11" t="n"/>
      <c r="H176" s="12">
        <f>IF(G176="","",G176+100)</f>
        <v/>
      </c>
      <c r="I176" s="11" t="n"/>
      <c r="J176" s="11" t="n"/>
      <c r="K176" s="11" t="n"/>
      <c r="L176" s="12">
        <f>IF(K176="","",K176+5)</f>
        <v/>
      </c>
      <c r="M176" s="11" t="n"/>
      <c r="N176" s="12">
        <f>IF(M176&lt;&gt;"",M176,IF(L176="","",L176))</f>
        <v/>
      </c>
      <c r="O176" s="12">
        <f>IF(N176="","",N176+40)</f>
        <v/>
      </c>
      <c r="P176" s="11" t="n"/>
      <c r="Q176" s="12">
        <f>IF(P176&lt;&gt;"",P176,IF(O176="","",O176))</f>
        <v/>
      </c>
      <c r="R176" s="12">
        <f>IF(Q176="","",Q176+70)</f>
        <v/>
      </c>
      <c r="S176" s="11" t="n"/>
      <c r="T176" s="10">
        <f>IF(G176="","",IF(S176&lt;&gt;"","Завершено",IF(P176&lt;&gt;"","Ожидание оплаты",IF(M176&lt;&gt;"","Входной контроль",IF(K176&lt;&gt;"","Ожидание получения в Ленске",IF(I176&lt;&gt;"","В пути Иркутск → Ленск","Ремонт у подрядчика"))))))</f>
        <v/>
      </c>
      <c r="U176" s="10">
        <f>IF(H176="","",MAX(0,IF(I176&lt;&gt;"",I176,Настройки!$B$2)-H176))</f>
        <v/>
      </c>
      <c r="V176" s="10">
        <f>IF(L176="","",MAX(0,IF(M176&lt;&gt;"",M176,Настройки!$B$2)-L176))</f>
        <v/>
      </c>
      <c r="W176" s="10">
        <f>IF(O176="","",MAX(0,IF(P176&lt;&gt;"",P176,Настройки!$B$2)-O176))</f>
        <v/>
      </c>
      <c r="X176" s="10">
        <f>IF(R176="","",MAX(0,IF(S176&lt;&gt;"",S176,Настройки!$B$2)-R176))</f>
        <v/>
      </c>
      <c r="Y176" s="10">
        <f>MAX(U176:X176)</f>
        <v/>
      </c>
    </row>
    <row r="177">
      <c r="A177" s="9" t="n"/>
      <c r="B177" s="9" t="n"/>
      <c r="C177" s="10">
        <f>IFERROR(INDEX(Оборудование!$B$2:$B$200,MATCH(A177,Оборудование!$A$2:$A$200,0)),"")</f>
        <v/>
      </c>
      <c r="D177" s="10">
        <f>IFERROR(INDEX(Оборудование!$C$2:$C$200,MATCH(A177,Оборудование!$A$2:$A$200,0)),"")</f>
        <v/>
      </c>
      <c r="E177" s="10">
        <f>IFERROR(INDEX(Оборудование!$D$2:$D$200,MATCH(A177,Оборудование!$A$2:$A$200,0)),"")</f>
        <v/>
      </c>
      <c r="F177" s="10">
        <f>IFERROR(INDEX(Оборудование!$H$2:$H$200,MATCH(A177,Оборудование!$A$2:$A$200,0)),"")</f>
        <v/>
      </c>
      <c r="G177" s="11" t="n"/>
      <c r="H177" s="12">
        <f>IF(G177="","",G177+100)</f>
        <v/>
      </c>
      <c r="I177" s="11" t="n"/>
      <c r="J177" s="11" t="n"/>
      <c r="K177" s="11" t="n"/>
      <c r="L177" s="12">
        <f>IF(K177="","",K177+5)</f>
        <v/>
      </c>
      <c r="M177" s="11" t="n"/>
      <c r="N177" s="12">
        <f>IF(M177&lt;&gt;"",M177,IF(L177="","",L177))</f>
        <v/>
      </c>
      <c r="O177" s="12">
        <f>IF(N177="","",N177+40)</f>
        <v/>
      </c>
      <c r="P177" s="11" t="n"/>
      <c r="Q177" s="12">
        <f>IF(P177&lt;&gt;"",P177,IF(O177="","",O177))</f>
        <v/>
      </c>
      <c r="R177" s="12">
        <f>IF(Q177="","",Q177+70)</f>
        <v/>
      </c>
      <c r="S177" s="11" t="n"/>
      <c r="T177" s="10">
        <f>IF(G177="","",IF(S177&lt;&gt;"","Завершено",IF(P177&lt;&gt;"","Ожидание оплаты",IF(M177&lt;&gt;"","Входной контроль",IF(K177&lt;&gt;"","Ожидание получения в Ленске",IF(I177&lt;&gt;"","В пути Иркутск → Ленск","Ремонт у подрядчика"))))))</f>
        <v/>
      </c>
      <c r="U177" s="10">
        <f>IF(H177="","",MAX(0,IF(I177&lt;&gt;"",I177,Настройки!$B$2)-H177))</f>
        <v/>
      </c>
      <c r="V177" s="10">
        <f>IF(L177="","",MAX(0,IF(M177&lt;&gt;"",M177,Настройки!$B$2)-L177))</f>
        <v/>
      </c>
      <c r="W177" s="10">
        <f>IF(O177="","",MAX(0,IF(P177&lt;&gt;"",P177,Настройки!$B$2)-O177))</f>
        <v/>
      </c>
      <c r="X177" s="10">
        <f>IF(R177="","",MAX(0,IF(S177&lt;&gt;"",S177,Настройки!$B$2)-R177))</f>
        <v/>
      </c>
      <c r="Y177" s="10">
        <f>MAX(U177:X177)</f>
        <v/>
      </c>
    </row>
    <row r="178">
      <c r="A178" s="9" t="n"/>
      <c r="B178" s="9" t="n"/>
      <c r="C178" s="10">
        <f>IFERROR(INDEX(Оборудование!$B$2:$B$200,MATCH(A178,Оборудование!$A$2:$A$200,0)),"")</f>
        <v/>
      </c>
      <c r="D178" s="10">
        <f>IFERROR(INDEX(Оборудование!$C$2:$C$200,MATCH(A178,Оборудование!$A$2:$A$200,0)),"")</f>
        <v/>
      </c>
      <c r="E178" s="10">
        <f>IFERROR(INDEX(Оборудование!$D$2:$D$200,MATCH(A178,Оборудование!$A$2:$A$200,0)),"")</f>
        <v/>
      </c>
      <c r="F178" s="10">
        <f>IFERROR(INDEX(Оборудование!$H$2:$H$200,MATCH(A178,Оборудование!$A$2:$A$200,0)),"")</f>
        <v/>
      </c>
      <c r="G178" s="11" t="n"/>
      <c r="H178" s="12">
        <f>IF(G178="","",G178+100)</f>
        <v/>
      </c>
      <c r="I178" s="11" t="n"/>
      <c r="J178" s="11" t="n"/>
      <c r="K178" s="11" t="n"/>
      <c r="L178" s="12">
        <f>IF(K178="","",K178+5)</f>
        <v/>
      </c>
      <c r="M178" s="11" t="n"/>
      <c r="N178" s="12">
        <f>IF(M178&lt;&gt;"",M178,IF(L178="","",L178))</f>
        <v/>
      </c>
      <c r="O178" s="12">
        <f>IF(N178="","",N178+40)</f>
        <v/>
      </c>
      <c r="P178" s="11" t="n"/>
      <c r="Q178" s="12">
        <f>IF(P178&lt;&gt;"",P178,IF(O178="","",O178))</f>
        <v/>
      </c>
      <c r="R178" s="12">
        <f>IF(Q178="","",Q178+70)</f>
        <v/>
      </c>
      <c r="S178" s="11" t="n"/>
      <c r="T178" s="10">
        <f>IF(G178="","",IF(S178&lt;&gt;"","Завершено",IF(P178&lt;&gt;"","Ожидание оплаты",IF(M178&lt;&gt;"","Входной контроль",IF(K178&lt;&gt;"","Ожидание получения в Ленске",IF(I178&lt;&gt;"","В пути Иркутск → Ленск","Ремонт у подрядчика"))))))</f>
        <v/>
      </c>
      <c r="U178" s="10">
        <f>IF(H178="","",MAX(0,IF(I178&lt;&gt;"",I178,Настройки!$B$2)-H178))</f>
        <v/>
      </c>
      <c r="V178" s="10">
        <f>IF(L178="","",MAX(0,IF(M178&lt;&gt;"",M178,Настройки!$B$2)-L178))</f>
        <v/>
      </c>
      <c r="W178" s="10">
        <f>IF(O178="","",MAX(0,IF(P178&lt;&gt;"",P178,Настройки!$B$2)-O178))</f>
        <v/>
      </c>
      <c r="X178" s="10">
        <f>IF(R178="","",MAX(0,IF(S178&lt;&gt;"",S178,Настройки!$B$2)-R178))</f>
        <v/>
      </c>
      <c r="Y178" s="10">
        <f>MAX(U178:X178)</f>
        <v/>
      </c>
    </row>
    <row r="179">
      <c r="A179" s="9" t="n"/>
      <c r="B179" s="9" t="n"/>
      <c r="C179" s="10">
        <f>IFERROR(INDEX(Оборудование!$B$2:$B$200,MATCH(A179,Оборудование!$A$2:$A$200,0)),"")</f>
        <v/>
      </c>
      <c r="D179" s="10">
        <f>IFERROR(INDEX(Оборудование!$C$2:$C$200,MATCH(A179,Оборудование!$A$2:$A$200,0)),"")</f>
        <v/>
      </c>
      <c r="E179" s="10">
        <f>IFERROR(INDEX(Оборудование!$D$2:$D$200,MATCH(A179,Оборудование!$A$2:$A$200,0)),"")</f>
        <v/>
      </c>
      <c r="F179" s="10">
        <f>IFERROR(INDEX(Оборудование!$H$2:$H$200,MATCH(A179,Оборудование!$A$2:$A$200,0)),"")</f>
        <v/>
      </c>
      <c r="G179" s="11" t="n"/>
      <c r="H179" s="12">
        <f>IF(G179="","",G179+100)</f>
        <v/>
      </c>
      <c r="I179" s="11" t="n"/>
      <c r="J179" s="11" t="n"/>
      <c r="K179" s="11" t="n"/>
      <c r="L179" s="12">
        <f>IF(K179="","",K179+5)</f>
        <v/>
      </c>
      <c r="M179" s="11" t="n"/>
      <c r="N179" s="12">
        <f>IF(M179&lt;&gt;"",M179,IF(L179="","",L179))</f>
        <v/>
      </c>
      <c r="O179" s="12">
        <f>IF(N179="","",N179+40)</f>
        <v/>
      </c>
      <c r="P179" s="11" t="n"/>
      <c r="Q179" s="12">
        <f>IF(P179&lt;&gt;"",P179,IF(O179="","",O179))</f>
        <v/>
      </c>
      <c r="R179" s="12">
        <f>IF(Q179="","",Q179+70)</f>
        <v/>
      </c>
      <c r="S179" s="11" t="n"/>
      <c r="T179" s="10">
        <f>IF(G179="","",IF(S179&lt;&gt;"","Завершено",IF(P179&lt;&gt;"","Ожидание оплаты",IF(M179&lt;&gt;"","Входной контроль",IF(K179&lt;&gt;"","Ожидание получения в Ленске",IF(I179&lt;&gt;"","В пути Иркутск → Ленск","Ремонт у подрядчика"))))))</f>
        <v/>
      </c>
      <c r="U179" s="10">
        <f>IF(H179="","",MAX(0,IF(I179&lt;&gt;"",I179,Настройки!$B$2)-H179))</f>
        <v/>
      </c>
      <c r="V179" s="10">
        <f>IF(L179="","",MAX(0,IF(M179&lt;&gt;"",M179,Настройки!$B$2)-L179))</f>
        <v/>
      </c>
      <c r="W179" s="10">
        <f>IF(O179="","",MAX(0,IF(P179&lt;&gt;"",P179,Настройки!$B$2)-O179))</f>
        <v/>
      </c>
      <c r="X179" s="10">
        <f>IF(R179="","",MAX(0,IF(S179&lt;&gt;"",S179,Настройки!$B$2)-R179))</f>
        <v/>
      </c>
      <c r="Y179" s="10">
        <f>MAX(U179:X179)</f>
        <v/>
      </c>
    </row>
    <row r="180">
      <c r="A180" s="9" t="n"/>
      <c r="B180" s="9" t="n"/>
      <c r="C180" s="10">
        <f>IFERROR(INDEX(Оборудование!$B$2:$B$200,MATCH(A180,Оборудование!$A$2:$A$200,0)),"")</f>
        <v/>
      </c>
      <c r="D180" s="10">
        <f>IFERROR(INDEX(Оборудование!$C$2:$C$200,MATCH(A180,Оборудование!$A$2:$A$200,0)),"")</f>
        <v/>
      </c>
      <c r="E180" s="10">
        <f>IFERROR(INDEX(Оборудование!$D$2:$D$200,MATCH(A180,Оборудование!$A$2:$A$200,0)),"")</f>
        <v/>
      </c>
      <c r="F180" s="10">
        <f>IFERROR(INDEX(Оборудование!$H$2:$H$200,MATCH(A180,Оборудование!$A$2:$A$200,0)),"")</f>
        <v/>
      </c>
      <c r="G180" s="11" t="n"/>
      <c r="H180" s="12">
        <f>IF(G180="","",G180+100)</f>
        <v/>
      </c>
      <c r="I180" s="11" t="n"/>
      <c r="J180" s="11" t="n"/>
      <c r="K180" s="11" t="n"/>
      <c r="L180" s="12">
        <f>IF(K180="","",K180+5)</f>
        <v/>
      </c>
      <c r="M180" s="11" t="n"/>
      <c r="N180" s="12">
        <f>IF(M180&lt;&gt;"",M180,IF(L180="","",L180))</f>
        <v/>
      </c>
      <c r="O180" s="12">
        <f>IF(N180="","",N180+40)</f>
        <v/>
      </c>
      <c r="P180" s="11" t="n"/>
      <c r="Q180" s="12">
        <f>IF(P180&lt;&gt;"",P180,IF(O180="","",O180))</f>
        <v/>
      </c>
      <c r="R180" s="12">
        <f>IF(Q180="","",Q180+70)</f>
        <v/>
      </c>
      <c r="S180" s="11" t="n"/>
      <c r="T180" s="10">
        <f>IF(G180="","",IF(S180&lt;&gt;"","Завершено",IF(P180&lt;&gt;"","Ожидание оплаты",IF(M180&lt;&gt;"","Входной контроль",IF(K180&lt;&gt;"","Ожидание получения в Ленске",IF(I180&lt;&gt;"","В пути Иркутск → Ленск","Ремонт у подрядчика"))))))</f>
        <v/>
      </c>
      <c r="U180" s="10">
        <f>IF(H180="","",MAX(0,IF(I180&lt;&gt;"",I180,Настройки!$B$2)-H180))</f>
        <v/>
      </c>
      <c r="V180" s="10">
        <f>IF(L180="","",MAX(0,IF(M180&lt;&gt;"",M180,Настройки!$B$2)-L180))</f>
        <v/>
      </c>
      <c r="W180" s="10">
        <f>IF(O180="","",MAX(0,IF(P180&lt;&gt;"",P180,Настройки!$B$2)-O180))</f>
        <v/>
      </c>
      <c r="X180" s="10">
        <f>IF(R180="","",MAX(0,IF(S180&lt;&gt;"",S180,Настройки!$B$2)-R180))</f>
        <v/>
      </c>
      <c r="Y180" s="10">
        <f>MAX(U180:X180)</f>
        <v/>
      </c>
    </row>
    <row r="181">
      <c r="A181" s="9" t="n"/>
      <c r="B181" s="9" t="n"/>
      <c r="C181" s="10">
        <f>IFERROR(INDEX(Оборудование!$B$2:$B$200,MATCH(A181,Оборудование!$A$2:$A$200,0)),"")</f>
        <v/>
      </c>
      <c r="D181" s="10">
        <f>IFERROR(INDEX(Оборудование!$C$2:$C$200,MATCH(A181,Оборудование!$A$2:$A$200,0)),"")</f>
        <v/>
      </c>
      <c r="E181" s="10">
        <f>IFERROR(INDEX(Оборудование!$D$2:$D$200,MATCH(A181,Оборудование!$A$2:$A$200,0)),"")</f>
        <v/>
      </c>
      <c r="F181" s="10">
        <f>IFERROR(INDEX(Оборудование!$H$2:$H$200,MATCH(A181,Оборудование!$A$2:$A$200,0)),"")</f>
        <v/>
      </c>
      <c r="G181" s="11" t="n"/>
      <c r="H181" s="12">
        <f>IF(G181="","",G181+100)</f>
        <v/>
      </c>
      <c r="I181" s="11" t="n"/>
      <c r="J181" s="11" t="n"/>
      <c r="K181" s="11" t="n"/>
      <c r="L181" s="12">
        <f>IF(K181="","",K181+5)</f>
        <v/>
      </c>
      <c r="M181" s="11" t="n"/>
      <c r="N181" s="12">
        <f>IF(M181&lt;&gt;"",M181,IF(L181="","",L181))</f>
        <v/>
      </c>
      <c r="O181" s="12">
        <f>IF(N181="","",N181+40)</f>
        <v/>
      </c>
      <c r="P181" s="11" t="n"/>
      <c r="Q181" s="12">
        <f>IF(P181&lt;&gt;"",P181,IF(O181="","",O181))</f>
        <v/>
      </c>
      <c r="R181" s="12">
        <f>IF(Q181="","",Q181+70)</f>
        <v/>
      </c>
      <c r="S181" s="11" t="n"/>
      <c r="T181" s="10">
        <f>IF(G181="","",IF(S181&lt;&gt;"","Завершено",IF(P181&lt;&gt;"","Ожидание оплаты",IF(M181&lt;&gt;"","Входной контроль",IF(K181&lt;&gt;"","Ожидание получения в Ленске",IF(I181&lt;&gt;"","В пути Иркутск → Ленск","Ремонт у подрядчика"))))))</f>
        <v/>
      </c>
      <c r="U181" s="10">
        <f>IF(H181="","",MAX(0,IF(I181&lt;&gt;"",I181,Настройки!$B$2)-H181))</f>
        <v/>
      </c>
      <c r="V181" s="10">
        <f>IF(L181="","",MAX(0,IF(M181&lt;&gt;"",M181,Настройки!$B$2)-L181))</f>
        <v/>
      </c>
      <c r="W181" s="10">
        <f>IF(O181="","",MAX(0,IF(P181&lt;&gt;"",P181,Настройки!$B$2)-O181))</f>
        <v/>
      </c>
      <c r="X181" s="10">
        <f>IF(R181="","",MAX(0,IF(S181&lt;&gt;"",S181,Настройки!$B$2)-R181))</f>
        <v/>
      </c>
      <c r="Y181" s="10">
        <f>MAX(U181:X181)</f>
        <v/>
      </c>
    </row>
    <row r="182">
      <c r="A182" s="9" t="n"/>
      <c r="B182" s="9" t="n"/>
      <c r="C182" s="10">
        <f>IFERROR(INDEX(Оборудование!$B$2:$B$200,MATCH(A182,Оборудование!$A$2:$A$200,0)),"")</f>
        <v/>
      </c>
      <c r="D182" s="10">
        <f>IFERROR(INDEX(Оборудование!$C$2:$C$200,MATCH(A182,Оборудование!$A$2:$A$200,0)),"")</f>
        <v/>
      </c>
      <c r="E182" s="10">
        <f>IFERROR(INDEX(Оборудование!$D$2:$D$200,MATCH(A182,Оборудование!$A$2:$A$200,0)),"")</f>
        <v/>
      </c>
      <c r="F182" s="10">
        <f>IFERROR(INDEX(Оборудование!$H$2:$H$200,MATCH(A182,Оборудование!$A$2:$A$200,0)),"")</f>
        <v/>
      </c>
      <c r="G182" s="11" t="n"/>
      <c r="H182" s="12">
        <f>IF(G182="","",G182+100)</f>
        <v/>
      </c>
      <c r="I182" s="11" t="n"/>
      <c r="J182" s="11" t="n"/>
      <c r="K182" s="11" t="n"/>
      <c r="L182" s="12">
        <f>IF(K182="","",K182+5)</f>
        <v/>
      </c>
      <c r="M182" s="11" t="n"/>
      <c r="N182" s="12">
        <f>IF(M182&lt;&gt;"",M182,IF(L182="","",L182))</f>
        <v/>
      </c>
      <c r="O182" s="12">
        <f>IF(N182="","",N182+40)</f>
        <v/>
      </c>
      <c r="P182" s="11" t="n"/>
      <c r="Q182" s="12">
        <f>IF(P182&lt;&gt;"",P182,IF(O182="","",O182))</f>
        <v/>
      </c>
      <c r="R182" s="12">
        <f>IF(Q182="","",Q182+70)</f>
        <v/>
      </c>
      <c r="S182" s="11" t="n"/>
      <c r="T182" s="10">
        <f>IF(G182="","",IF(S182&lt;&gt;"","Завершено",IF(P182&lt;&gt;"","Ожидание оплаты",IF(M182&lt;&gt;"","Входной контроль",IF(K182&lt;&gt;"","Ожидание получения в Ленске",IF(I182&lt;&gt;"","В пути Иркутск → Ленск","Ремонт у подрядчика"))))))</f>
        <v/>
      </c>
      <c r="U182" s="10">
        <f>IF(H182="","",MAX(0,IF(I182&lt;&gt;"",I182,Настройки!$B$2)-H182))</f>
        <v/>
      </c>
      <c r="V182" s="10">
        <f>IF(L182="","",MAX(0,IF(M182&lt;&gt;"",M182,Настройки!$B$2)-L182))</f>
        <v/>
      </c>
      <c r="W182" s="10">
        <f>IF(O182="","",MAX(0,IF(P182&lt;&gt;"",P182,Настройки!$B$2)-O182))</f>
        <v/>
      </c>
      <c r="X182" s="10">
        <f>IF(R182="","",MAX(0,IF(S182&lt;&gt;"",S182,Настройки!$B$2)-R182))</f>
        <v/>
      </c>
      <c r="Y182" s="10">
        <f>MAX(U182:X182)</f>
        <v/>
      </c>
    </row>
    <row r="183">
      <c r="A183" s="9" t="n"/>
      <c r="B183" s="9" t="n"/>
      <c r="C183" s="10">
        <f>IFERROR(INDEX(Оборудование!$B$2:$B$200,MATCH(A183,Оборудование!$A$2:$A$200,0)),"")</f>
        <v/>
      </c>
      <c r="D183" s="10">
        <f>IFERROR(INDEX(Оборудование!$C$2:$C$200,MATCH(A183,Оборудование!$A$2:$A$200,0)),"")</f>
        <v/>
      </c>
      <c r="E183" s="10">
        <f>IFERROR(INDEX(Оборудование!$D$2:$D$200,MATCH(A183,Оборудование!$A$2:$A$200,0)),"")</f>
        <v/>
      </c>
      <c r="F183" s="10">
        <f>IFERROR(INDEX(Оборудование!$H$2:$H$200,MATCH(A183,Оборудование!$A$2:$A$200,0)),"")</f>
        <v/>
      </c>
      <c r="G183" s="11" t="n"/>
      <c r="H183" s="12">
        <f>IF(G183="","",G183+100)</f>
        <v/>
      </c>
      <c r="I183" s="11" t="n"/>
      <c r="J183" s="11" t="n"/>
      <c r="K183" s="11" t="n"/>
      <c r="L183" s="12">
        <f>IF(K183="","",K183+5)</f>
        <v/>
      </c>
      <c r="M183" s="11" t="n"/>
      <c r="N183" s="12">
        <f>IF(M183&lt;&gt;"",M183,IF(L183="","",L183))</f>
        <v/>
      </c>
      <c r="O183" s="12">
        <f>IF(N183="","",N183+40)</f>
        <v/>
      </c>
      <c r="P183" s="11" t="n"/>
      <c r="Q183" s="12">
        <f>IF(P183&lt;&gt;"",P183,IF(O183="","",O183))</f>
        <v/>
      </c>
      <c r="R183" s="12">
        <f>IF(Q183="","",Q183+70)</f>
        <v/>
      </c>
      <c r="S183" s="11" t="n"/>
      <c r="T183" s="10">
        <f>IF(G183="","",IF(S183&lt;&gt;"","Завершено",IF(P183&lt;&gt;"","Ожидание оплаты",IF(M183&lt;&gt;"","Входной контроль",IF(K183&lt;&gt;"","Ожидание получения в Ленске",IF(I183&lt;&gt;"","В пути Иркутск → Ленск","Ремонт у подрядчика"))))))</f>
        <v/>
      </c>
      <c r="U183" s="10">
        <f>IF(H183="","",MAX(0,IF(I183&lt;&gt;"",I183,Настройки!$B$2)-H183))</f>
        <v/>
      </c>
      <c r="V183" s="10">
        <f>IF(L183="","",MAX(0,IF(M183&lt;&gt;"",M183,Настройки!$B$2)-L183))</f>
        <v/>
      </c>
      <c r="W183" s="10">
        <f>IF(O183="","",MAX(0,IF(P183&lt;&gt;"",P183,Настройки!$B$2)-O183))</f>
        <v/>
      </c>
      <c r="X183" s="10">
        <f>IF(R183="","",MAX(0,IF(S183&lt;&gt;"",S183,Настройки!$B$2)-R183))</f>
        <v/>
      </c>
      <c r="Y183" s="10">
        <f>MAX(U183:X183)</f>
        <v/>
      </c>
    </row>
    <row r="184">
      <c r="A184" s="9" t="n"/>
      <c r="B184" s="9" t="n"/>
      <c r="C184" s="10">
        <f>IFERROR(INDEX(Оборудование!$B$2:$B$200,MATCH(A184,Оборудование!$A$2:$A$200,0)),"")</f>
        <v/>
      </c>
      <c r="D184" s="10">
        <f>IFERROR(INDEX(Оборудование!$C$2:$C$200,MATCH(A184,Оборудование!$A$2:$A$200,0)),"")</f>
        <v/>
      </c>
      <c r="E184" s="10">
        <f>IFERROR(INDEX(Оборудование!$D$2:$D$200,MATCH(A184,Оборудование!$A$2:$A$200,0)),"")</f>
        <v/>
      </c>
      <c r="F184" s="10">
        <f>IFERROR(INDEX(Оборудование!$H$2:$H$200,MATCH(A184,Оборудование!$A$2:$A$200,0)),"")</f>
        <v/>
      </c>
      <c r="G184" s="11" t="n"/>
      <c r="H184" s="12">
        <f>IF(G184="","",G184+100)</f>
        <v/>
      </c>
      <c r="I184" s="11" t="n"/>
      <c r="J184" s="11" t="n"/>
      <c r="K184" s="11" t="n"/>
      <c r="L184" s="12">
        <f>IF(K184="","",K184+5)</f>
        <v/>
      </c>
      <c r="M184" s="11" t="n"/>
      <c r="N184" s="12">
        <f>IF(M184&lt;&gt;"",M184,IF(L184="","",L184))</f>
        <v/>
      </c>
      <c r="O184" s="12">
        <f>IF(N184="","",N184+40)</f>
        <v/>
      </c>
      <c r="P184" s="11" t="n"/>
      <c r="Q184" s="12">
        <f>IF(P184&lt;&gt;"",P184,IF(O184="","",O184))</f>
        <v/>
      </c>
      <c r="R184" s="12">
        <f>IF(Q184="","",Q184+70)</f>
        <v/>
      </c>
      <c r="S184" s="11" t="n"/>
      <c r="T184" s="10">
        <f>IF(G184="","",IF(S184&lt;&gt;"","Завершено",IF(P184&lt;&gt;"","Ожидание оплаты",IF(M184&lt;&gt;"","Входной контроль",IF(K184&lt;&gt;"","Ожидание получения в Ленске",IF(I184&lt;&gt;"","В пути Иркутск → Ленск","Ремонт у подрядчика"))))))</f>
        <v/>
      </c>
      <c r="U184" s="10">
        <f>IF(H184="","",MAX(0,IF(I184&lt;&gt;"",I184,Настройки!$B$2)-H184))</f>
        <v/>
      </c>
      <c r="V184" s="10">
        <f>IF(L184="","",MAX(0,IF(M184&lt;&gt;"",M184,Настройки!$B$2)-L184))</f>
        <v/>
      </c>
      <c r="W184" s="10">
        <f>IF(O184="","",MAX(0,IF(P184&lt;&gt;"",P184,Настройки!$B$2)-O184))</f>
        <v/>
      </c>
      <c r="X184" s="10">
        <f>IF(R184="","",MAX(0,IF(S184&lt;&gt;"",S184,Настройки!$B$2)-R184))</f>
        <v/>
      </c>
      <c r="Y184" s="10">
        <f>MAX(U184:X184)</f>
        <v/>
      </c>
    </row>
    <row r="185">
      <c r="A185" s="9" t="n"/>
      <c r="B185" s="9" t="n"/>
      <c r="C185" s="10">
        <f>IFERROR(INDEX(Оборудование!$B$2:$B$200,MATCH(A185,Оборудование!$A$2:$A$200,0)),"")</f>
        <v/>
      </c>
      <c r="D185" s="10">
        <f>IFERROR(INDEX(Оборудование!$C$2:$C$200,MATCH(A185,Оборудование!$A$2:$A$200,0)),"")</f>
        <v/>
      </c>
      <c r="E185" s="10">
        <f>IFERROR(INDEX(Оборудование!$D$2:$D$200,MATCH(A185,Оборудование!$A$2:$A$200,0)),"")</f>
        <v/>
      </c>
      <c r="F185" s="10">
        <f>IFERROR(INDEX(Оборудование!$H$2:$H$200,MATCH(A185,Оборудование!$A$2:$A$200,0)),"")</f>
        <v/>
      </c>
      <c r="G185" s="11" t="n"/>
      <c r="H185" s="12">
        <f>IF(G185="","",G185+100)</f>
        <v/>
      </c>
      <c r="I185" s="11" t="n"/>
      <c r="J185" s="11" t="n"/>
      <c r="K185" s="11" t="n"/>
      <c r="L185" s="12">
        <f>IF(K185="","",K185+5)</f>
        <v/>
      </c>
      <c r="M185" s="11" t="n"/>
      <c r="N185" s="12">
        <f>IF(M185&lt;&gt;"",M185,IF(L185="","",L185))</f>
        <v/>
      </c>
      <c r="O185" s="12">
        <f>IF(N185="","",N185+40)</f>
        <v/>
      </c>
      <c r="P185" s="11" t="n"/>
      <c r="Q185" s="12">
        <f>IF(P185&lt;&gt;"",P185,IF(O185="","",O185))</f>
        <v/>
      </c>
      <c r="R185" s="12">
        <f>IF(Q185="","",Q185+70)</f>
        <v/>
      </c>
      <c r="S185" s="11" t="n"/>
      <c r="T185" s="10">
        <f>IF(G185="","",IF(S185&lt;&gt;"","Завершено",IF(P185&lt;&gt;"","Ожидание оплаты",IF(M185&lt;&gt;"","Входной контроль",IF(K185&lt;&gt;"","Ожидание получения в Ленске",IF(I185&lt;&gt;"","В пути Иркутск → Ленск","Ремонт у подрядчика"))))))</f>
        <v/>
      </c>
      <c r="U185" s="10">
        <f>IF(H185="","",MAX(0,IF(I185&lt;&gt;"",I185,Настройки!$B$2)-H185))</f>
        <v/>
      </c>
      <c r="V185" s="10">
        <f>IF(L185="","",MAX(0,IF(M185&lt;&gt;"",M185,Настройки!$B$2)-L185))</f>
        <v/>
      </c>
      <c r="W185" s="10">
        <f>IF(O185="","",MAX(0,IF(P185&lt;&gt;"",P185,Настройки!$B$2)-O185))</f>
        <v/>
      </c>
      <c r="X185" s="10">
        <f>IF(R185="","",MAX(0,IF(S185&lt;&gt;"",S185,Настройки!$B$2)-R185))</f>
        <v/>
      </c>
      <c r="Y185" s="10">
        <f>MAX(U185:X185)</f>
        <v/>
      </c>
    </row>
    <row r="186">
      <c r="A186" s="9" t="n"/>
      <c r="B186" s="9" t="n"/>
      <c r="C186" s="10">
        <f>IFERROR(INDEX(Оборудование!$B$2:$B$200,MATCH(A186,Оборудование!$A$2:$A$200,0)),"")</f>
        <v/>
      </c>
      <c r="D186" s="10">
        <f>IFERROR(INDEX(Оборудование!$C$2:$C$200,MATCH(A186,Оборудование!$A$2:$A$200,0)),"")</f>
        <v/>
      </c>
      <c r="E186" s="10">
        <f>IFERROR(INDEX(Оборудование!$D$2:$D$200,MATCH(A186,Оборудование!$A$2:$A$200,0)),"")</f>
        <v/>
      </c>
      <c r="F186" s="10">
        <f>IFERROR(INDEX(Оборудование!$H$2:$H$200,MATCH(A186,Оборудование!$A$2:$A$200,0)),"")</f>
        <v/>
      </c>
      <c r="G186" s="11" t="n"/>
      <c r="H186" s="12">
        <f>IF(G186="","",G186+100)</f>
        <v/>
      </c>
      <c r="I186" s="11" t="n"/>
      <c r="J186" s="11" t="n"/>
      <c r="K186" s="11" t="n"/>
      <c r="L186" s="12">
        <f>IF(K186="","",K186+5)</f>
        <v/>
      </c>
      <c r="M186" s="11" t="n"/>
      <c r="N186" s="12">
        <f>IF(M186&lt;&gt;"",M186,IF(L186="","",L186))</f>
        <v/>
      </c>
      <c r="O186" s="12">
        <f>IF(N186="","",N186+40)</f>
        <v/>
      </c>
      <c r="P186" s="11" t="n"/>
      <c r="Q186" s="12">
        <f>IF(P186&lt;&gt;"",P186,IF(O186="","",O186))</f>
        <v/>
      </c>
      <c r="R186" s="12">
        <f>IF(Q186="","",Q186+70)</f>
        <v/>
      </c>
      <c r="S186" s="11" t="n"/>
      <c r="T186" s="10">
        <f>IF(G186="","",IF(S186&lt;&gt;"","Завершено",IF(P186&lt;&gt;"","Ожидание оплаты",IF(M186&lt;&gt;"","Входной контроль",IF(K186&lt;&gt;"","Ожидание получения в Ленске",IF(I186&lt;&gt;"","В пути Иркутск → Ленск","Ремонт у подрядчика"))))))</f>
        <v/>
      </c>
      <c r="U186" s="10">
        <f>IF(H186="","",MAX(0,IF(I186&lt;&gt;"",I186,Настройки!$B$2)-H186))</f>
        <v/>
      </c>
      <c r="V186" s="10">
        <f>IF(L186="","",MAX(0,IF(M186&lt;&gt;"",M186,Настройки!$B$2)-L186))</f>
        <v/>
      </c>
      <c r="W186" s="10">
        <f>IF(O186="","",MAX(0,IF(P186&lt;&gt;"",P186,Настройки!$B$2)-O186))</f>
        <v/>
      </c>
      <c r="X186" s="10">
        <f>IF(R186="","",MAX(0,IF(S186&lt;&gt;"",S186,Настройки!$B$2)-R186))</f>
        <v/>
      </c>
      <c r="Y186" s="10">
        <f>MAX(U186:X186)</f>
        <v/>
      </c>
    </row>
    <row r="187">
      <c r="A187" s="9" t="n"/>
      <c r="B187" s="9" t="n"/>
      <c r="C187" s="10">
        <f>IFERROR(INDEX(Оборудование!$B$2:$B$200,MATCH(A187,Оборудование!$A$2:$A$200,0)),"")</f>
        <v/>
      </c>
      <c r="D187" s="10">
        <f>IFERROR(INDEX(Оборудование!$C$2:$C$200,MATCH(A187,Оборудование!$A$2:$A$200,0)),"")</f>
        <v/>
      </c>
      <c r="E187" s="10">
        <f>IFERROR(INDEX(Оборудование!$D$2:$D$200,MATCH(A187,Оборудование!$A$2:$A$200,0)),"")</f>
        <v/>
      </c>
      <c r="F187" s="10">
        <f>IFERROR(INDEX(Оборудование!$H$2:$H$200,MATCH(A187,Оборудование!$A$2:$A$200,0)),"")</f>
        <v/>
      </c>
      <c r="G187" s="11" t="n"/>
      <c r="H187" s="12">
        <f>IF(G187="","",G187+100)</f>
        <v/>
      </c>
      <c r="I187" s="11" t="n"/>
      <c r="J187" s="11" t="n"/>
      <c r="K187" s="11" t="n"/>
      <c r="L187" s="12">
        <f>IF(K187="","",K187+5)</f>
        <v/>
      </c>
      <c r="M187" s="11" t="n"/>
      <c r="N187" s="12">
        <f>IF(M187&lt;&gt;"",M187,IF(L187="","",L187))</f>
        <v/>
      </c>
      <c r="O187" s="12">
        <f>IF(N187="","",N187+40)</f>
        <v/>
      </c>
      <c r="P187" s="11" t="n"/>
      <c r="Q187" s="12">
        <f>IF(P187&lt;&gt;"",P187,IF(O187="","",O187))</f>
        <v/>
      </c>
      <c r="R187" s="12">
        <f>IF(Q187="","",Q187+70)</f>
        <v/>
      </c>
      <c r="S187" s="11" t="n"/>
      <c r="T187" s="10">
        <f>IF(G187="","",IF(S187&lt;&gt;"","Завершено",IF(P187&lt;&gt;"","Ожидание оплаты",IF(M187&lt;&gt;"","Входной контроль",IF(K187&lt;&gt;"","Ожидание получения в Ленске",IF(I187&lt;&gt;"","В пути Иркутск → Ленск","Ремонт у подрядчика"))))))</f>
        <v/>
      </c>
      <c r="U187" s="10">
        <f>IF(H187="","",MAX(0,IF(I187&lt;&gt;"",I187,Настройки!$B$2)-H187))</f>
        <v/>
      </c>
      <c r="V187" s="10">
        <f>IF(L187="","",MAX(0,IF(M187&lt;&gt;"",M187,Настройки!$B$2)-L187))</f>
        <v/>
      </c>
      <c r="W187" s="10">
        <f>IF(O187="","",MAX(0,IF(P187&lt;&gt;"",P187,Настройки!$B$2)-O187))</f>
        <v/>
      </c>
      <c r="X187" s="10">
        <f>IF(R187="","",MAX(0,IF(S187&lt;&gt;"",S187,Настройки!$B$2)-R187))</f>
        <v/>
      </c>
      <c r="Y187" s="10">
        <f>MAX(U187:X187)</f>
        <v/>
      </c>
    </row>
    <row r="188">
      <c r="A188" s="9" t="n"/>
      <c r="B188" s="9" t="n"/>
      <c r="C188" s="10">
        <f>IFERROR(INDEX(Оборудование!$B$2:$B$200,MATCH(A188,Оборудование!$A$2:$A$200,0)),"")</f>
        <v/>
      </c>
      <c r="D188" s="10">
        <f>IFERROR(INDEX(Оборудование!$C$2:$C$200,MATCH(A188,Оборудование!$A$2:$A$200,0)),"")</f>
        <v/>
      </c>
      <c r="E188" s="10">
        <f>IFERROR(INDEX(Оборудование!$D$2:$D$200,MATCH(A188,Оборудование!$A$2:$A$200,0)),"")</f>
        <v/>
      </c>
      <c r="F188" s="10">
        <f>IFERROR(INDEX(Оборудование!$H$2:$H$200,MATCH(A188,Оборудование!$A$2:$A$200,0)),"")</f>
        <v/>
      </c>
      <c r="G188" s="11" t="n"/>
      <c r="H188" s="12">
        <f>IF(G188="","",G188+100)</f>
        <v/>
      </c>
      <c r="I188" s="11" t="n"/>
      <c r="J188" s="11" t="n"/>
      <c r="K188" s="11" t="n"/>
      <c r="L188" s="12">
        <f>IF(K188="","",K188+5)</f>
        <v/>
      </c>
      <c r="M188" s="11" t="n"/>
      <c r="N188" s="12">
        <f>IF(M188&lt;&gt;"",M188,IF(L188="","",L188))</f>
        <v/>
      </c>
      <c r="O188" s="12">
        <f>IF(N188="","",N188+40)</f>
        <v/>
      </c>
      <c r="P188" s="11" t="n"/>
      <c r="Q188" s="12">
        <f>IF(P188&lt;&gt;"",P188,IF(O188="","",O188))</f>
        <v/>
      </c>
      <c r="R188" s="12">
        <f>IF(Q188="","",Q188+70)</f>
        <v/>
      </c>
      <c r="S188" s="11" t="n"/>
      <c r="T188" s="10">
        <f>IF(G188="","",IF(S188&lt;&gt;"","Завершено",IF(P188&lt;&gt;"","Ожидание оплаты",IF(M188&lt;&gt;"","Входной контроль",IF(K188&lt;&gt;"","Ожидание получения в Ленске",IF(I188&lt;&gt;"","В пути Иркутск → Ленск","Ремонт у подрядчика"))))))</f>
        <v/>
      </c>
      <c r="U188" s="10">
        <f>IF(H188="","",MAX(0,IF(I188&lt;&gt;"",I188,Настройки!$B$2)-H188))</f>
        <v/>
      </c>
      <c r="V188" s="10">
        <f>IF(L188="","",MAX(0,IF(M188&lt;&gt;"",M188,Настройки!$B$2)-L188))</f>
        <v/>
      </c>
      <c r="W188" s="10">
        <f>IF(O188="","",MAX(0,IF(P188&lt;&gt;"",P188,Настройки!$B$2)-O188))</f>
        <v/>
      </c>
      <c r="X188" s="10">
        <f>IF(R188="","",MAX(0,IF(S188&lt;&gt;"",S188,Настройки!$B$2)-R188))</f>
        <v/>
      </c>
      <c r="Y188" s="10">
        <f>MAX(U188:X188)</f>
        <v/>
      </c>
    </row>
    <row r="189">
      <c r="A189" s="9" t="n"/>
      <c r="B189" s="9" t="n"/>
      <c r="C189" s="10">
        <f>IFERROR(INDEX(Оборудование!$B$2:$B$200,MATCH(A189,Оборудование!$A$2:$A$200,0)),"")</f>
        <v/>
      </c>
      <c r="D189" s="10">
        <f>IFERROR(INDEX(Оборудование!$C$2:$C$200,MATCH(A189,Оборудование!$A$2:$A$200,0)),"")</f>
        <v/>
      </c>
      <c r="E189" s="10">
        <f>IFERROR(INDEX(Оборудование!$D$2:$D$200,MATCH(A189,Оборудование!$A$2:$A$200,0)),"")</f>
        <v/>
      </c>
      <c r="F189" s="10">
        <f>IFERROR(INDEX(Оборудование!$H$2:$H$200,MATCH(A189,Оборудование!$A$2:$A$200,0)),"")</f>
        <v/>
      </c>
      <c r="G189" s="11" t="n"/>
      <c r="H189" s="12">
        <f>IF(G189="","",G189+100)</f>
        <v/>
      </c>
      <c r="I189" s="11" t="n"/>
      <c r="J189" s="11" t="n"/>
      <c r="K189" s="11" t="n"/>
      <c r="L189" s="12">
        <f>IF(K189="","",K189+5)</f>
        <v/>
      </c>
      <c r="M189" s="11" t="n"/>
      <c r="N189" s="12">
        <f>IF(M189&lt;&gt;"",M189,IF(L189="","",L189))</f>
        <v/>
      </c>
      <c r="O189" s="12">
        <f>IF(N189="","",N189+40)</f>
        <v/>
      </c>
      <c r="P189" s="11" t="n"/>
      <c r="Q189" s="12">
        <f>IF(P189&lt;&gt;"",P189,IF(O189="","",O189))</f>
        <v/>
      </c>
      <c r="R189" s="12">
        <f>IF(Q189="","",Q189+70)</f>
        <v/>
      </c>
      <c r="S189" s="11" t="n"/>
      <c r="T189" s="10">
        <f>IF(G189="","",IF(S189&lt;&gt;"","Завершено",IF(P189&lt;&gt;"","Ожидание оплаты",IF(M189&lt;&gt;"","Входной контроль",IF(K189&lt;&gt;"","Ожидание получения в Ленске",IF(I189&lt;&gt;"","В пути Иркутск → Ленск","Ремонт у подрядчика"))))))</f>
        <v/>
      </c>
      <c r="U189" s="10">
        <f>IF(H189="","",MAX(0,IF(I189&lt;&gt;"",I189,Настройки!$B$2)-H189))</f>
        <v/>
      </c>
      <c r="V189" s="10">
        <f>IF(L189="","",MAX(0,IF(M189&lt;&gt;"",M189,Настройки!$B$2)-L189))</f>
        <v/>
      </c>
      <c r="W189" s="10">
        <f>IF(O189="","",MAX(0,IF(P189&lt;&gt;"",P189,Настройки!$B$2)-O189))</f>
        <v/>
      </c>
      <c r="X189" s="10">
        <f>IF(R189="","",MAX(0,IF(S189&lt;&gt;"",S189,Настройки!$B$2)-R189))</f>
        <v/>
      </c>
      <c r="Y189" s="10">
        <f>MAX(U189:X189)</f>
        <v/>
      </c>
    </row>
    <row r="190">
      <c r="A190" s="9" t="n"/>
      <c r="B190" s="9" t="n"/>
      <c r="C190" s="10">
        <f>IFERROR(INDEX(Оборудование!$B$2:$B$200,MATCH(A190,Оборудование!$A$2:$A$200,0)),"")</f>
        <v/>
      </c>
      <c r="D190" s="10">
        <f>IFERROR(INDEX(Оборудование!$C$2:$C$200,MATCH(A190,Оборудование!$A$2:$A$200,0)),"")</f>
        <v/>
      </c>
      <c r="E190" s="10">
        <f>IFERROR(INDEX(Оборудование!$D$2:$D$200,MATCH(A190,Оборудование!$A$2:$A$200,0)),"")</f>
        <v/>
      </c>
      <c r="F190" s="10">
        <f>IFERROR(INDEX(Оборудование!$H$2:$H$200,MATCH(A190,Оборудование!$A$2:$A$200,0)),"")</f>
        <v/>
      </c>
      <c r="G190" s="11" t="n"/>
      <c r="H190" s="12">
        <f>IF(G190="","",G190+100)</f>
        <v/>
      </c>
      <c r="I190" s="11" t="n"/>
      <c r="J190" s="11" t="n"/>
      <c r="K190" s="11" t="n"/>
      <c r="L190" s="12">
        <f>IF(K190="","",K190+5)</f>
        <v/>
      </c>
      <c r="M190" s="11" t="n"/>
      <c r="N190" s="12">
        <f>IF(M190&lt;&gt;"",M190,IF(L190="","",L190))</f>
        <v/>
      </c>
      <c r="O190" s="12">
        <f>IF(N190="","",N190+40)</f>
        <v/>
      </c>
      <c r="P190" s="11" t="n"/>
      <c r="Q190" s="12">
        <f>IF(P190&lt;&gt;"",P190,IF(O190="","",O190))</f>
        <v/>
      </c>
      <c r="R190" s="12">
        <f>IF(Q190="","",Q190+70)</f>
        <v/>
      </c>
      <c r="S190" s="11" t="n"/>
      <c r="T190" s="10">
        <f>IF(G190="","",IF(S190&lt;&gt;"","Завершено",IF(P190&lt;&gt;"","Ожидание оплаты",IF(M190&lt;&gt;"","Входной контроль",IF(K190&lt;&gt;"","Ожидание получения в Ленске",IF(I190&lt;&gt;"","В пути Иркутск → Ленск","Ремонт у подрядчика"))))))</f>
        <v/>
      </c>
      <c r="U190" s="10">
        <f>IF(H190="","",MAX(0,IF(I190&lt;&gt;"",I190,Настройки!$B$2)-H190))</f>
        <v/>
      </c>
      <c r="V190" s="10">
        <f>IF(L190="","",MAX(0,IF(M190&lt;&gt;"",M190,Настройки!$B$2)-L190))</f>
        <v/>
      </c>
      <c r="W190" s="10">
        <f>IF(O190="","",MAX(0,IF(P190&lt;&gt;"",P190,Настройки!$B$2)-O190))</f>
        <v/>
      </c>
      <c r="X190" s="10">
        <f>IF(R190="","",MAX(0,IF(S190&lt;&gt;"",S190,Настройки!$B$2)-R190))</f>
        <v/>
      </c>
      <c r="Y190" s="10">
        <f>MAX(U190:X190)</f>
        <v/>
      </c>
    </row>
    <row r="191">
      <c r="A191" s="9" t="n"/>
      <c r="B191" s="9" t="n"/>
      <c r="C191" s="10">
        <f>IFERROR(INDEX(Оборудование!$B$2:$B$200,MATCH(A191,Оборудование!$A$2:$A$200,0)),"")</f>
        <v/>
      </c>
      <c r="D191" s="10">
        <f>IFERROR(INDEX(Оборудование!$C$2:$C$200,MATCH(A191,Оборудование!$A$2:$A$200,0)),"")</f>
        <v/>
      </c>
      <c r="E191" s="10">
        <f>IFERROR(INDEX(Оборудование!$D$2:$D$200,MATCH(A191,Оборудование!$A$2:$A$200,0)),"")</f>
        <v/>
      </c>
      <c r="F191" s="10">
        <f>IFERROR(INDEX(Оборудование!$H$2:$H$200,MATCH(A191,Оборудование!$A$2:$A$200,0)),"")</f>
        <v/>
      </c>
      <c r="G191" s="11" t="n"/>
      <c r="H191" s="12">
        <f>IF(G191="","",G191+100)</f>
        <v/>
      </c>
      <c r="I191" s="11" t="n"/>
      <c r="J191" s="11" t="n"/>
      <c r="K191" s="11" t="n"/>
      <c r="L191" s="12">
        <f>IF(K191="","",K191+5)</f>
        <v/>
      </c>
      <c r="M191" s="11" t="n"/>
      <c r="N191" s="12">
        <f>IF(M191&lt;&gt;"",M191,IF(L191="","",L191))</f>
        <v/>
      </c>
      <c r="O191" s="12">
        <f>IF(N191="","",N191+40)</f>
        <v/>
      </c>
      <c r="P191" s="11" t="n"/>
      <c r="Q191" s="12">
        <f>IF(P191&lt;&gt;"",P191,IF(O191="","",O191))</f>
        <v/>
      </c>
      <c r="R191" s="12">
        <f>IF(Q191="","",Q191+70)</f>
        <v/>
      </c>
      <c r="S191" s="11" t="n"/>
      <c r="T191" s="10">
        <f>IF(G191="","",IF(S191&lt;&gt;"","Завершено",IF(P191&lt;&gt;"","Ожидание оплаты",IF(M191&lt;&gt;"","Входной контроль",IF(K191&lt;&gt;"","Ожидание получения в Ленске",IF(I191&lt;&gt;"","В пути Иркутск → Ленск","Ремонт у подрядчика"))))))</f>
        <v/>
      </c>
      <c r="U191" s="10">
        <f>IF(H191="","",MAX(0,IF(I191&lt;&gt;"",I191,Настройки!$B$2)-H191))</f>
        <v/>
      </c>
      <c r="V191" s="10">
        <f>IF(L191="","",MAX(0,IF(M191&lt;&gt;"",M191,Настройки!$B$2)-L191))</f>
        <v/>
      </c>
      <c r="W191" s="10">
        <f>IF(O191="","",MAX(0,IF(P191&lt;&gt;"",P191,Настройки!$B$2)-O191))</f>
        <v/>
      </c>
      <c r="X191" s="10">
        <f>IF(R191="","",MAX(0,IF(S191&lt;&gt;"",S191,Настройки!$B$2)-R191))</f>
        <v/>
      </c>
      <c r="Y191" s="10">
        <f>MAX(U191:X191)</f>
        <v/>
      </c>
    </row>
    <row r="192">
      <c r="A192" s="9" t="n"/>
      <c r="B192" s="9" t="n"/>
      <c r="C192" s="10">
        <f>IFERROR(INDEX(Оборудование!$B$2:$B$200,MATCH(A192,Оборудование!$A$2:$A$200,0)),"")</f>
        <v/>
      </c>
      <c r="D192" s="10">
        <f>IFERROR(INDEX(Оборудование!$C$2:$C$200,MATCH(A192,Оборудование!$A$2:$A$200,0)),"")</f>
        <v/>
      </c>
      <c r="E192" s="10">
        <f>IFERROR(INDEX(Оборудование!$D$2:$D$200,MATCH(A192,Оборудование!$A$2:$A$200,0)),"")</f>
        <v/>
      </c>
      <c r="F192" s="10">
        <f>IFERROR(INDEX(Оборудование!$H$2:$H$200,MATCH(A192,Оборудование!$A$2:$A$200,0)),"")</f>
        <v/>
      </c>
      <c r="G192" s="11" t="n"/>
      <c r="H192" s="12">
        <f>IF(G192="","",G192+100)</f>
        <v/>
      </c>
      <c r="I192" s="11" t="n"/>
      <c r="J192" s="11" t="n"/>
      <c r="K192" s="11" t="n"/>
      <c r="L192" s="12">
        <f>IF(K192="","",K192+5)</f>
        <v/>
      </c>
      <c r="M192" s="11" t="n"/>
      <c r="N192" s="12">
        <f>IF(M192&lt;&gt;"",M192,IF(L192="","",L192))</f>
        <v/>
      </c>
      <c r="O192" s="12">
        <f>IF(N192="","",N192+40)</f>
        <v/>
      </c>
      <c r="P192" s="11" t="n"/>
      <c r="Q192" s="12">
        <f>IF(P192&lt;&gt;"",P192,IF(O192="","",O192))</f>
        <v/>
      </c>
      <c r="R192" s="12">
        <f>IF(Q192="","",Q192+70)</f>
        <v/>
      </c>
      <c r="S192" s="11" t="n"/>
      <c r="T192" s="10">
        <f>IF(G192="","",IF(S192&lt;&gt;"","Завершено",IF(P192&lt;&gt;"","Ожидание оплаты",IF(M192&lt;&gt;"","Входной контроль",IF(K192&lt;&gt;"","Ожидание получения в Ленске",IF(I192&lt;&gt;"","В пути Иркутск → Ленск","Ремонт у подрядчика"))))))</f>
        <v/>
      </c>
      <c r="U192" s="10">
        <f>IF(H192="","",MAX(0,IF(I192&lt;&gt;"",I192,Настройки!$B$2)-H192))</f>
        <v/>
      </c>
      <c r="V192" s="10">
        <f>IF(L192="","",MAX(0,IF(M192&lt;&gt;"",M192,Настройки!$B$2)-L192))</f>
        <v/>
      </c>
      <c r="W192" s="10">
        <f>IF(O192="","",MAX(0,IF(P192&lt;&gt;"",P192,Настройки!$B$2)-O192))</f>
        <v/>
      </c>
      <c r="X192" s="10">
        <f>IF(R192="","",MAX(0,IF(S192&lt;&gt;"",S192,Настройки!$B$2)-R192))</f>
        <v/>
      </c>
      <c r="Y192" s="10">
        <f>MAX(U192:X192)</f>
        <v/>
      </c>
    </row>
    <row r="193">
      <c r="A193" s="9" t="n"/>
      <c r="B193" s="9" t="n"/>
      <c r="C193" s="10">
        <f>IFERROR(INDEX(Оборудование!$B$2:$B$200,MATCH(A193,Оборудование!$A$2:$A$200,0)),"")</f>
        <v/>
      </c>
      <c r="D193" s="10">
        <f>IFERROR(INDEX(Оборудование!$C$2:$C$200,MATCH(A193,Оборудование!$A$2:$A$200,0)),"")</f>
        <v/>
      </c>
      <c r="E193" s="10">
        <f>IFERROR(INDEX(Оборудование!$D$2:$D$200,MATCH(A193,Оборудование!$A$2:$A$200,0)),"")</f>
        <v/>
      </c>
      <c r="F193" s="10">
        <f>IFERROR(INDEX(Оборудование!$H$2:$H$200,MATCH(A193,Оборудование!$A$2:$A$200,0)),"")</f>
        <v/>
      </c>
      <c r="G193" s="11" t="n"/>
      <c r="H193" s="12">
        <f>IF(G193="","",G193+100)</f>
        <v/>
      </c>
      <c r="I193" s="11" t="n"/>
      <c r="J193" s="11" t="n"/>
      <c r="K193" s="11" t="n"/>
      <c r="L193" s="12">
        <f>IF(K193="","",K193+5)</f>
        <v/>
      </c>
      <c r="M193" s="11" t="n"/>
      <c r="N193" s="12">
        <f>IF(M193&lt;&gt;"",M193,IF(L193="","",L193))</f>
        <v/>
      </c>
      <c r="O193" s="12">
        <f>IF(N193="","",N193+40)</f>
        <v/>
      </c>
      <c r="P193" s="11" t="n"/>
      <c r="Q193" s="12">
        <f>IF(P193&lt;&gt;"",P193,IF(O193="","",O193))</f>
        <v/>
      </c>
      <c r="R193" s="12">
        <f>IF(Q193="","",Q193+70)</f>
        <v/>
      </c>
      <c r="S193" s="11" t="n"/>
      <c r="T193" s="10">
        <f>IF(G193="","",IF(S193&lt;&gt;"","Завершено",IF(P193&lt;&gt;"","Ожидание оплаты",IF(M193&lt;&gt;"","Входной контроль",IF(K193&lt;&gt;"","Ожидание получения в Ленске",IF(I193&lt;&gt;"","В пути Иркутск → Ленск","Ремонт у подрядчика"))))))</f>
        <v/>
      </c>
      <c r="U193" s="10">
        <f>IF(H193="","",MAX(0,IF(I193&lt;&gt;"",I193,Настройки!$B$2)-H193))</f>
        <v/>
      </c>
      <c r="V193" s="10">
        <f>IF(L193="","",MAX(0,IF(M193&lt;&gt;"",M193,Настройки!$B$2)-L193))</f>
        <v/>
      </c>
      <c r="W193" s="10">
        <f>IF(O193="","",MAX(0,IF(P193&lt;&gt;"",P193,Настройки!$B$2)-O193))</f>
        <v/>
      </c>
      <c r="X193" s="10">
        <f>IF(R193="","",MAX(0,IF(S193&lt;&gt;"",S193,Настройки!$B$2)-R193))</f>
        <v/>
      </c>
      <c r="Y193" s="10">
        <f>MAX(U193:X193)</f>
        <v/>
      </c>
    </row>
    <row r="194">
      <c r="A194" s="9" t="n"/>
      <c r="B194" s="9" t="n"/>
      <c r="C194" s="10">
        <f>IFERROR(INDEX(Оборудование!$B$2:$B$200,MATCH(A194,Оборудование!$A$2:$A$200,0)),"")</f>
        <v/>
      </c>
      <c r="D194" s="10">
        <f>IFERROR(INDEX(Оборудование!$C$2:$C$200,MATCH(A194,Оборудование!$A$2:$A$200,0)),"")</f>
        <v/>
      </c>
      <c r="E194" s="10">
        <f>IFERROR(INDEX(Оборудование!$D$2:$D$200,MATCH(A194,Оборудование!$A$2:$A$200,0)),"")</f>
        <v/>
      </c>
      <c r="F194" s="10">
        <f>IFERROR(INDEX(Оборудование!$H$2:$H$200,MATCH(A194,Оборудование!$A$2:$A$200,0)),"")</f>
        <v/>
      </c>
      <c r="G194" s="11" t="n"/>
      <c r="H194" s="12">
        <f>IF(G194="","",G194+100)</f>
        <v/>
      </c>
      <c r="I194" s="11" t="n"/>
      <c r="J194" s="11" t="n"/>
      <c r="K194" s="11" t="n"/>
      <c r="L194" s="12">
        <f>IF(K194="","",K194+5)</f>
        <v/>
      </c>
      <c r="M194" s="11" t="n"/>
      <c r="N194" s="12">
        <f>IF(M194&lt;&gt;"",M194,IF(L194="","",L194))</f>
        <v/>
      </c>
      <c r="O194" s="12">
        <f>IF(N194="","",N194+40)</f>
        <v/>
      </c>
      <c r="P194" s="11" t="n"/>
      <c r="Q194" s="12">
        <f>IF(P194&lt;&gt;"",P194,IF(O194="","",O194))</f>
        <v/>
      </c>
      <c r="R194" s="12">
        <f>IF(Q194="","",Q194+70)</f>
        <v/>
      </c>
      <c r="S194" s="11" t="n"/>
      <c r="T194" s="10">
        <f>IF(G194="","",IF(S194&lt;&gt;"","Завершено",IF(P194&lt;&gt;"","Ожидание оплаты",IF(M194&lt;&gt;"","Входной контроль",IF(K194&lt;&gt;"","Ожидание получения в Ленске",IF(I194&lt;&gt;"","В пути Иркутск → Ленск","Ремонт у подрядчика"))))))</f>
        <v/>
      </c>
      <c r="U194" s="10">
        <f>IF(H194="","",MAX(0,IF(I194&lt;&gt;"",I194,Настройки!$B$2)-H194))</f>
        <v/>
      </c>
      <c r="V194" s="10">
        <f>IF(L194="","",MAX(0,IF(M194&lt;&gt;"",M194,Настройки!$B$2)-L194))</f>
        <v/>
      </c>
      <c r="W194" s="10">
        <f>IF(O194="","",MAX(0,IF(P194&lt;&gt;"",P194,Настройки!$B$2)-O194))</f>
        <v/>
      </c>
      <c r="X194" s="10">
        <f>IF(R194="","",MAX(0,IF(S194&lt;&gt;"",S194,Настройки!$B$2)-R194))</f>
        <v/>
      </c>
      <c r="Y194" s="10">
        <f>MAX(U194:X194)</f>
        <v/>
      </c>
    </row>
    <row r="195">
      <c r="A195" s="9" t="n"/>
      <c r="B195" s="9" t="n"/>
      <c r="C195" s="10">
        <f>IFERROR(INDEX(Оборудование!$B$2:$B$200,MATCH(A195,Оборудование!$A$2:$A$200,0)),"")</f>
        <v/>
      </c>
      <c r="D195" s="10">
        <f>IFERROR(INDEX(Оборудование!$C$2:$C$200,MATCH(A195,Оборудование!$A$2:$A$200,0)),"")</f>
        <v/>
      </c>
      <c r="E195" s="10">
        <f>IFERROR(INDEX(Оборудование!$D$2:$D$200,MATCH(A195,Оборудование!$A$2:$A$200,0)),"")</f>
        <v/>
      </c>
      <c r="F195" s="10">
        <f>IFERROR(INDEX(Оборудование!$H$2:$H$200,MATCH(A195,Оборудование!$A$2:$A$200,0)),"")</f>
        <v/>
      </c>
      <c r="G195" s="11" t="n"/>
      <c r="H195" s="12">
        <f>IF(G195="","",G195+100)</f>
        <v/>
      </c>
      <c r="I195" s="11" t="n"/>
      <c r="J195" s="11" t="n"/>
      <c r="K195" s="11" t="n"/>
      <c r="L195" s="12">
        <f>IF(K195="","",K195+5)</f>
        <v/>
      </c>
      <c r="M195" s="11" t="n"/>
      <c r="N195" s="12">
        <f>IF(M195&lt;&gt;"",M195,IF(L195="","",L195))</f>
        <v/>
      </c>
      <c r="O195" s="12">
        <f>IF(N195="","",N195+40)</f>
        <v/>
      </c>
      <c r="P195" s="11" t="n"/>
      <c r="Q195" s="12">
        <f>IF(P195&lt;&gt;"",P195,IF(O195="","",O195))</f>
        <v/>
      </c>
      <c r="R195" s="12">
        <f>IF(Q195="","",Q195+70)</f>
        <v/>
      </c>
      <c r="S195" s="11" t="n"/>
      <c r="T195" s="10">
        <f>IF(G195="","",IF(S195&lt;&gt;"","Завершено",IF(P195&lt;&gt;"","Ожидание оплаты",IF(M195&lt;&gt;"","Входной контроль",IF(K195&lt;&gt;"","Ожидание получения в Ленске",IF(I195&lt;&gt;"","В пути Иркутск → Ленск","Ремонт у подрядчика"))))))</f>
        <v/>
      </c>
      <c r="U195" s="10">
        <f>IF(H195="","",MAX(0,IF(I195&lt;&gt;"",I195,Настройки!$B$2)-H195))</f>
        <v/>
      </c>
      <c r="V195" s="10">
        <f>IF(L195="","",MAX(0,IF(M195&lt;&gt;"",M195,Настройки!$B$2)-L195))</f>
        <v/>
      </c>
      <c r="W195" s="10">
        <f>IF(O195="","",MAX(0,IF(P195&lt;&gt;"",P195,Настройки!$B$2)-O195))</f>
        <v/>
      </c>
      <c r="X195" s="10">
        <f>IF(R195="","",MAX(0,IF(S195&lt;&gt;"",S195,Настройки!$B$2)-R195))</f>
        <v/>
      </c>
      <c r="Y195" s="10">
        <f>MAX(U195:X195)</f>
        <v/>
      </c>
    </row>
    <row r="196">
      <c r="A196" s="9" t="n"/>
      <c r="B196" s="9" t="n"/>
      <c r="C196" s="10">
        <f>IFERROR(INDEX(Оборудование!$B$2:$B$200,MATCH(A196,Оборудование!$A$2:$A$200,0)),"")</f>
        <v/>
      </c>
      <c r="D196" s="10">
        <f>IFERROR(INDEX(Оборудование!$C$2:$C$200,MATCH(A196,Оборудование!$A$2:$A$200,0)),"")</f>
        <v/>
      </c>
      <c r="E196" s="10">
        <f>IFERROR(INDEX(Оборудование!$D$2:$D$200,MATCH(A196,Оборудование!$A$2:$A$200,0)),"")</f>
        <v/>
      </c>
      <c r="F196" s="10">
        <f>IFERROR(INDEX(Оборудование!$H$2:$H$200,MATCH(A196,Оборудование!$A$2:$A$200,0)),"")</f>
        <v/>
      </c>
      <c r="G196" s="11" t="n"/>
      <c r="H196" s="12">
        <f>IF(G196="","",G196+100)</f>
        <v/>
      </c>
      <c r="I196" s="11" t="n"/>
      <c r="J196" s="11" t="n"/>
      <c r="K196" s="11" t="n"/>
      <c r="L196" s="12">
        <f>IF(K196="","",K196+5)</f>
        <v/>
      </c>
      <c r="M196" s="11" t="n"/>
      <c r="N196" s="12">
        <f>IF(M196&lt;&gt;"",M196,IF(L196="","",L196))</f>
        <v/>
      </c>
      <c r="O196" s="12">
        <f>IF(N196="","",N196+40)</f>
        <v/>
      </c>
      <c r="P196" s="11" t="n"/>
      <c r="Q196" s="12">
        <f>IF(P196&lt;&gt;"",P196,IF(O196="","",O196))</f>
        <v/>
      </c>
      <c r="R196" s="12">
        <f>IF(Q196="","",Q196+70)</f>
        <v/>
      </c>
      <c r="S196" s="11" t="n"/>
      <c r="T196" s="10">
        <f>IF(G196="","",IF(S196&lt;&gt;"","Завершено",IF(P196&lt;&gt;"","Ожидание оплаты",IF(M196&lt;&gt;"","Входной контроль",IF(K196&lt;&gt;"","Ожидание получения в Ленске",IF(I196&lt;&gt;"","В пути Иркутск → Ленск","Ремонт у подрядчика"))))))</f>
        <v/>
      </c>
      <c r="U196" s="10">
        <f>IF(H196="","",MAX(0,IF(I196&lt;&gt;"",I196,Настройки!$B$2)-H196))</f>
        <v/>
      </c>
      <c r="V196" s="10">
        <f>IF(L196="","",MAX(0,IF(M196&lt;&gt;"",M196,Настройки!$B$2)-L196))</f>
        <v/>
      </c>
      <c r="W196" s="10">
        <f>IF(O196="","",MAX(0,IF(P196&lt;&gt;"",P196,Настройки!$B$2)-O196))</f>
        <v/>
      </c>
      <c r="X196" s="10">
        <f>IF(R196="","",MAX(0,IF(S196&lt;&gt;"",S196,Настройки!$B$2)-R196))</f>
        <v/>
      </c>
      <c r="Y196" s="10">
        <f>MAX(U196:X196)</f>
        <v/>
      </c>
    </row>
    <row r="197">
      <c r="A197" s="9" t="n"/>
      <c r="B197" s="9" t="n"/>
      <c r="C197" s="10">
        <f>IFERROR(INDEX(Оборудование!$B$2:$B$200,MATCH(A197,Оборудование!$A$2:$A$200,0)),"")</f>
        <v/>
      </c>
      <c r="D197" s="10">
        <f>IFERROR(INDEX(Оборудование!$C$2:$C$200,MATCH(A197,Оборудование!$A$2:$A$200,0)),"")</f>
        <v/>
      </c>
      <c r="E197" s="10">
        <f>IFERROR(INDEX(Оборудование!$D$2:$D$200,MATCH(A197,Оборудование!$A$2:$A$200,0)),"")</f>
        <v/>
      </c>
      <c r="F197" s="10">
        <f>IFERROR(INDEX(Оборудование!$H$2:$H$200,MATCH(A197,Оборудование!$A$2:$A$200,0)),"")</f>
        <v/>
      </c>
      <c r="G197" s="11" t="n"/>
      <c r="H197" s="12">
        <f>IF(G197="","",G197+100)</f>
        <v/>
      </c>
      <c r="I197" s="11" t="n"/>
      <c r="J197" s="11" t="n"/>
      <c r="K197" s="11" t="n"/>
      <c r="L197" s="12">
        <f>IF(K197="","",K197+5)</f>
        <v/>
      </c>
      <c r="M197" s="11" t="n"/>
      <c r="N197" s="12">
        <f>IF(M197&lt;&gt;"",M197,IF(L197="","",L197))</f>
        <v/>
      </c>
      <c r="O197" s="12">
        <f>IF(N197="","",N197+40)</f>
        <v/>
      </c>
      <c r="P197" s="11" t="n"/>
      <c r="Q197" s="12">
        <f>IF(P197&lt;&gt;"",P197,IF(O197="","",O197))</f>
        <v/>
      </c>
      <c r="R197" s="12">
        <f>IF(Q197="","",Q197+70)</f>
        <v/>
      </c>
      <c r="S197" s="11" t="n"/>
      <c r="T197" s="10">
        <f>IF(G197="","",IF(S197&lt;&gt;"","Завершено",IF(P197&lt;&gt;"","Ожидание оплаты",IF(M197&lt;&gt;"","Входной контроль",IF(K197&lt;&gt;"","Ожидание получения в Ленске",IF(I197&lt;&gt;"","В пути Иркутск → Ленск","Ремонт у подрядчика"))))))</f>
        <v/>
      </c>
      <c r="U197" s="10">
        <f>IF(H197="","",MAX(0,IF(I197&lt;&gt;"",I197,Настройки!$B$2)-H197))</f>
        <v/>
      </c>
      <c r="V197" s="10">
        <f>IF(L197="","",MAX(0,IF(M197&lt;&gt;"",M197,Настройки!$B$2)-L197))</f>
        <v/>
      </c>
      <c r="W197" s="10">
        <f>IF(O197="","",MAX(0,IF(P197&lt;&gt;"",P197,Настройки!$B$2)-O197))</f>
        <v/>
      </c>
      <c r="X197" s="10">
        <f>IF(R197="","",MAX(0,IF(S197&lt;&gt;"",S197,Настройки!$B$2)-R197))</f>
        <v/>
      </c>
      <c r="Y197" s="10">
        <f>MAX(U197:X197)</f>
        <v/>
      </c>
    </row>
    <row r="198">
      <c r="A198" s="9" t="n"/>
      <c r="B198" s="9" t="n"/>
      <c r="C198" s="10">
        <f>IFERROR(INDEX(Оборудование!$B$2:$B$200,MATCH(A198,Оборудование!$A$2:$A$200,0)),"")</f>
        <v/>
      </c>
      <c r="D198" s="10">
        <f>IFERROR(INDEX(Оборудование!$C$2:$C$200,MATCH(A198,Оборудование!$A$2:$A$200,0)),"")</f>
        <v/>
      </c>
      <c r="E198" s="10">
        <f>IFERROR(INDEX(Оборудование!$D$2:$D$200,MATCH(A198,Оборудование!$A$2:$A$200,0)),"")</f>
        <v/>
      </c>
      <c r="F198" s="10">
        <f>IFERROR(INDEX(Оборудование!$H$2:$H$200,MATCH(A198,Оборудование!$A$2:$A$200,0)),"")</f>
        <v/>
      </c>
      <c r="G198" s="11" t="n"/>
      <c r="H198" s="12">
        <f>IF(G198="","",G198+100)</f>
        <v/>
      </c>
      <c r="I198" s="11" t="n"/>
      <c r="J198" s="11" t="n"/>
      <c r="K198" s="11" t="n"/>
      <c r="L198" s="12">
        <f>IF(K198="","",K198+5)</f>
        <v/>
      </c>
      <c r="M198" s="11" t="n"/>
      <c r="N198" s="12">
        <f>IF(M198&lt;&gt;"",M198,IF(L198="","",L198))</f>
        <v/>
      </c>
      <c r="O198" s="12">
        <f>IF(N198="","",N198+40)</f>
        <v/>
      </c>
      <c r="P198" s="11" t="n"/>
      <c r="Q198" s="12">
        <f>IF(P198&lt;&gt;"",P198,IF(O198="","",O198))</f>
        <v/>
      </c>
      <c r="R198" s="12">
        <f>IF(Q198="","",Q198+70)</f>
        <v/>
      </c>
      <c r="S198" s="11" t="n"/>
      <c r="T198" s="10">
        <f>IF(G198="","",IF(S198&lt;&gt;"","Завершено",IF(P198&lt;&gt;"","Ожидание оплаты",IF(M198&lt;&gt;"","Входной контроль",IF(K198&lt;&gt;"","Ожидание получения в Ленске",IF(I198&lt;&gt;"","В пути Иркутск → Ленск","Ремонт у подрядчика"))))))</f>
        <v/>
      </c>
      <c r="U198" s="10">
        <f>IF(H198="","",MAX(0,IF(I198&lt;&gt;"",I198,Настройки!$B$2)-H198))</f>
        <v/>
      </c>
      <c r="V198" s="10">
        <f>IF(L198="","",MAX(0,IF(M198&lt;&gt;"",M198,Настройки!$B$2)-L198))</f>
        <v/>
      </c>
      <c r="W198" s="10">
        <f>IF(O198="","",MAX(0,IF(P198&lt;&gt;"",P198,Настройки!$B$2)-O198))</f>
        <v/>
      </c>
      <c r="X198" s="10">
        <f>IF(R198="","",MAX(0,IF(S198&lt;&gt;"",S198,Настройки!$B$2)-R198))</f>
        <v/>
      </c>
      <c r="Y198" s="10">
        <f>MAX(U198:X198)</f>
        <v/>
      </c>
    </row>
    <row r="199">
      <c r="A199" s="9" t="n"/>
      <c r="B199" s="9" t="n"/>
      <c r="C199" s="10">
        <f>IFERROR(INDEX(Оборудование!$B$2:$B$200,MATCH(A199,Оборудование!$A$2:$A$200,0)),"")</f>
        <v/>
      </c>
      <c r="D199" s="10">
        <f>IFERROR(INDEX(Оборудование!$C$2:$C$200,MATCH(A199,Оборудование!$A$2:$A$200,0)),"")</f>
        <v/>
      </c>
      <c r="E199" s="10">
        <f>IFERROR(INDEX(Оборудование!$D$2:$D$200,MATCH(A199,Оборудование!$A$2:$A$200,0)),"")</f>
        <v/>
      </c>
      <c r="F199" s="10">
        <f>IFERROR(INDEX(Оборудование!$H$2:$H$200,MATCH(A199,Оборудование!$A$2:$A$200,0)),"")</f>
        <v/>
      </c>
      <c r="G199" s="11" t="n"/>
      <c r="H199" s="12">
        <f>IF(G199="","",G199+100)</f>
        <v/>
      </c>
      <c r="I199" s="11" t="n"/>
      <c r="J199" s="11" t="n"/>
      <c r="K199" s="11" t="n"/>
      <c r="L199" s="12">
        <f>IF(K199="","",K199+5)</f>
        <v/>
      </c>
      <c r="M199" s="11" t="n"/>
      <c r="N199" s="12">
        <f>IF(M199&lt;&gt;"",M199,IF(L199="","",L199))</f>
        <v/>
      </c>
      <c r="O199" s="12">
        <f>IF(N199="","",N199+40)</f>
        <v/>
      </c>
      <c r="P199" s="11" t="n"/>
      <c r="Q199" s="12">
        <f>IF(P199&lt;&gt;"",P199,IF(O199="","",O199))</f>
        <v/>
      </c>
      <c r="R199" s="12">
        <f>IF(Q199="","",Q199+70)</f>
        <v/>
      </c>
      <c r="S199" s="11" t="n"/>
      <c r="T199" s="10">
        <f>IF(G199="","",IF(S199&lt;&gt;"","Завершено",IF(P199&lt;&gt;"","Ожидание оплаты",IF(M199&lt;&gt;"","Входной контроль",IF(K199&lt;&gt;"","Ожидание получения в Ленске",IF(I199&lt;&gt;"","В пути Иркутск → Ленск","Ремонт у подрядчика"))))))</f>
        <v/>
      </c>
      <c r="U199" s="10">
        <f>IF(H199="","",MAX(0,IF(I199&lt;&gt;"",I199,Настройки!$B$2)-H199))</f>
        <v/>
      </c>
      <c r="V199" s="10">
        <f>IF(L199="","",MAX(0,IF(M199&lt;&gt;"",M199,Настройки!$B$2)-L199))</f>
        <v/>
      </c>
      <c r="W199" s="10">
        <f>IF(O199="","",MAX(0,IF(P199&lt;&gt;"",P199,Настройки!$B$2)-O199))</f>
        <v/>
      </c>
      <c r="X199" s="10">
        <f>IF(R199="","",MAX(0,IF(S199&lt;&gt;"",S199,Настройки!$B$2)-R199))</f>
        <v/>
      </c>
      <c r="Y199" s="10">
        <f>MAX(U199:X199)</f>
        <v/>
      </c>
    </row>
    <row r="200">
      <c r="A200" s="9" t="n"/>
      <c r="B200" s="9" t="n"/>
      <c r="C200" s="10">
        <f>IFERROR(INDEX(Оборудование!$B$2:$B$200,MATCH(A200,Оборудование!$A$2:$A$200,0)),"")</f>
        <v/>
      </c>
      <c r="D200" s="10">
        <f>IFERROR(INDEX(Оборудование!$C$2:$C$200,MATCH(A200,Оборудование!$A$2:$A$200,0)),"")</f>
        <v/>
      </c>
      <c r="E200" s="10">
        <f>IFERROR(INDEX(Оборудование!$D$2:$D$200,MATCH(A200,Оборудование!$A$2:$A$200,0)),"")</f>
        <v/>
      </c>
      <c r="F200" s="10">
        <f>IFERROR(INDEX(Оборудование!$H$2:$H$200,MATCH(A200,Оборудование!$A$2:$A$200,0)),"")</f>
        <v/>
      </c>
      <c r="G200" s="11" t="n"/>
      <c r="H200" s="12">
        <f>IF(G200="","",G200+100)</f>
        <v/>
      </c>
      <c r="I200" s="11" t="n"/>
      <c r="J200" s="11" t="n"/>
      <c r="K200" s="11" t="n"/>
      <c r="L200" s="12">
        <f>IF(K200="","",K200+5)</f>
        <v/>
      </c>
      <c r="M200" s="11" t="n"/>
      <c r="N200" s="12">
        <f>IF(M200&lt;&gt;"",M200,IF(L200="","",L200))</f>
        <v/>
      </c>
      <c r="O200" s="12">
        <f>IF(N200="","",N200+40)</f>
        <v/>
      </c>
      <c r="P200" s="11" t="n"/>
      <c r="Q200" s="12">
        <f>IF(P200&lt;&gt;"",P200,IF(O200="","",O200))</f>
        <v/>
      </c>
      <c r="R200" s="12">
        <f>IF(Q200="","",Q200+70)</f>
        <v/>
      </c>
      <c r="S200" s="11" t="n"/>
      <c r="T200" s="10">
        <f>IF(G200="","",IF(S200&lt;&gt;"","Завершено",IF(P200&lt;&gt;"","Ожидание оплаты",IF(M200&lt;&gt;"","Входной контроль",IF(K200&lt;&gt;"","Ожидание получения в Ленске",IF(I200&lt;&gt;"","В пути Иркутск → Ленск","Ремонт у подрядчика"))))))</f>
        <v/>
      </c>
      <c r="U200" s="10">
        <f>IF(H200="","",MAX(0,IF(I200&lt;&gt;"",I200,Настройки!$B$2)-H200))</f>
        <v/>
      </c>
      <c r="V200" s="10">
        <f>IF(L200="","",MAX(0,IF(M200&lt;&gt;"",M200,Настройки!$B$2)-L200))</f>
        <v/>
      </c>
      <c r="W200" s="10">
        <f>IF(O200="","",MAX(0,IF(P200&lt;&gt;"",P200,Настройки!$B$2)-O200))</f>
        <v/>
      </c>
      <c r="X200" s="10">
        <f>IF(R200="","",MAX(0,IF(S200&lt;&gt;"",S200,Настройки!$B$2)-R200))</f>
        <v/>
      </c>
      <c r="Y200" s="10">
        <f>MAX(U200:X200)</f>
        <v/>
      </c>
    </row>
  </sheetData>
  <conditionalFormatting sqref="U2:U200">
    <cfRule type="expression" priority="1" dxfId="1">
      <formula>$U2&gt;0</formula>
    </cfRule>
  </conditionalFormatting>
  <conditionalFormatting sqref="V2:V200">
    <cfRule type="expression" priority="2" dxfId="1">
      <formula>$V2&gt;0</formula>
    </cfRule>
  </conditionalFormatting>
  <conditionalFormatting sqref="W2:W200">
    <cfRule type="expression" priority="3" dxfId="1">
      <formula>$W2&gt;0</formula>
    </cfRule>
  </conditionalFormatting>
  <conditionalFormatting sqref="X2:X200">
    <cfRule type="expression" priority="4" dxfId="1">
      <formula>$X2&gt;0</formula>
    </cfRule>
  </conditionalFormatting>
  <conditionalFormatting sqref="Y2:Y200">
    <cfRule type="expression" priority="5" dxfId="1">
      <formula>$Y2&gt;0</formula>
    </cfRule>
  </conditionalFormatting>
  <conditionalFormatting sqref="H2:H200">
    <cfRule type="expression" priority="6" dxfId="2">
      <formula>AND($H2&lt;&gt;"",$H2-Настройки!$B$2&lt;=7,$H2&gt;=Настройки!$B$2)</formula>
    </cfRule>
  </conditionalFormatting>
  <conditionalFormatting sqref="L2:L200">
    <cfRule type="expression" priority="7" dxfId="2">
      <formula>AND($L2&lt;&gt;"",$L2-Настройки!$B$2&lt;=7,$L2&gt;=Настройки!$B$2)</formula>
    </cfRule>
  </conditionalFormatting>
  <conditionalFormatting sqref="O2:O200">
    <cfRule type="expression" priority="8" dxfId="2">
      <formula>AND($O2&lt;&gt;"",$O2-Настройки!$B$2&lt;=7,$O2&gt;=Настройки!$B$2)</formula>
    </cfRule>
  </conditionalFormatting>
  <conditionalFormatting sqref="R2:R200">
    <cfRule type="expression" priority="9" dxfId="2">
      <formula>AND($R2&lt;&gt;"",$R2-Настройки!$B$2&lt;=7,$R2&gt;=Настройки!$B$2)</formula>
    </cfRule>
  </conditionalFormatting>
  <dataValidations count="1">
    <dataValidation sqref="A2:A200" showDropDown="0" showInputMessage="0" showErrorMessage="0" allowBlank="1" type="list">
      <formula1>=Оборудование!$A$2:$A$200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6" customWidth="1" min="4" max="4"/>
    <col width="24" customWidth="1" min="5" max="5"/>
    <col width="22" customWidth="1" min="6" max="6"/>
    <col width="36" customWidth="1" min="7" max="7"/>
  </cols>
  <sheetData>
    <row r="1" ht="30" customHeight="1">
      <c r="A1" s="1" t="inlineStr">
        <is>
          <t>Дата события</t>
        </is>
      </c>
      <c r="B1" s="1" t="inlineStr">
        <is>
          <t>ID прибора</t>
        </is>
      </c>
      <c r="C1" s="1" t="inlineStr">
        <is>
          <t>Тип</t>
        </is>
      </c>
      <c r="D1" s="1" t="inlineStr">
        <is>
          <t>Наименование</t>
        </is>
      </c>
      <c r="E1" s="1" t="inlineStr">
        <is>
          <t>Событие</t>
        </is>
      </c>
      <c r="F1" s="1" t="inlineStr">
        <is>
          <t>Текущий этап</t>
        </is>
      </c>
      <c r="G1" s="1" t="inlineStr">
        <is>
          <t>Комментарий</t>
        </is>
      </c>
    </row>
    <row r="2">
      <c r="A2" s="12">
        <f>IF(Ремонты!G2="","",Ремонты!G2)</f>
        <v/>
      </c>
      <c r="B2" s="10">
        <f>IF($A2="","",Ремонты!A2)</f>
        <v/>
      </c>
      <c r="C2" s="10">
        <f>IF($A2="","",Ремонты!D2)</f>
        <v/>
      </c>
      <c r="D2" s="10">
        <f>IF($A2="","",Ремонты!E2)</f>
        <v/>
      </c>
      <c r="E2" s="10">
        <f>IF($A2="","","Отправка в ремонт")</f>
        <v/>
      </c>
      <c r="F2" s="10">
        <f>IF($A2="","",Ремонты!T2)</f>
        <v/>
      </c>
      <c r="G2" s="10">
        <f>IF($A2="","","Автозапись из листа Ремонты")</f>
        <v/>
      </c>
    </row>
    <row r="3">
      <c r="A3" s="12">
        <f>IF(Ремонты!I2="","",Ремонты!I2)</f>
        <v/>
      </c>
      <c r="B3" s="10">
        <f>IF($A3="","",Ремонты!A2)</f>
        <v/>
      </c>
      <c r="C3" s="10">
        <f>IF($A3="","",Ремонты!D2)</f>
        <v/>
      </c>
      <c r="D3" s="10">
        <f>IF($A3="","",Ремонты!E2)</f>
        <v/>
      </c>
      <c r="E3" s="10">
        <f>IF($A3="","","Отправка из ремонта")</f>
        <v/>
      </c>
      <c r="F3" s="10">
        <f>IF($A3="","",Ремонты!T2)</f>
        <v/>
      </c>
      <c r="G3" s="10">
        <f>IF($A3="","","Автозапись из листа Ремонты")</f>
        <v/>
      </c>
    </row>
    <row r="4">
      <c r="A4" s="12">
        <f>IF(Ремонты!J2="","",Ремонты!J2)</f>
        <v/>
      </c>
      <c r="B4" s="10">
        <f>IF($A4="","",Ремонты!A2)</f>
        <v/>
      </c>
      <c r="C4" s="10">
        <f>IF($A4="","",Ремонты!D2)</f>
        <v/>
      </c>
      <c r="D4" s="10">
        <f>IF($A4="","",Ремонты!E2)</f>
        <v/>
      </c>
      <c r="E4" s="10">
        <f>IF($A4="","","Отправка из Иркутска")</f>
        <v/>
      </c>
      <c r="F4" s="10">
        <f>IF($A4="","",Ремонты!T2)</f>
        <v/>
      </c>
      <c r="G4" s="10">
        <f>IF($A4="","","Автозапись из листа Ремонты")</f>
        <v/>
      </c>
    </row>
    <row r="5">
      <c r="A5" s="12">
        <f>IF(Ремонты!K2="","",Ремонты!K2)</f>
        <v/>
      </c>
      <c r="B5" s="10">
        <f>IF($A5="","",Ремонты!A2)</f>
        <v/>
      </c>
      <c r="C5" s="10">
        <f>IF($A5="","",Ремонты!D2)</f>
        <v/>
      </c>
      <c r="D5" s="10">
        <f>IF($A5="","",Ремонты!E2)</f>
        <v/>
      </c>
      <c r="E5" s="10">
        <f>IF($A5="","","Прибытие в Ленск")</f>
        <v/>
      </c>
      <c r="F5" s="10">
        <f>IF($A5="","",Ремонты!T2)</f>
        <v/>
      </c>
      <c r="G5" s="10">
        <f>IF($A5="","","Автозапись из листа Ремонты")</f>
        <v/>
      </c>
    </row>
    <row r="6">
      <c r="A6" s="12">
        <f>IF(Ремонты!M2="","",Ремонты!M2)</f>
        <v/>
      </c>
      <c r="B6" s="10">
        <f>IF($A6="","",Ремонты!A2)</f>
        <v/>
      </c>
      <c r="C6" s="10">
        <f>IF($A6="","",Ремонты!D2)</f>
        <v/>
      </c>
      <c r="D6" s="10">
        <f>IF($A6="","",Ремонты!E2)</f>
        <v/>
      </c>
      <c r="E6" s="10">
        <f>IF($A6="","","Фактическое получение")</f>
        <v/>
      </c>
      <c r="F6" s="10">
        <f>IF($A6="","",Ремонты!T2)</f>
        <v/>
      </c>
      <c r="G6" s="10">
        <f>IF($A6="","","Автозапись из листа Ремонты")</f>
        <v/>
      </c>
    </row>
    <row r="7">
      <c r="A7" s="12">
        <f>IF(Ремонты!P2="","",Ремонты!P2)</f>
        <v/>
      </c>
      <c r="B7" s="10">
        <f>IF($A7="","",Ремонты!A2)</f>
        <v/>
      </c>
      <c r="C7" s="10">
        <f>IF($A7="","",Ремонты!D2)</f>
        <v/>
      </c>
      <c r="D7" s="10">
        <f>IF($A7="","",Ремонты!E2)</f>
        <v/>
      </c>
      <c r="E7" s="10">
        <f>IF($A7="","","Входной контроль")</f>
        <v/>
      </c>
      <c r="F7" s="10">
        <f>IF($A7="","",Ремонты!T2)</f>
        <v/>
      </c>
      <c r="G7" s="10">
        <f>IF($A7="","","Автозапись из листа Ремонты")</f>
        <v/>
      </c>
    </row>
    <row r="8">
      <c r="A8" s="12">
        <f>IF(Ремонты!S2="","",Ремонты!S2)</f>
        <v/>
      </c>
      <c r="B8" s="10">
        <f>IF($A8="","",Ремонты!A2)</f>
        <v/>
      </c>
      <c r="C8" s="10">
        <f>IF($A8="","",Ремонты!D2)</f>
        <v/>
      </c>
      <c r="D8" s="10">
        <f>IF($A8="","",Ремонты!E2)</f>
        <v/>
      </c>
      <c r="E8" s="10">
        <f>IF($A8="","","Оплата")</f>
        <v/>
      </c>
      <c r="F8" s="10">
        <f>IF($A8="","",Ремонты!T2)</f>
        <v/>
      </c>
      <c r="G8" s="10">
        <f>IF($A8="","","Автозапись из листа Ремонты")</f>
        <v/>
      </c>
    </row>
    <row r="9">
      <c r="A9" s="12">
        <f>IF(Ремонты!G3="","",Ремонты!G3)</f>
        <v/>
      </c>
      <c r="B9" s="10">
        <f>IF($A9="","",Ремонты!A3)</f>
        <v/>
      </c>
      <c r="C9" s="10">
        <f>IF($A9="","",Ремонты!D3)</f>
        <v/>
      </c>
      <c r="D9" s="10">
        <f>IF($A9="","",Ремонты!E3)</f>
        <v/>
      </c>
      <c r="E9" s="10">
        <f>IF($A9="","","Отправка в ремонт")</f>
        <v/>
      </c>
      <c r="F9" s="10">
        <f>IF($A9="","",Ремонты!T3)</f>
        <v/>
      </c>
      <c r="G9" s="10">
        <f>IF($A9="","","Автозапись из листа Ремонты")</f>
        <v/>
      </c>
    </row>
    <row r="10">
      <c r="A10" s="12">
        <f>IF(Ремонты!I3="","",Ремонты!I3)</f>
        <v/>
      </c>
      <c r="B10" s="10">
        <f>IF($A10="","",Ремонты!A3)</f>
        <v/>
      </c>
      <c r="C10" s="10">
        <f>IF($A10="","",Ремонты!D3)</f>
        <v/>
      </c>
      <c r="D10" s="10">
        <f>IF($A10="","",Ремонты!E3)</f>
        <v/>
      </c>
      <c r="E10" s="10">
        <f>IF($A10="","","Отправка из ремонта")</f>
        <v/>
      </c>
      <c r="F10" s="10">
        <f>IF($A10="","",Ремонты!T3)</f>
        <v/>
      </c>
      <c r="G10" s="10">
        <f>IF($A10="","","Автозапись из листа Ремонты")</f>
        <v/>
      </c>
    </row>
    <row r="11">
      <c r="A11" s="12">
        <f>IF(Ремонты!J3="","",Ремонты!J3)</f>
        <v/>
      </c>
      <c r="B11" s="10">
        <f>IF($A11="","",Ремонты!A3)</f>
        <v/>
      </c>
      <c r="C11" s="10">
        <f>IF($A11="","",Ремонты!D3)</f>
        <v/>
      </c>
      <c r="D11" s="10">
        <f>IF($A11="","",Ремонты!E3)</f>
        <v/>
      </c>
      <c r="E11" s="10">
        <f>IF($A11="","","Отправка из Иркутска")</f>
        <v/>
      </c>
      <c r="F11" s="10">
        <f>IF($A11="","",Ремонты!T3)</f>
        <v/>
      </c>
      <c r="G11" s="10">
        <f>IF($A11="","","Автозапись из листа Ремонты")</f>
        <v/>
      </c>
    </row>
    <row r="12">
      <c r="A12" s="12">
        <f>IF(Ремонты!K3="","",Ремонты!K3)</f>
        <v/>
      </c>
      <c r="B12" s="10">
        <f>IF($A12="","",Ремонты!A3)</f>
        <v/>
      </c>
      <c r="C12" s="10">
        <f>IF($A12="","",Ремонты!D3)</f>
        <v/>
      </c>
      <c r="D12" s="10">
        <f>IF($A12="","",Ремонты!E3)</f>
        <v/>
      </c>
      <c r="E12" s="10">
        <f>IF($A12="","","Прибытие в Ленск")</f>
        <v/>
      </c>
      <c r="F12" s="10">
        <f>IF($A12="","",Ремонты!T3)</f>
        <v/>
      </c>
      <c r="G12" s="10">
        <f>IF($A12="","","Автозапись из листа Ремонты")</f>
        <v/>
      </c>
    </row>
    <row r="13">
      <c r="A13" s="12">
        <f>IF(Ремонты!M3="","",Ремонты!M3)</f>
        <v/>
      </c>
      <c r="B13" s="10">
        <f>IF($A13="","",Ремонты!A3)</f>
        <v/>
      </c>
      <c r="C13" s="10">
        <f>IF($A13="","",Ремонты!D3)</f>
        <v/>
      </c>
      <c r="D13" s="10">
        <f>IF($A13="","",Ремонты!E3)</f>
        <v/>
      </c>
      <c r="E13" s="10">
        <f>IF($A13="","","Фактическое получение")</f>
        <v/>
      </c>
      <c r="F13" s="10">
        <f>IF($A13="","",Ремонты!T3)</f>
        <v/>
      </c>
      <c r="G13" s="10">
        <f>IF($A13="","","Автозапись из листа Ремонты")</f>
        <v/>
      </c>
    </row>
    <row r="14">
      <c r="A14" s="12">
        <f>IF(Ремонты!P3="","",Ремонты!P3)</f>
        <v/>
      </c>
      <c r="B14" s="10">
        <f>IF($A14="","",Ремонты!A3)</f>
        <v/>
      </c>
      <c r="C14" s="10">
        <f>IF($A14="","",Ремонты!D3)</f>
        <v/>
      </c>
      <c r="D14" s="10">
        <f>IF($A14="","",Ремонты!E3)</f>
        <v/>
      </c>
      <c r="E14" s="10">
        <f>IF($A14="","","Входной контроль")</f>
        <v/>
      </c>
      <c r="F14" s="10">
        <f>IF($A14="","",Ремонты!T3)</f>
        <v/>
      </c>
      <c r="G14" s="10">
        <f>IF($A14="","","Автозапись из листа Ремонты")</f>
        <v/>
      </c>
    </row>
    <row r="15">
      <c r="A15" s="12">
        <f>IF(Ремонты!S3="","",Ремонты!S3)</f>
        <v/>
      </c>
      <c r="B15" s="10">
        <f>IF($A15="","",Ремонты!A3)</f>
        <v/>
      </c>
      <c r="C15" s="10">
        <f>IF($A15="","",Ремонты!D3)</f>
        <v/>
      </c>
      <c r="D15" s="10">
        <f>IF($A15="","",Ремонты!E3)</f>
        <v/>
      </c>
      <c r="E15" s="10">
        <f>IF($A15="","","Оплата")</f>
        <v/>
      </c>
      <c r="F15" s="10">
        <f>IF($A15="","",Ремонты!T3)</f>
        <v/>
      </c>
      <c r="G15" s="10">
        <f>IF($A15="","","Автозапись из листа Ремонты")</f>
        <v/>
      </c>
    </row>
    <row r="16">
      <c r="A16" s="12">
        <f>IF(Ремонты!G4="","",Ремонты!G4)</f>
        <v/>
      </c>
      <c r="B16" s="10">
        <f>IF($A16="","",Ремонты!A4)</f>
        <v/>
      </c>
      <c r="C16" s="10">
        <f>IF($A16="","",Ремонты!D4)</f>
        <v/>
      </c>
      <c r="D16" s="10">
        <f>IF($A16="","",Ремонты!E4)</f>
        <v/>
      </c>
      <c r="E16" s="10">
        <f>IF($A16="","","Отправка в ремонт")</f>
        <v/>
      </c>
      <c r="F16" s="10">
        <f>IF($A16="","",Ремонты!T4)</f>
        <v/>
      </c>
      <c r="G16" s="10">
        <f>IF($A16="","","Автозапись из листа Ремонты")</f>
        <v/>
      </c>
    </row>
    <row r="17">
      <c r="A17" s="12">
        <f>IF(Ремонты!I4="","",Ремонты!I4)</f>
        <v/>
      </c>
      <c r="B17" s="10">
        <f>IF($A17="","",Ремонты!A4)</f>
        <v/>
      </c>
      <c r="C17" s="10">
        <f>IF($A17="","",Ремонты!D4)</f>
        <v/>
      </c>
      <c r="D17" s="10">
        <f>IF($A17="","",Ремонты!E4)</f>
        <v/>
      </c>
      <c r="E17" s="10">
        <f>IF($A17="","","Отправка из ремонта")</f>
        <v/>
      </c>
      <c r="F17" s="10">
        <f>IF($A17="","",Ремонты!T4)</f>
        <v/>
      </c>
      <c r="G17" s="10">
        <f>IF($A17="","","Автозапись из листа Ремонты")</f>
        <v/>
      </c>
    </row>
    <row r="18">
      <c r="A18" s="12">
        <f>IF(Ремонты!J4="","",Ремонты!J4)</f>
        <v/>
      </c>
      <c r="B18" s="10">
        <f>IF($A18="","",Ремонты!A4)</f>
        <v/>
      </c>
      <c r="C18" s="10">
        <f>IF($A18="","",Ремонты!D4)</f>
        <v/>
      </c>
      <c r="D18" s="10">
        <f>IF($A18="","",Ремонты!E4)</f>
        <v/>
      </c>
      <c r="E18" s="10">
        <f>IF($A18="","","Отправка из Иркутска")</f>
        <v/>
      </c>
      <c r="F18" s="10">
        <f>IF($A18="","",Ремонты!T4)</f>
        <v/>
      </c>
      <c r="G18" s="10">
        <f>IF($A18="","","Автозапись из листа Ремонты")</f>
        <v/>
      </c>
    </row>
    <row r="19">
      <c r="A19" s="12">
        <f>IF(Ремонты!K4="","",Ремонты!K4)</f>
        <v/>
      </c>
      <c r="B19" s="10">
        <f>IF($A19="","",Ремонты!A4)</f>
        <v/>
      </c>
      <c r="C19" s="10">
        <f>IF($A19="","",Ремонты!D4)</f>
        <v/>
      </c>
      <c r="D19" s="10">
        <f>IF($A19="","",Ремонты!E4)</f>
        <v/>
      </c>
      <c r="E19" s="10">
        <f>IF($A19="","","Прибытие в Ленск")</f>
        <v/>
      </c>
      <c r="F19" s="10">
        <f>IF($A19="","",Ремонты!T4)</f>
        <v/>
      </c>
      <c r="G19" s="10">
        <f>IF($A19="","","Автозапись из листа Ремонты")</f>
        <v/>
      </c>
    </row>
    <row r="20">
      <c r="A20" s="12">
        <f>IF(Ремонты!M4="","",Ремонты!M4)</f>
        <v/>
      </c>
      <c r="B20" s="10">
        <f>IF($A20="","",Ремонты!A4)</f>
        <v/>
      </c>
      <c r="C20" s="10">
        <f>IF($A20="","",Ремонты!D4)</f>
        <v/>
      </c>
      <c r="D20" s="10">
        <f>IF($A20="","",Ремонты!E4)</f>
        <v/>
      </c>
      <c r="E20" s="10">
        <f>IF($A20="","","Фактическое получение")</f>
        <v/>
      </c>
      <c r="F20" s="10">
        <f>IF($A20="","",Ремонты!T4)</f>
        <v/>
      </c>
      <c r="G20" s="10">
        <f>IF($A20="","","Автозапись из листа Ремонты")</f>
        <v/>
      </c>
    </row>
    <row r="21">
      <c r="A21" s="12">
        <f>IF(Ремонты!P4="","",Ремонты!P4)</f>
        <v/>
      </c>
      <c r="B21" s="10">
        <f>IF($A21="","",Ремонты!A4)</f>
        <v/>
      </c>
      <c r="C21" s="10">
        <f>IF($A21="","",Ремонты!D4)</f>
        <v/>
      </c>
      <c r="D21" s="10">
        <f>IF($A21="","",Ремонты!E4)</f>
        <v/>
      </c>
      <c r="E21" s="10">
        <f>IF($A21="","","Входной контроль")</f>
        <v/>
      </c>
      <c r="F21" s="10">
        <f>IF($A21="","",Ремонты!T4)</f>
        <v/>
      </c>
      <c r="G21" s="10">
        <f>IF($A21="","","Автозапись из листа Ремонты")</f>
        <v/>
      </c>
    </row>
    <row r="22">
      <c r="A22" s="12">
        <f>IF(Ремонты!S4="","",Ремонты!S4)</f>
        <v/>
      </c>
      <c r="B22" s="10">
        <f>IF($A22="","",Ремонты!A4)</f>
        <v/>
      </c>
      <c r="C22" s="10">
        <f>IF($A22="","",Ремонты!D4)</f>
        <v/>
      </c>
      <c r="D22" s="10">
        <f>IF($A22="","",Ремонты!E4)</f>
        <v/>
      </c>
      <c r="E22" s="10">
        <f>IF($A22="","","Оплата")</f>
        <v/>
      </c>
      <c r="F22" s="10">
        <f>IF($A22="","",Ремонты!T4)</f>
        <v/>
      </c>
      <c r="G22" s="10">
        <f>IF($A22="","","Автозапись из листа Ремонты")</f>
        <v/>
      </c>
    </row>
    <row r="23">
      <c r="A23" s="12">
        <f>IF(Ремонты!G5="","",Ремонты!G5)</f>
        <v/>
      </c>
      <c r="B23" s="10">
        <f>IF($A23="","",Ремонты!A5)</f>
        <v/>
      </c>
      <c r="C23" s="10">
        <f>IF($A23="","",Ремонты!D5)</f>
        <v/>
      </c>
      <c r="D23" s="10">
        <f>IF($A23="","",Ремонты!E5)</f>
        <v/>
      </c>
      <c r="E23" s="10">
        <f>IF($A23="","","Отправка в ремонт")</f>
        <v/>
      </c>
      <c r="F23" s="10">
        <f>IF($A23="","",Ремонты!T5)</f>
        <v/>
      </c>
      <c r="G23" s="10">
        <f>IF($A23="","","Автозапись из листа Ремонты")</f>
        <v/>
      </c>
    </row>
    <row r="24">
      <c r="A24" s="12">
        <f>IF(Ремонты!I5="","",Ремонты!I5)</f>
        <v/>
      </c>
      <c r="B24" s="10">
        <f>IF($A24="","",Ремонты!A5)</f>
        <v/>
      </c>
      <c r="C24" s="10">
        <f>IF($A24="","",Ремонты!D5)</f>
        <v/>
      </c>
      <c r="D24" s="10">
        <f>IF($A24="","",Ремонты!E5)</f>
        <v/>
      </c>
      <c r="E24" s="10">
        <f>IF($A24="","","Отправка из ремонта")</f>
        <v/>
      </c>
      <c r="F24" s="10">
        <f>IF($A24="","",Ремонты!T5)</f>
        <v/>
      </c>
      <c r="G24" s="10">
        <f>IF($A24="","","Автозапись из листа Ремонты")</f>
        <v/>
      </c>
    </row>
    <row r="25">
      <c r="A25" s="12">
        <f>IF(Ремонты!J5="","",Ремонты!J5)</f>
        <v/>
      </c>
      <c r="B25" s="10">
        <f>IF($A25="","",Ремонты!A5)</f>
        <v/>
      </c>
      <c r="C25" s="10">
        <f>IF($A25="","",Ремонты!D5)</f>
        <v/>
      </c>
      <c r="D25" s="10">
        <f>IF($A25="","",Ремонты!E5)</f>
        <v/>
      </c>
      <c r="E25" s="10">
        <f>IF($A25="","","Отправка из Иркутска")</f>
        <v/>
      </c>
      <c r="F25" s="10">
        <f>IF($A25="","",Ремонты!T5)</f>
        <v/>
      </c>
      <c r="G25" s="10">
        <f>IF($A25="","","Автозапись из листа Ремонты")</f>
        <v/>
      </c>
    </row>
    <row r="26">
      <c r="A26" s="12">
        <f>IF(Ремонты!K5="","",Ремонты!K5)</f>
        <v/>
      </c>
      <c r="B26" s="10">
        <f>IF($A26="","",Ремонты!A5)</f>
        <v/>
      </c>
      <c r="C26" s="10">
        <f>IF($A26="","",Ремонты!D5)</f>
        <v/>
      </c>
      <c r="D26" s="10">
        <f>IF($A26="","",Ремонты!E5)</f>
        <v/>
      </c>
      <c r="E26" s="10">
        <f>IF($A26="","","Прибытие в Ленск")</f>
        <v/>
      </c>
      <c r="F26" s="10">
        <f>IF($A26="","",Ремонты!T5)</f>
        <v/>
      </c>
      <c r="G26" s="10">
        <f>IF($A26="","","Автозапись из листа Ремонты")</f>
        <v/>
      </c>
    </row>
    <row r="27">
      <c r="A27" s="12">
        <f>IF(Ремонты!M5="","",Ремонты!M5)</f>
        <v/>
      </c>
      <c r="B27" s="10">
        <f>IF($A27="","",Ремонты!A5)</f>
        <v/>
      </c>
      <c r="C27" s="10">
        <f>IF($A27="","",Ремонты!D5)</f>
        <v/>
      </c>
      <c r="D27" s="10">
        <f>IF($A27="","",Ремонты!E5)</f>
        <v/>
      </c>
      <c r="E27" s="10">
        <f>IF($A27="","","Фактическое получение")</f>
        <v/>
      </c>
      <c r="F27" s="10">
        <f>IF($A27="","",Ремонты!T5)</f>
        <v/>
      </c>
      <c r="G27" s="10">
        <f>IF($A27="","","Автозапись из листа Ремонты")</f>
        <v/>
      </c>
    </row>
    <row r="28">
      <c r="A28" s="12">
        <f>IF(Ремонты!P5="","",Ремонты!P5)</f>
        <v/>
      </c>
      <c r="B28" s="10">
        <f>IF($A28="","",Ремонты!A5)</f>
        <v/>
      </c>
      <c r="C28" s="10">
        <f>IF($A28="","",Ремонты!D5)</f>
        <v/>
      </c>
      <c r="D28" s="10">
        <f>IF($A28="","",Ремонты!E5)</f>
        <v/>
      </c>
      <c r="E28" s="10">
        <f>IF($A28="","","Входной контроль")</f>
        <v/>
      </c>
      <c r="F28" s="10">
        <f>IF($A28="","",Ремонты!T5)</f>
        <v/>
      </c>
      <c r="G28" s="10">
        <f>IF($A28="","","Автозапись из листа Ремонты")</f>
        <v/>
      </c>
    </row>
    <row r="29">
      <c r="A29" s="12">
        <f>IF(Ремонты!S5="","",Ремонты!S5)</f>
        <v/>
      </c>
      <c r="B29" s="10">
        <f>IF($A29="","",Ремонты!A5)</f>
        <v/>
      </c>
      <c r="C29" s="10">
        <f>IF($A29="","",Ремонты!D5)</f>
        <v/>
      </c>
      <c r="D29" s="10">
        <f>IF($A29="","",Ремонты!E5)</f>
        <v/>
      </c>
      <c r="E29" s="10">
        <f>IF($A29="","","Оплата")</f>
        <v/>
      </c>
      <c r="F29" s="10">
        <f>IF($A29="","",Ремонты!T5)</f>
        <v/>
      </c>
      <c r="G29" s="10">
        <f>IF($A29="","","Автозапись из листа Ремонты")</f>
        <v/>
      </c>
    </row>
    <row r="30">
      <c r="A30" s="12">
        <f>IF(Ремонты!G6="","",Ремонты!G6)</f>
        <v/>
      </c>
      <c r="B30" s="10">
        <f>IF($A30="","",Ремонты!A6)</f>
        <v/>
      </c>
      <c r="C30" s="10">
        <f>IF($A30="","",Ремонты!D6)</f>
        <v/>
      </c>
      <c r="D30" s="10">
        <f>IF($A30="","",Ремонты!E6)</f>
        <v/>
      </c>
      <c r="E30" s="10">
        <f>IF($A30="","","Отправка в ремонт")</f>
        <v/>
      </c>
      <c r="F30" s="10">
        <f>IF($A30="","",Ремонты!T6)</f>
        <v/>
      </c>
      <c r="G30" s="10">
        <f>IF($A30="","","Автозапись из листа Ремонты")</f>
        <v/>
      </c>
    </row>
    <row r="31">
      <c r="A31" s="12">
        <f>IF(Ремонты!I6="","",Ремонты!I6)</f>
        <v/>
      </c>
      <c r="B31" s="10">
        <f>IF($A31="","",Ремонты!A6)</f>
        <v/>
      </c>
      <c r="C31" s="10">
        <f>IF($A31="","",Ремонты!D6)</f>
        <v/>
      </c>
      <c r="D31" s="10">
        <f>IF($A31="","",Ремонты!E6)</f>
        <v/>
      </c>
      <c r="E31" s="10">
        <f>IF($A31="","","Отправка из ремонта")</f>
        <v/>
      </c>
      <c r="F31" s="10">
        <f>IF($A31="","",Ремонты!T6)</f>
        <v/>
      </c>
      <c r="G31" s="10">
        <f>IF($A31="","","Автозапись из листа Ремонты")</f>
        <v/>
      </c>
    </row>
    <row r="32">
      <c r="A32" s="12">
        <f>IF(Ремонты!J6="","",Ремонты!J6)</f>
        <v/>
      </c>
      <c r="B32" s="10">
        <f>IF($A32="","",Ремонты!A6)</f>
        <v/>
      </c>
      <c r="C32" s="10">
        <f>IF($A32="","",Ремонты!D6)</f>
        <v/>
      </c>
      <c r="D32" s="10">
        <f>IF($A32="","",Ремонты!E6)</f>
        <v/>
      </c>
      <c r="E32" s="10">
        <f>IF($A32="","","Отправка из Иркутска")</f>
        <v/>
      </c>
      <c r="F32" s="10">
        <f>IF($A32="","",Ремонты!T6)</f>
        <v/>
      </c>
      <c r="G32" s="10">
        <f>IF($A32="","","Автозапись из листа Ремонты")</f>
        <v/>
      </c>
    </row>
    <row r="33">
      <c r="A33" s="12">
        <f>IF(Ремонты!K6="","",Ремонты!K6)</f>
        <v/>
      </c>
      <c r="B33" s="10">
        <f>IF($A33="","",Ремонты!A6)</f>
        <v/>
      </c>
      <c r="C33" s="10">
        <f>IF($A33="","",Ремонты!D6)</f>
        <v/>
      </c>
      <c r="D33" s="10">
        <f>IF($A33="","",Ремонты!E6)</f>
        <v/>
      </c>
      <c r="E33" s="10">
        <f>IF($A33="","","Прибытие в Ленск")</f>
        <v/>
      </c>
      <c r="F33" s="10">
        <f>IF($A33="","",Ремонты!T6)</f>
        <v/>
      </c>
      <c r="G33" s="10">
        <f>IF($A33="","","Автозапись из листа Ремонты")</f>
        <v/>
      </c>
    </row>
    <row r="34">
      <c r="A34" s="12">
        <f>IF(Ремонты!M6="","",Ремонты!M6)</f>
        <v/>
      </c>
      <c r="B34" s="10">
        <f>IF($A34="","",Ремонты!A6)</f>
        <v/>
      </c>
      <c r="C34" s="10">
        <f>IF($A34="","",Ремонты!D6)</f>
        <v/>
      </c>
      <c r="D34" s="10">
        <f>IF($A34="","",Ремонты!E6)</f>
        <v/>
      </c>
      <c r="E34" s="10">
        <f>IF($A34="","","Фактическое получение")</f>
        <v/>
      </c>
      <c r="F34" s="10">
        <f>IF($A34="","",Ремонты!T6)</f>
        <v/>
      </c>
      <c r="G34" s="10">
        <f>IF($A34="","","Автозапись из листа Ремонты")</f>
        <v/>
      </c>
    </row>
    <row r="35">
      <c r="A35" s="12">
        <f>IF(Ремонты!P6="","",Ремонты!P6)</f>
        <v/>
      </c>
      <c r="B35" s="10">
        <f>IF($A35="","",Ремонты!A6)</f>
        <v/>
      </c>
      <c r="C35" s="10">
        <f>IF($A35="","",Ремонты!D6)</f>
        <v/>
      </c>
      <c r="D35" s="10">
        <f>IF($A35="","",Ремонты!E6)</f>
        <v/>
      </c>
      <c r="E35" s="10">
        <f>IF($A35="","","Входной контроль")</f>
        <v/>
      </c>
      <c r="F35" s="10">
        <f>IF($A35="","",Ремонты!T6)</f>
        <v/>
      </c>
      <c r="G35" s="10">
        <f>IF($A35="","","Автозапись из листа Ремонты")</f>
        <v/>
      </c>
    </row>
    <row r="36">
      <c r="A36" s="12">
        <f>IF(Ремонты!S6="","",Ремонты!S6)</f>
        <v/>
      </c>
      <c r="B36" s="10">
        <f>IF($A36="","",Ремонты!A6)</f>
        <v/>
      </c>
      <c r="C36" s="10">
        <f>IF($A36="","",Ремонты!D6)</f>
        <v/>
      </c>
      <c r="D36" s="10">
        <f>IF($A36="","",Ремонты!E6)</f>
        <v/>
      </c>
      <c r="E36" s="10">
        <f>IF($A36="","","Оплата")</f>
        <v/>
      </c>
      <c r="F36" s="10">
        <f>IF($A36="","",Ремонты!T6)</f>
        <v/>
      </c>
      <c r="G36" s="10">
        <f>IF($A36="","","Автозапись из листа Ремонты")</f>
        <v/>
      </c>
    </row>
    <row r="37">
      <c r="A37" s="12">
        <f>IF(Ремонты!G7="","",Ремонты!G7)</f>
        <v/>
      </c>
      <c r="B37" s="10">
        <f>IF($A37="","",Ремонты!A7)</f>
        <v/>
      </c>
      <c r="C37" s="10">
        <f>IF($A37="","",Ремонты!D7)</f>
        <v/>
      </c>
      <c r="D37" s="10">
        <f>IF($A37="","",Ремонты!E7)</f>
        <v/>
      </c>
      <c r="E37" s="10">
        <f>IF($A37="","","Отправка в ремонт")</f>
        <v/>
      </c>
      <c r="F37" s="10">
        <f>IF($A37="","",Ремонты!T7)</f>
        <v/>
      </c>
      <c r="G37" s="10">
        <f>IF($A37="","","Автозапись из листа Ремонты")</f>
        <v/>
      </c>
    </row>
    <row r="38">
      <c r="A38" s="12">
        <f>IF(Ремонты!I7="","",Ремонты!I7)</f>
        <v/>
      </c>
      <c r="B38" s="10">
        <f>IF($A38="","",Ремонты!A7)</f>
        <v/>
      </c>
      <c r="C38" s="10">
        <f>IF($A38="","",Ремонты!D7)</f>
        <v/>
      </c>
      <c r="D38" s="10">
        <f>IF($A38="","",Ремонты!E7)</f>
        <v/>
      </c>
      <c r="E38" s="10">
        <f>IF($A38="","","Отправка из ремонта")</f>
        <v/>
      </c>
      <c r="F38" s="10">
        <f>IF($A38="","",Ремонты!T7)</f>
        <v/>
      </c>
      <c r="G38" s="10">
        <f>IF($A38="","","Автозапись из листа Ремонты")</f>
        <v/>
      </c>
    </row>
    <row r="39">
      <c r="A39" s="12">
        <f>IF(Ремонты!J7="","",Ремонты!J7)</f>
        <v/>
      </c>
      <c r="B39" s="10">
        <f>IF($A39="","",Ремонты!A7)</f>
        <v/>
      </c>
      <c r="C39" s="10">
        <f>IF($A39="","",Ремонты!D7)</f>
        <v/>
      </c>
      <c r="D39" s="10">
        <f>IF($A39="","",Ремонты!E7)</f>
        <v/>
      </c>
      <c r="E39" s="10">
        <f>IF($A39="","","Отправка из Иркутска")</f>
        <v/>
      </c>
      <c r="F39" s="10">
        <f>IF($A39="","",Ремонты!T7)</f>
        <v/>
      </c>
      <c r="G39" s="10">
        <f>IF($A39="","","Автозапись из листа Ремонты")</f>
        <v/>
      </c>
    </row>
    <row r="40">
      <c r="A40" s="12">
        <f>IF(Ремонты!K7="","",Ремонты!K7)</f>
        <v/>
      </c>
      <c r="B40" s="10">
        <f>IF($A40="","",Ремонты!A7)</f>
        <v/>
      </c>
      <c r="C40" s="10">
        <f>IF($A40="","",Ремонты!D7)</f>
        <v/>
      </c>
      <c r="D40" s="10">
        <f>IF($A40="","",Ремонты!E7)</f>
        <v/>
      </c>
      <c r="E40" s="10">
        <f>IF($A40="","","Прибытие в Ленск")</f>
        <v/>
      </c>
      <c r="F40" s="10">
        <f>IF($A40="","",Ремонты!T7)</f>
        <v/>
      </c>
      <c r="G40" s="10">
        <f>IF($A40="","","Автозапись из листа Ремонты")</f>
        <v/>
      </c>
    </row>
    <row r="41">
      <c r="A41" s="12">
        <f>IF(Ремонты!M7="","",Ремонты!M7)</f>
        <v/>
      </c>
      <c r="B41" s="10">
        <f>IF($A41="","",Ремонты!A7)</f>
        <v/>
      </c>
      <c r="C41" s="10">
        <f>IF($A41="","",Ремонты!D7)</f>
        <v/>
      </c>
      <c r="D41" s="10">
        <f>IF($A41="","",Ремонты!E7)</f>
        <v/>
      </c>
      <c r="E41" s="10">
        <f>IF($A41="","","Фактическое получение")</f>
        <v/>
      </c>
      <c r="F41" s="10">
        <f>IF($A41="","",Ремонты!T7)</f>
        <v/>
      </c>
      <c r="G41" s="10">
        <f>IF($A41="","","Автозапись из листа Ремонты")</f>
        <v/>
      </c>
    </row>
    <row r="42">
      <c r="A42" s="12">
        <f>IF(Ремонты!P7="","",Ремонты!P7)</f>
        <v/>
      </c>
      <c r="B42" s="10">
        <f>IF($A42="","",Ремонты!A7)</f>
        <v/>
      </c>
      <c r="C42" s="10">
        <f>IF($A42="","",Ремонты!D7)</f>
        <v/>
      </c>
      <c r="D42" s="10">
        <f>IF($A42="","",Ремонты!E7)</f>
        <v/>
      </c>
      <c r="E42" s="10">
        <f>IF($A42="","","Входной контроль")</f>
        <v/>
      </c>
      <c r="F42" s="10">
        <f>IF($A42="","",Ремонты!T7)</f>
        <v/>
      </c>
      <c r="G42" s="10">
        <f>IF($A42="","","Автозапись из листа Ремонты")</f>
        <v/>
      </c>
    </row>
    <row r="43">
      <c r="A43" s="12">
        <f>IF(Ремонты!S7="","",Ремонты!S7)</f>
        <v/>
      </c>
      <c r="B43" s="10">
        <f>IF($A43="","",Ремонты!A7)</f>
        <v/>
      </c>
      <c r="C43" s="10">
        <f>IF($A43="","",Ремонты!D7)</f>
        <v/>
      </c>
      <c r="D43" s="10">
        <f>IF($A43="","",Ремонты!E7)</f>
        <v/>
      </c>
      <c r="E43" s="10">
        <f>IF($A43="","","Оплата")</f>
        <v/>
      </c>
      <c r="F43" s="10">
        <f>IF($A43="","",Ремонты!T7)</f>
        <v/>
      </c>
      <c r="G43" s="10">
        <f>IF($A43="","","Автозапись из листа Ремонты")</f>
        <v/>
      </c>
    </row>
    <row r="44">
      <c r="A44" s="12">
        <f>IF(Ремонты!G8="","",Ремонты!G8)</f>
        <v/>
      </c>
      <c r="B44" s="10">
        <f>IF($A44="","",Ремонты!A8)</f>
        <v/>
      </c>
      <c r="C44" s="10">
        <f>IF($A44="","",Ремонты!D8)</f>
        <v/>
      </c>
      <c r="D44" s="10">
        <f>IF($A44="","",Ремонты!E8)</f>
        <v/>
      </c>
      <c r="E44" s="10">
        <f>IF($A44="","","Отправка в ремонт")</f>
        <v/>
      </c>
      <c r="F44" s="10">
        <f>IF($A44="","",Ремонты!T8)</f>
        <v/>
      </c>
      <c r="G44" s="10">
        <f>IF($A44="","","Автозапись из листа Ремонты")</f>
        <v/>
      </c>
    </row>
    <row r="45">
      <c r="A45" s="12">
        <f>IF(Ремонты!I8="","",Ремонты!I8)</f>
        <v/>
      </c>
      <c r="B45" s="10">
        <f>IF($A45="","",Ремонты!A8)</f>
        <v/>
      </c>
      <c r="C45" s="10">
        <f>IF($A45="","",Ремонты!D8)</f>
        <v/>
      </c>
      <c r="D45" s="10">
        <f>IF($A45="","",Ремонты!E8)</f>
        <v/>
      </c>
      <c r="E45" s="10">
        <f>IF($A45="","","Отправка из ремонта")</f>
        <v/>
      </c>
      <c r="F45" s="10">
        <f>IF($A45="","",Ремонты!T8)</f>
        <v/>
      </c>
      <c r="G45" s="10">
        <f>IF($A45="","","Автозапись из листа Ремонты")</f>
        <v/>
      </c>
    </row>
    <row r="46">
      <c r="A46" s="12">
        <f>IF(Ремонты!J8="","",Ремонты!J8)</f>
        <v/>
      </c>
      <c r="B46" s="10">
        <f>IF($A46="","",Ремонты!A8)</f>
        <v/>
      </c>
      <c r="C46" s="10">
        <f>IF($A46="","",Ремонты!D8)</f>
        <v/>
      </c>
      <c r="D46" s="10">
        <f>IF($A46="","",Ремонты!E8)</f>
        <v/>
      </c>
      <c r="E46" s="10">
        <f>IF($A46="","","Отправка из Иркутска")</f>
        <v/>
      </c>
      <c r="F46" s="10">
        <f>IF($A46="","",Ремонты!T8)</f>
        <v/>
      </c>
      <c r="G46" s="10">
        <f>IF($A46="","","Автозапись из листа Ремонты")</f>
        <v/>
      </c>
    </row>
    <row r="47">
      <c r="A47" s="12">
        <f>IF(Ремонты!K8="","",Ремонты!K8)</f>
        <v/>
      </c>
      <c r="B47" s="10">
        <f>IF($A47="","",Ремонты!A8)</f>
        <v/>
      </c>
      <c r="C47" s="10">
        <f>IF($A47="","",Ремонты!D8)</f>
        <v/>
      </c>
      <c r="D47" s="10">
        <f>IF($A47="","",Ремонты!E8)</f>
        <v/>
      </c>
      <c r="E47" s="10">
        <f>IF($A47="","","Прибытие в Ленск")</f>
        <v/>
      </c>
      <c r="F47" s="10">
        <f>IF($A47="","",Ремонты!T8)</f>
        <v/>
      </c>
      <c r="G47" s="10">
        <f>IF($A47="","","Автозапись из листа Ремонты")</f>
        <v/>
      </c>
    </row>
    <row r="48">
      <c r="A48" s="12">
        <f>IF(Ремонты!M8="","",Ремонты!M8)</f>
        <v/>
      </c>
      <c r="B48" s="10">
        <f>IF($A48="","",Ремонты!A8)</f>
        <v/>
      </c>
      <c r="C48" s="10">
        <f>IF($A48="","",Ремонты!D8)</f>
        <v/>
      </c>
      <c r="D48" s="10">
        <f>IF($A48="","",Ремонты!E8)</f>
        <v/>
      </c>
      <c r="E48" s="10">
        <f>IF($A48="","","Фактическое получение")</f>
        <v/>
      </c>
      <c r="F48" s="10">
        <f>IF($A48="","",Ремонты!T8)</f>
        <v/>
      </c>
      <c r="G48" s="10">
        <f>IF($A48="","","Автозапись из листа Ремонты")</f>
        <v/>
      </c>
    </row>
    <row r="49">
      <c r="A49" s="12">
        <f>IF(Ремонты!P8="","",Ремонты!P8)</f>
        <v/>
      </c>
      <c r="B49" s="10">
        <f>IF($A49="","",Ремонты!A8)</f>
        <v/>
      </c>
      <c r="C49" s="10">
        <f>IF($A49="","",Ремонты!D8)</f>
        <v/>
      </c>
      <c r="D49" s="10">
        <f>IF($A49="","",Ремонты!E8)</f>
        <v/>
      </c>
      <c r="E49" s="10">
        <f>IF($A49="","","Входной контроль")</f>
        <v/>
      </c>
      <c r="F49" s="10">
        <f>IF($A49="","",Ремонты!T8)</f>
        <v/>
      </c>
      <c r="G49" s="10">
        <f>IF($A49="","","Автозапись из листа Ремонты")</f>
        <v/>
      </c>
    </row>
    <row r="50">
      <c r="A50" s="12">
        <f>IF(Ремонты!S8="","",Ремонты!S8)</f>
        <v/>
      </c>
      <c r="B50" s="10">
        <f>IF($A50="","",Ремонты!A8)</f>
        <v/>
      </c>
      <c r="C50" s="10">
        <f>IF($A50="","",Ремонты!D8)</f>
        <v/>
      </c>
      <c r="D50" s="10">
        <f>IF($A50="","",Ремонты!E8)</f>
        <v/>
      </c>
      <c r="E50" s="10">
        <f>IF($A50="","","Оплата")</f>
        <v/>
      </c>
      <c r="F50" s="10">
        <f>IF($A50="","",Ремонты!T8)</f>
        <v/>
      </c>
      <c r="G50" s="10">
        <f>IF($A50="","","Автозапись из листа Ремонты")</f>
        <v/>
      </c>
    </row>
    <row r="51">
      <c r="A51" s="12">
        <f>IF(Ремонты!G9="","",Ремонты!G9)</f>
        <v/>
      </c>
      <c r="B51" s="10">
        <f>IF($A51="","",Ремонты!A9)</f>
        <v/>
      </c>
      <c r="C51" s="10">
        <f>IF($A51="","",Ремонты!D9)</f>
        <v/>
      </c>
      <c r="D51" s="10">
        <f>IF($A51="","",Ремонты!E9)</f>
        <v/>
      </c>
      <c r="E51" s="10">
        <f>IF($A51="","","Отправка в ремонт")</f>
        <v/>
      </c>
      <c r="F51" s="10">
        <f>IF($A51="","",Ремонты!T9)</f>
        <v/>
      </c>
      <c r="G51" s="10">
        <f>IF($A51="","","Автозапись из листа Ремонты")</f>
        <v/>
      </c>
    </row>
    <row r="52">
      <c r="A52" s="12">
        <f>IF(Ремонты!I9="","",Ремонты!I9)</f>
        <v/>
      </c>
      <c r="B52" s="10">
        <f>IF($A52="","",Ремонты!A9)</f>
        <v/>
      </c>
      <c r="C52" s="10">
        <f>IF($A52="","",Ремонты!D9)</f>
        <v/>
      </c>
      <c r="D52" s="10">
        <f>IF($A52="","",Ремонты!E9)</f>
        <v/>
      </c>
      <c r="E52" s="10">
        <f>IF($A52="","","Отправка из ремонта")</f>
        <v/>
      </c>
      <c r="F52" s="10">
        <f>IF($A52="","",Ремонты!T9)</f>
        <v/>
      </c>
      <c r="G52" s="10">
        <f>IF($A52="","","Автозапись из листа Ремонты")</f>
        <v/>
      </c>
    </row>
    <row r="53">
      <c r="A53" s="12">
        <f>IF(Ремонты!J9="","",Ремонты!J9)</f>
        <v/>
      </c>
      <c r="B53" s="10">
        <f>IF($A53="","",Ремонты!A9)</f>
        <v/>
      </c>
      <c r="C53" s="10">
        <f>IF($A53="","",Ремонты!D9)</f>
        <v/>
      </c>
      <c r="D53" s="10">
        <f>IF($A53="","",Ремонты!E9)</f>
        <v/>
      </c>
      <c r="E53" s="10">
        <f>IF($A53="","","Отправка из Иркутска")</f>
        <v/>
      </c>
      <c r="F53" s="10">
        <f>IF($A53="","",Ремонты!T9)</f>
        <v/>
      </c>
      <c r="G53" s="10">
        <f>IF($A53="","","Автозапись из листа Ремонты")</f>
        <v/>
      </c>
    </row>
    <row r="54">
      <c r="A54" s="12">
        <f>IF(Ремонты!K9="","",Ремонты!K9)</f>
        <v/>
      </c>
      <c r="B54" s="10">
        <f>IF($A54="","",Ремонты!A9)</f>
        <v/>
      </c>
      <c r="C54" s="10">
        <f>IF($A54="","",Ремонты!D9)</f>
        <v/>
      </c>
      <c r="D54" s="10">
        <f>IF($A54="","",Ремонты!E9)</f>
        <v/>
      </c>
      <c r="E54" s="10">
        <f>IF($A54="","","Прибытие в Ленск")</f>
        <v/>
      </c>
      <c r="F54" s="10">
        <f>IF($A54="","",Ремонты!T9)</f>
        <v/>
      </c>
      <c r="G54" s="10">
        <f>IF($A54="","","Автозапись из листа Ремонты")</f>
        <v/>
      </c>
    </row>
    <row r="55">
      <c r="A55" s="12">
        <f>IF(Ремонты!M9="","",Ремонты!M9)</f>
        <v/>
      </c>
      <c r="B55" s="10">
        <f>IF($A55="","",Ремонты!A9)</f>
        <v/>
      </c>
      <c r="C55" s="10">
        <f>IF($A55="","",Ремонты!D9)</f>
        <v/>
      </c>
      <c r="D55" s="10">
        <f>IF($A55="","",Ремонты!E9)</f>
        <v/>
      </c>
      <c r="E55" s="10">
        <f>IF($A55="","","Фактическое получение")</f>
        <v/>
      </c>
      <c r="F55" s="10">
        <f>IF($A55="","",Ремонты!T9)</f>
        <v/>
      </c>
      <c r="G55" s="10">
        <f>IF($A55="","","Автозапись из листа Ремонты")</f>
        <v/>
      </c>
    </row>
    <row r="56">
      <c r="A56" s="12">
        <f>IF(Ремонты!P9="","",Ремонты!P9)</f>
        <v/>
      </c>
      <c r="B56" s="10">
        <f>IF($A56="","",Ремонты!A9)</f>
        <v/>
      </c>
      <c r="C56" s="10">
        <f>IF($A56="","",Ремонты!D9)</f>
        <v/>
      </c>
      <c r="D56" s="10">
        <f>IF($A56="","",Ремонты!E9)</f>
        <v/>
      </c>
      <c r="E56" s="10">
        <f>IF($A56="","","Входной контроль")</f>
        <v/>
      </c>
      <c r="F56" s="10">
        <f>IF($A56="","",Ремонты!T9)</f>
        <v/>
      </c>
      <c r="G56" s="10">
        <f>IF($A56="","","Автозапись из листа Ремонты")</f>
        <v/>
      </c>
    </row>
    <row r="57">
      <c r="A57" s="12">
        <f>IF(Ремонты!S9="","",Ремонты!S9)</f>
        <v/>
      </c>
      <c r="B57" s="10">
        <f>IF($A57="","",Ремонты!A9)</f>
        <v/>
      </c>
      <c r="C57" s="10">
        <f>IF($A57="","",Ремонты!D9)</f>
        <v/>
      </c>
      <c r="D57" s="10">
        <f>IF($A57="","",Ремонты!E9)</f>
        <v/>
      </c>
      <c r="E57" s="10">
        <f>IF($A57="","","Оплата")</f>
        <v/>
      </c>
      <c r="F57" s="10">
        <f>IF($A57="","",Ремонты!T9)</f>
        <v/>
      </c>
      <c r="G57" s="10">
        <f>IF($A57="","","Автозапись из листа Ремонты")</f>
        <v/>
      </c>
    </row>
    <row r="58">
      <c r="A58" s="12">
        <f>IF(Ремонты!G10="","",Ремонты!G10)</f>
        <v/>
      </c>
      <c r="B58" s="10">
        <f>IF($A58="","",Ремонты!A10)</f>
        <v/>
      </c>
      <c r="C58" s="10">
        <f>IF($A58="","",Ремонты!D10)</f>
        <v/>
      </c>
      <c r="D58" s="10">
        <f>IF($A58="","",Ремонты!E10)</f>
        <v/>
      </c>
      <c r="E58" s="10">
        <f>IF($A58="","","Отправка в ремонт")</f>
        <v/>
      </c>
      <c r="F58" s="10">
        <f>IF($A58="","",Ремонты!T10)</f>
        <v/>
      </c>
      <c r="G58" s="10">
        <f>IF($A58="","","Автозапись из листа Ремонты")</f>
        <v/>
      </c>
    </row>
    <row r="59">
      <c r="A59" s="12">
        <f>IF(Ремонты!I10="","",Ремонты!I10)</f>
        <v/>
      </c>
      <c r="B59" s="10">
        <f>IF($A59="","",Ремонты!A10)</f>
        <v/>
      </c>
      <c r="C59" s="10">
        <f>IF($A59="","",Ремонты!D10)</f>
        <v/>
      </c>
      <c r="D59" s="10">
        <f>IF($A59="","",Ремонты!E10)</f>
        <v/>
      </c>
      <c r="E59" s="10">
        <f>IF($A59="","","Отправка из ремонта")</f>
        <v/>
      </c>
      <c r="F59" s="10">
        <f>IF($A59="","",Ремонты!T10)</f>
        <v/>
      </c>
      <c r="G59" s="10">
        <f>IF($A59="","","Автозапись из листа Ремонты")</f>
        <v/>
      </c>
    </row>
    <row r="60">
      <c r="A60" s="12">
        <f>IF(Ремонты!J10="","",Ремонты!J10)</f>
        <v/>
      </c>
      <c r="B60" s="10">
        <f>IF($A60="","",Ремонты!A10)</f>
        <v/>
      </c>
      <c r="C60" s="10">
        <f>IF($A60="","",Ремонты!D10)</f>
        <v/>
      </c>
      <c r="D60" s="10">
        <f>IF($A60="","",Ремонты!E10)</f>
        <v/>
      </c>
      <c r="E60" s="10">
        <f>IF($A60="","","Отправка из Иркутска")</f>
        <v/>
      </c>
      <c r="F60" s="10">
        <f>IF($A60="","",Ремонты!T10)</f>
        <v/>
      </c>
      <c r="G60" s="10">
        <f>IF($A60="","","Автозапись из листа Ремонты")</f>
        <v/>
      </c>
    </row>
    <row r="61">
      <c r="A61" s="12">
        <f>IF(Ремонты!K10="","",Ремонты!K10)</f>
        <v/>
      </c>
      <c r="B61" s="10">
        <f>IF($A61="","",Ремонты!A10)</f>
        <v/>
      </c>
      <c r="C61" s="10">
        <f>IF($A61="","",Ремонты!D10)</f>
        <v/>
      </c>
      <c r="D61" s="10">
        <f>IF($A61="","",Ремонты!E10)</f>
        <v/>
      </c>
      <c r="E61" s="10">
        <f>IF($A61="","","Прибытие в Ленск")</f>
        <v/>
      </c>
      <c r="F61" s="10">
        <f>IF($A61="","",Ремонты!T10)</f>
        <v/>
      </c>
      <c r="G61" s="10">
        <f>IF($A61="","","Автозапись из листа Ремонты")</f>
        <v/>
      </c>
    </row>
    <row r="62">
      <c r="A62" s="12">
        <f>IF(Ремонты!M10="","",Ремонты!M10)</f>
        <v/>
      </c>
      <c r="B62" s="10">
        <f>IF($A62="","",Ремонты!A10)</f>
        <v/>
      </c>
      <c r="C62" s="10">
        <f>IF($A62="","",Ремонты!D10)</f>
        <v/>
      </c>
      <c r="D62" s="10">
        <f>IF($A62="","",Ремонты!E10)</f>
        <v/>
      </c>
      <c r="E62" s="10">
        <f>IF($A62="","","Фактическое получение")</f>
        <v/>
      </c>
      <c r="F62" s="10">
        <f>IF($A62="","",Ремонты!T10)</f>
        <v/>
      </c>
      <c r="G62" s="10">
        <f>IF($A62="","","Автозапись из листа Ремонты")</f>
        <v/>
      </c>
    </row>
    <row r="63">
      <c r="A63" s="12">
        <f>IF(Ремонты!P10="","",Ремонты!P10)</f>
        <v/>
      </c>
      <c r="B63" s="10">
        <f>IF($A63="","",Ремонты!A10)</f>
        <v/>
      </c>
      <c r="C63" s="10">
        <f>IF($A63="","",Ремонты!D10)</f>
        <v/>
      </c>
      <c r="D63" s="10">
        <f>IF($A63="","",Ремонты!E10)</f>
        <v/>
      </c>
      <c r="E63" s="10">
        <f>IF($A63="","","Входной контроль")</f>
        <v/>
      </c>
      <c r="F63" s="10">
        <f>IF($A63="","",Ремонты!T10)</f>
        <v/>
      </c>
      <c r="G63" s="10">
        <f>IF($A63="","","Автозапись из листа Ремонты")</f>
        <v/>
      </c>
    </row>
    <row r="64">
      <c r="A64" s="12">
        <f>IF(Ремонты!S10="","",Ремонты!S10)</f>
        <v/>
      </c>
      <c r="B64" s="10">
        <f>IF($A64="","",Ремонты!A10)</f>
        <v/>
      </c>
      <c r="C64" s="10">
        <f>IF($A64="","",Ремонты!D10)</f>
        <v/>
      </c>
      <c r="D64" s="10">
        <f>IF($A64="","",Ремонты!E10)</f>
        <v/>
      </c>
      <c r="E64" s="10">
        <f>IF($A64="","","Оплата")</f>
        <v/>
      </c>
      <c r="F64" s="10">
        <f>IF($A64="","",Ремонты!T10)</f>
        <v/>
      </c>
      <c r="G64" s="10">
        <f>IF($A64="","","Автозапись из листа Ремонты")</f>
        <v/>
      </c>
    </row>
    <row r="65">
      <c r="A65" s="12">
        <f>IF(Ремонты!G11="","",Ремонты!G11)</f>
        <v/>
      </c>
      <c r="B65" s="10">
        <f>IF($A65="","",Ремонты!A11)</f>
        <v/>
      </c>
      <c r="C65" s="10">
        <f>IF($A65="","",Ремонты!D11)</f>
        <v/>
      </c>
      <c r="D65" s="10">
        <f>IF($A65="","",Ремонты!E11)</f>
        <v/>
      </c>
      <c r="E65" s="10">
        <f>IF($A65="","","Отправка в ремонт")</f>
        <v/>
      </c>
      <c r="F65" s="10">
        <f>IF($A65="","",Ремонты!T11)</f>
        <v/>
      </c>
      <c r="G65" s="10">
        <f>IF($A65="","","Автозапись из листа Ремонты")</f>
        <v/>
      </c>
    </row>
    <row r="66">
      <c r="A66" s="12">
        <f>IF(Ремонты!I11="","",Ремонты!I11)</f>
        <v/>
      </c>
      <c r="B66" s="10">
        <f>IF($A66="","",Ремонты!A11)</f>
        <v/>
      </c>
      <c r="C66" s="10">
        <f>IF($A66="","",Ремонты!D11)</f>
        <v/>
      </c>
      <c r="D66" s="10">
        <f>IF($A66="","",Ремонты!E11)</f>
        <v/>
      </c>
      <c r="E66" s="10">
        <f>IF($A66="","","Отправка из ремонта")</f>
        <v/>
      </c>
      <c r="F66" s="10">
        <f>IF($A66="","",Ремонты!T11)</f>
        <v/>
      </c>
      <c r="G66" s="10">
        <f>IF($A66="","","Автозапись из листа Ремонты")</f>
        <v/>
      </c>
    </row>
    <row r="67">
      <c r="A67" s="12">
        <f>IF(Ремонты!J11="","",Ремонты!J11)</f>
        <v/>
      </c>
      <c r="B67" s="10">
        <f>IF($A67="","",Ремонты!A11)</f>
        <v/>
      </c>
      <c r="C67" s="10">
        <f>IF($A67="","",Ремонты!D11)</f>
        <v/>
      </c>
      <c r="D67" s="10">
        <f>IF($A67="","",Ремонты!E11)</f>
        <v/>
      </c>
      <c r="E67" s="10">
        <f>IF($A67="","","Отправка из Иркутска")</f>
        <v/>
      </c>
      <c r="F67" s="10">
        <f>IF($A67="","",Ремонты!T11)</f>
        <v/>
      </c>
      <c r="G67" s="10">
        <f>IF($A67="","","Автозапись из листа Ремонты")</f>
        <v/>
      </c>
    </row>
    <row r="68">
      <c r="A68" s="12">
        <f>IF(Ремонты!K11="","",Ремонты!K11)</f>
        <v/>
      </c>
      <c r="B68" s="10">
        <f>IF($A68="","",Ремонты!A11)</f>
        <v/>
      </c>
      <c r="C68" s="10">
        <f>IF($A68="","",Ремонты!D11)</f>
        <v/>
      </c>
      <c r="D68" s="10">
        <f>IF($A68="","",Ремонты!E11)</f>
        <v/>
      </c>
      <c r="E68" s="10">
        <f>IF($A68="","","Прибытие в Ленск")</f>
        <v/>
      </c>
      <c r="F68" s="10">
        <f>IF($A68="","",Ремонты!T11)</f>
        <v/>
      </c>
      <c r="G68" s="10">
        <f>IF($A68="","","Автозапись из листа Ремонты")</f>
        <v/>
      </c>
    </row>
    <row r="69">
      <c r="A69" s="12">
        <f>IF(Ремонты!M11="","",Ремонты!M11)</f>
        <v/>
      </c>
      <c r="B69" s="10">
        <f>IF($A69="","",Ремонты!A11)</f>
        <v/>
      </c>
      <c r="C69" s="10">
        <f>IF($A69="","",Ремонты!D11)</f>
        <v/>
      </c>
      <c r="D69" s="10">
        <f>IF($A69="","",Ремонты!E11)</f>
        <v/>
      </c>
      <c r="E69" s="10">
        <f>IF($A69="","","Фактическое получение")</f>
        <v/>
      </c>
      <c r="F69" s="10">
        <f>IF($A69="","",Ремонты!T11)</f>
        <v/>
      </c>
      <c r="G69" s="10">
        <f>IF($A69="","","Автозапись из листа Ремонты")</f>
        <v/>
      </c>
    </row>
    <row r="70">
      <c r="A70" s="12">
        <f>IF(Ремонты!P11="","",Ремонты!P11)</f>
        <v/>
      </c>
      <c r="B70" s="10">
        <f>IF($A70="","",Ремонты!A11)</f>
        <v/>
      </c>
      <c r="C70" s="10">
        <f>IF($A70="","",Ремонты!D11)</f>
        <v/>
      </c>
      <c r="D70" s="10">
        <f>IF($A70="","",Ремонты!E11)</f>
        <v/>
      </c>
      <c r="E70" s="10">
        <f>IF($A70="","","Входной контроль")</f>
        <v/>
      </c>
      <c r="F70" s="10">
        <f>IF($A70="","",Ремонты!T11)</f>
        <v/>
      </c>
      <c r="G70" s="10">
        <f>IF($A70="","","Автозапись из листа Ремонты")</f>
        <v/>
      </c>
    </row>
    <row r="71">
      <c r="A71" s="12">
        <f>IF(Ремонты!S11="","",Ремонты!S11)</f>
        <v/>
      </c>
      <c r="B71" s="10">
        <f>IF($A71="","",Ремонты!A11)</f>
        <v/>
      </c>
      <c r="C71" s="10">
        <f>IF($A71="","",Ремонты!D11)</f>
        <v/>
      </c>
      <c r="D71" s="10">
        <f>IF($A71="","",Ремонты!E11)</f>
        <v/>
      </c>
      <c r="E71" s="10">
        <f>IF($A71="","","Оплата")</f>
        <v/>
      </c>
      <c r="F71" s="10">
        <f>IF($A71="","",Ремонты!T11)</f>
        <v/>
      </c>
      <c r="G71" s="10">
        <f>IF($A71="","","Автозапись из листа Ремонты")</f>
        <v/>
      </c>
    </row>
    <row r="72">
      <c r="A72" s="12">
        <f>IF(Ремонты!G12="","",Ремонты!G12)</f>
        <v/>
      </c>
      <c r="B72" s="10">
        <f>IF($A72="","",Ремонты!A12)</f>
        <v/>
      </c>
      <c r="C72" s="10">
        <f>IF($A72="","",Ремонты!D12)</f>
        <v/>
      </c>
      <c r="D72" s="10">
        <f>IF($A72="","",Ремонты!E12)</f>
        <v/>
      </c>
      <c r="E72" s="10">
        <f>IF($A72="","","Отправка в ремонт")</f>
        <v/>
      </c>
      <c r="F72" s="10">
        <f>IF($A72="","",Ремонты!T12)</f>
        <v/>
      </c>
      <c r="G72" s="10">
        <f>IF($A72="","","Автозапись из листа Ремонты")</f>
        <v/>
      </c>
    </row>
    <row r="73">
      <c r="A73" s="12">
        <f>IF(Ремонты!I12="","",Ремонты!I12)</f>
        <v/>
      </c>
      <c r="B73" s="10">
        <f>IF($A73="","",Ремонты!A12)</f>
        <v/>
      </c>
      <c r="C73" s="10">
        <f>IF($A73="","",Ремонты!D12)</f>
        <v/>
      </c>
      <c r="D73" s="10">
        <f>IF($A73="","",Ремонты!E12)</f>
        <v/>
      </c>
      <c r="E73" s="10">
        <f>IF($A73="","","Отправка из ремонта")</f>
        <v/>
      </c>
      <c r="F73" s="10">
        <f>IF($A73="","",Ремонты!T12)</f>
        <v/>
      </c>
      <c r="G73" s="10">
        <f>IF($A73="","","Автозапись из листа Ремонты")</f>
        <v/>
      </c>
    </row>
    <row r="74">
      <c r="A74" s="12">
        <f>IF(Ремонты!J12="","",Ремонты!J12)</f>
        <v/>
      </c>
      <c r="B74" s="10">
        <f>IF($A74="","",Ремонты!A12)</f>
        <v/>
      </c>
      <c r="C74" s="10">
        <f>IF($A74="","",Ремонты!D12)</f>
        <v/>
      </c>
      <c r="D74" s="10">
        <f>IF($A74="","",Ремонты!E12)</f>
        <v/>
      </c>
      <c r="E74" s="10">
        <f>IF($A74="","","Отправка из Иркутска")</f>
        <v/>
      </c>
      <c r="F74" s="10">
        <f>IF($A74="","",Ремонты!T12)</f>
        <v/>
      </c>
      <c r="G74" s="10">
        <f>IF($A74="","","Автозапись из листа Ремонты")</f>
        <v/>
      </c>
    </row>
    <row r="75">
      <c r="A75" s="12">
        <f>IF(Ремонты!K12="","",Ремонты!K12)</f>
        <v/>
      </c>
      <c r="B75" s="10">
        <f>IF($A75="","",Ремонты!A12)</f>
        <v/>
      </c>
      <c r="C75" s="10">
        <f>IF($A75="","",Ремонты!D12)</f>
        <v/>
      </c>
      <c r="D75" s="10">
        <f>IF($A75="","",Ремонты!E12)</f>
        <v/>
      </c>
      <c r="E75" s="10">
        <f>IF($A75="","","Прибытие в Ленск")</f>
        <v/>
      </c>
      <c r="F75" s="10">
        <f>IF($A75="","",Ремонты!T12)</f>
        <v/>
      </c>
      <c r="G75" s="10">
        <f>IF($A75="","","Автозапись из листа Ремонты")</f>
        <v/>
      </c>
    </row>
    <row r="76">
      <c r="A76" s="12">
        <f>IF(Ремонты!M12="","",Ремонты!M12)</f>
        <v/>
      </c>
      <c r="B76" s="10">
        <f>IF($A76="","",Ремонты!A12)</f>
        <v/>
      </c>
      <c r="C76" s="10">
        <f>IF($A76="","",Ремонты!D12)</f>
        <v/>
      </c>
      <c r="D76" s="10">
        <f>IF($A76="","",Ремонты!E12)</f>
        <v/>
      </c>
      <c r="E76" s="10">
        <f>IF($A76="","","Фактическое получение")</f>
        <v/>
      </c>
      <c r="F76" s="10">
        <f>IF($A76="","",Ремонты!T12)</f>
        <v/>
      </c>
      <c r="G76" s="10">
        <f>IF($A76="","","Автозапись из листа Ремонты")</f>
        <v/>
      </c>
    </row>
    <row r="77">
      <c r="A77" s="12">
        <f>IF(Ремонты!P12="","",Ремонты!P12)</f>
        <v/>
      </c>
      <c r="B77" s="10">
        <f>IF($A77="","",Ремонты!A12)</f>
        <v/>
      </c>
      <c r="C77" s="10">
        <f>IF($A77="","",Ремонты!D12)</f>
        <v/>
      </c>
      <c r="D77" s="10">
        <f>IF($A77="","",Ремонты!E12)</f>
        <v/>
      </c>
      <c r="E77" s="10">
        <f>IF($A77="","","Входной контроль")</f>
        <v/>
      </c>
      <c r="F77" s="10">
        <f>IF($A77="","",Ремонты!T12)</f>
        <v/>
      </c>
      <c r="G77" s="10">
        <f>IF($A77="","","Автозапись из листа Ремонты")</f>
        <v/>
      </c>
    </row>
    <row r="78">
      <c r="A78" s="12">
        <f>IF(Ремонты!S12="","",Ремонты!S12)</f>
        <v/>
      </c>
      <c r="B78" s="10">
        <f>IF($A78="","",Ремонты!A12)</f>
        <v/>
      </c>
      <c r="C78" s="10">
        <f>IF($A78="","",Ремонты!D12)</f>
        <v/>
      </c>
      <c r="D78" s="10">
        <f>IF($A78="","",Ремонты!E12)</f>
        <v/>
      </c>
      <c r="E78" s="10">
        <f>IF($A78="","","Оплата")</f>
        <v/>
      </c>
      <c r="F78" s="10">
        <f>IF($A78="","",Ремонты!T12)</f>
        <v/>
      </c>
      <c r="G78" s="10">
        <f>IF($A78="","","Автозапись из листа Ремонты")</f>
        <v/>
      </c>
    </row>
    <row r="79">
      <c r="A79" s="12">
        <f>IF(Ремонты!G13="","",Ремонты!G13)</f>
        <v/>
      </c>
      <c r="B79" s="10">
        <f>IF($A79="","",Ремонты!A13)</f>
        <v/>
      </c>
      <c r="C79" s="10">
        <f>IF($A79="","",Ремонты!D13)</f>
        <v/>
      </c>
      <c r="D79" s="10">
        <f>IF($A79="","",Ремонты!E13)</f>
        <v/>
      </c>
      <c r="E79" s="10">
        <f>IF($A79="","","Отправка в ремонт")</f>
        <v/>
      </c>
      <c r="F79" s="10">
        <f>IF($A79="","",Ремонты!T13)</f>
        <v/>
      </c>
      <c r="G79" s="10">
        <f>IF($A79="","","Автозапись из листа Ремонты")</f>
        <v/>
      </c>
    </row>
    <row r="80">
      <c r="A80" s="12">
        <f>IF(Ремонты!I13="","",Ремонты!I13)</f>
        <v/>
      </c>
      <c r="B80" s="10">
        <f>IF($A80="","",Ремонты!A13)</f>
        <v/>
      </c>
      <c r="C80" s="10">
        <f>IF($A80="","",Ремонты!D13)</f>
        <v/>
      </c>
      <c r="D80" s="10">
        <f>IF($A80="","",Ремонты!E13)</f>
        <v/>
      </c>
      <c r="E80" s="10">
        <f>IF($A80="","","Отправка из ремонта")</f>
        <v/>
      </c>
      <c r="F80" s="10">
        <f>IF($A80="","",Ремонты!T13)</f>
        <v/>
      </c>
      <c r="G80" s="10">
        <f>IF($A80="","","Автозапись из листа Ремонты")</f>
        <v/>
      </c>
    </row>
    <row r="81">
      <c r="A81" s="12">
        <f>IF(Ремонты!J13="","",Ремонты!J13)</f>
        <v/>
      </c>
      <c r="B81" s="10">
        <f>IF($A81="","",Ремонты!A13)</f>
        <v/>
      </c>
      <c r="C81" s="10">
        <f>IF($A81="","",Ремонты!D13)</f>
        <v/>
      </c>
      <c r="D81" s="10">
        <f>IF($A81="","",Ремонты!E13)</f>
        <v/>
      </c>
      <c r="E81" s="10">
        <f>IF($A81="","","Отправка из Иркутска")</f>
        <v/>
      </c>
      <c r="F81" s="10">
        <f>IF($A81="","",Ремонты!T13)</f>
        <v/>
      </c>
      <c r="G81" s="10">
        <f>IF($A81="","","Автозапись из листа Ремонты")</f>
        <v/>
      </c>
    </row>
    <row r="82">
      <c r="A82" s="12">
        <f>IF(Ремонты!K13="","",Ремонты!K13)</f>
        <v/>
      </c>
      <c r="B82" s="10">
        <f>IF($A82="","",Ремонты!A13)</f>
        <v/>
      </c>
      <c r="C82" s="10">
        <f>IF($A82="","",Ремонты!D13)</f>
        <v/>
      </c>
      <c r="D82" s="10">
        <f>IF($A82="","",Ремонты!E13)</f>
        <v/>
      </c>
      <c r="E82" s="10">
        <f>IF($A82="","","Прибытие в Ленск")</f>
        <v/>
      </c>
      <c r="F82" s="10">
        <f>IF($A82="","",Ремонты!T13)</f>
        <v/>
      </c>
      <c r="G82" s="10">
        <f>IF($A82="","","Автозапись из листа Ремонты")</f>
        <v/>
      </c>
    </row>
    <row r="83">
      <c r="A83" s="12">
        <f>IF(Ремонты!M13="","",Ремонты!M13)</f>
        <v/>
      </c>
      <c r="B83" s="10">
        <f>IF($A83="","",Ремонты!A13)</f>
        <v/>
      </c>
      <c r="C83" s="10">
        <f>IF($A83="","",Ремонты!D13)</f>
        <v/>
      </c>
      <c r="D83" s="10">
        <f>IF($A83="","",Ремонты!E13)</f>
        <v/>
      </c>
      <c r="E83" s="10">
        <f>IF($A83="","","Фактическое получение")</f>
        <v/>
      </c>
      <c r="F83" s="10">
        <f>IF($A83="","",Ремонты!T13)</f>
        <v/>
      </c>
      <c r="G83" s="10">
        <f>IF($A83="","","Автозапись из листа Ремонты")</f>
        <v/>
      </c>
    </row>
    <row r="84">
      <c r="A84" s="12">
        <f>IF(Ремонты!P13="","",Ремонты!P13)</f>
        <v/>
      </c>
      <c r="B84" s="10">
        <f>IF($A84="","",Ремонты!A13)</f>
        <v/>
      </c>
      <c r="C84" s="10">
        <f>IF($A84="","",Ремонты!D13)</f>
        <v/>
      </c>
      <c r="D84" s="10">
        <f>IF($A84="","",Ремонты!E13)</f>
        <v/>
      </c>
      <c r="E84" s="10">
        <f>IF($A84="","","Входной контроль")</f>
        <v/>
      </c>
      <c r="F84" s="10">
        <f>IF($A84="","",Ремонты!T13)</f>
        <v/>
      </c>
      <c r="G84" s="10">
        <f>IF($A84="","","Автозапись из листа Ремонты")</f>
        <v/>
      </c>
    </row>
    <row r="85">
      <c r="A85" s="12">
        <f>IF(Ремонты!S13="","",Ремонты!S13)</f>
        <v/>
      </c>
      <c r="B85" s="10">
        <f>IF($A85="","",Ремонты!A13)</f>
        <v/>
      </c>
      <c r="C85" s="10">
        <f>IF($A85="","",Ремонты!D13)</f>
        <v/>
      </c>
      <c r="D85" s="10">
        <f>IF($A85="","",Ремонты!E13)</f>
        <v/>
      </c>
      <c r="E85" s="10">
        <f>IF($A85="","","Оплата")</f>
        <v/>
      </c>
      <c r="F85" s="10">
        <f>IF($A85="","",Ремонты!T13)</f>
        <v/>
      </c>
      <c r="G85" s="10">
        <f>IF($A85="","","Автозапись из листа Ремонты")</f>
        <v/>
      </c>
    </row>
    <row r="86">
      <c r="A86" s="12">
        <f>IF(Ремонты!G14="","",Ремонты!G14)</f>
        <v/>
      </c>
      <c r="B86" s="10">
        <f>IF($A86="","",Ремонты!A14)</f>
        <v/>
      </c>
      <c r="C86" s="10">
        <f>IF($A86="","",Ремонты!D14)</f>
        <v/>
      </c>
      <c r="D86" s="10">
        <f>IF($A86="","",Ремонты!E14)</f>
        <v/>
      </c>
      <c r="E86" s="10">
        <f>IF($A86="","","Отправка в ремонт")</f>
        <v/>
      </c>
      <c r="F86" s="10">
        <f>IF($A86="","",Ремонты!T14)</f>
        <v/>
      </c>
      <c r="G86" s="10">
        <f>IF($A86="","","Автозапись из листа Ремонты")</f>
        <v/>
      </c>
    </row>
    <row r="87">
      <c r="A87" s="12">
        <f>IF(Ремонты!I14="","",Ремонты!I14)</f>
        <v/>
      </c>
      <c r="B87" s="10">
        <f>IF($A87="","",Ремонты!A14)</f>
        <v/>
      </c>
      <c r="C87" s="10">
        <f>IF($A87="","",Ремонты!D14)</f>
        <v/>
      </c>
      <c r="D87" s="10">
        <f>IF($A87="","",Ремонты!E14)</f>
        <v/>
      </c>
      <c r="E87" s="10">
        <f>IF($A87="","","Отправка из ремонта")</f>
        <v/>
      </c>
      <c r="F87" s="10">
        <f>IF($A87="","",Ремонты!T14)</f>
        <v/>
      </c>
      <c r="G87" s="10">
        <f>IF($A87="","","Автозапись из листа Ремонты")</f>
        <v/>
      </c>
    </row>
    <row r="88">
      <c r="A88" s="12">
        <f>IF(Ремонты!J14="","",Ремонты!J14)</f>
        <v/>
      </c>
      <c r="B88" s="10">
        <f>IF($A88="","",Ремонты!A14)</f>
        <v/>
      </c>
      <c r="C88" s="10">
        <f>IF($A88="","",Ремонты!D14)</f>
        <v/>
      </c>
      <c r="D88" s="10">
        <f>IF($A88="","",Ремонты!E14)</f>
        <v/>
      </c>
      <c r="E88" s="10">
        <f>IF($A88="","","Отправка из Иркутска")</f>
        <v/>
      </c>
      <c r="F88" s="10">
        <f>IF($A88="","",Ремонты!T14)</f>
        <v/>
      </c>
      <c r="G88" s="10">
        <f>IF($A88="","","Автозапись из листа Ремонты")</f>
        <v/>
      </c>
    </row>
    <row r="89">
      <c r="A89" s="12">
        <f>IF(Ремонты!K14="","",Ремонты!K14)</f>
        <v/>
      </c>
      <c r="B89" s="10">
        <f>IF($A89="","",Ремонты!A14)</f>
        <v/>
      </c>
      <c r="C89" s="10">
        <f>IF($A89="","",Ремонты!D14)</f>
        <v/>
      </c>
      <c r="D89" s="10">
        <f>IF($A89="","",Ремонты!E14)</f>
        <v/>
      </c>
      <c r="E89" s="10">
        <f>IF($A89="","","Прибытие в Ленск")</f>
        <v/>
      </c>
      <c r="F89" s="10">
        <f>IF($A89="","",Ремонты!T14)</f>
        <v/>
      </c>
      <c r="G89" s="10">
        <f>IF($A89="","","Автозапись из листа Ремонты")</f>
        <v/>
      </c>
    </row>
    <row r="90">
      <c r="A90" s="12">
        <f>IF(Ремонты!M14="","",Ремонты!M14)</f>
        <v/>
      </c>
      <c r="B90" s="10">
        <f>IF($A90="","",Ремонты!A14)</f>
        <v/>
      </c>
      <c r="C90" s="10">
        <f>IF($A90="","",Ремонты!D14)</f>
        <v/>
      </c>
      <c r="D90" s="10">
        <f>IF($A90="","",Ремонты!E14)</f>
        <v/>
      </c>
      <c r="E90" s="10">
        <f>IF($A90="","","Фактическое получение")</f>
        <v/>
      </c>
      <c r="F90" s="10">
        <f>IF($A90="","",Ремонты!T14)</f>
        <v/>
      </c>
      <c r="G90" s="10">
        <f>IF($A90="","","Автозапись из листа Ремонты")</f>
        <v/>
      </c>
    </row>
    <row r="91">
      <c r="A91" s="12">
        <f>IF(Ремонты!P14="","",Ремонты!P14)</f>
        <v/>
      </c>
      <c r="B91" s="10">
        <f>IF($A91="","",Ремонты!A14)</f>
        <v/>
      </c>
      <c r="C91" s="10">
        <f>IF($A91="","",Ремонты!D14)</f>
        <v/>
      </c>
      <c r="D91" s="10">
        <f>IF($A91="","",Ремонты!E14)</f>
        <v/>
      </c>
      <c r="E91" s="10">
        <f>IF($A91="","","Входной контроль")</f>
        <v/>
      </c>
      <c r="F91" s="10">
        <f>IF($A91="","",Ремонты!T14)</f>
        <v/>
      </c>
      <c r="G91" s="10">
        <f>IF($A91="","","Автозапись из листа Ремонты")</f>
        <v/>
      </c>
    </row>
    <row r="92">
      <c r="A92" s="12">
        <f>IF(Ремонты!S14="","",Ремонты!S14)</f>
        <v/>
      </c>
      <c r="B92" s="10">
        <f>IF($A92="","",Ремонты!A14)</f>
        <v/>
      </c>
      <c r="C92" s="10">
        <f>IF($A92="","",Ремонты!D14)</f>
        <v/>
      </c>
      <c r="D92" s="10">
        <f>IF($A92="","",Ремонты!E14)</f>
        <v/>
      </c>
      <c r="E92" s="10">
        <f>IF($A92="","","Оплата")</f>
        <v/>
      </c>
      <c r="F92" s="10">
        <f>IF($A92="","",Ремонты!T14)</f>
        <v/>
      </c>
      <c r="G92" s="10">
        <f>IF($A92="","","Автозапись из листа Ремонты")</f>
        <v/>
      </c>
    </row>
    <row r="93">
      <c r="A93" s="12">
        <f>IF(Ремонты!G15="","",Ремонты!G15)</f>
        <v/>
      </c>
      <c r="B93" s="10">
        <f>IF($A93="","",Ремонты!A15)</f>
        <v/>
      </c>
      <c r="C93" s="10">
        <f>IF($A93="","",Ремонты!D15)</f>
        <v/>
      </c>
      <c r="D93" s="10">
        <f>IF($A93="","",Ремонты!E15)</f>
        <v/>
      </c>
      <c r="E93" s="10">
        <f>IF($A93="","","Отправка в ремонт")</f>
        <v/>
      </c>
      <c r="F93" s="10">
        <f>IF($A93="","",Ремонты!T15)</f>
        <v/>
      </c>
      <c r="G93" s="10">
        <f>IF($A93="","","Автозапись из листа Ремонты")</f>
        <v/>
      </c>
    </row>
    <row r="94">
      <c r="A94" s="12">
        <f>IF(Ремонты!I15="","",Ремонты!I15)</f>
        <v/>
      </c>
      <c r="B94" s="10">
        <f>IF($A94="","",Ремонты!A15)</f>
        <v/>
      </c>
      <c r="C94" s="10">
        <f>IF($A94="","",Ремонты!D15)</f>
        <v/>
      </c>
      <c r="D94" s="10">
        <f>IF($A94="","",Ремонты!E15)</f>
        <v/>
      </c>
      <c r="E94" s="10">
        <f>IF($A94="","","Отправка из ремонта")</f>
        <v/>
      </c>
      <c r="F94" s="10">
        <f>IF($A94="","",Ремонты!T15)</f>
        <v/>
      </c>
      <c r="G94" s="10">
        <f>IF($A94="","","Автозапись из листа Ремонты")</f>
        <v/>
      </c>
    </row>
    <row r="95">
      <c r="A95" s="12">
        <f>IF(Ремонты!J15="","",Ремонты!J15)</f>
        <v/>
      </c>
      <c r="B95" s="10">
        <f>IF($A95="","",Ремонты!A15)</f>
        <v/>
      </c>
      <c r="C95" s="10">
        <f>IF($A95="","",Ремонты!D15)</f>
        <v/>
      </c>
      <c r="D95" s="10">
        <f>IF($A95="","",Ремонты!E15)</f>
        <v/>
      </c>
      <c r="E95" s="10">
        <f>IF($A95="","","Отправка из Иркутска")</f>
        <v/>
      </c>
      <c r="F95" s="10">
        <f>IF($A95="","",Ремонты!T15)</f>
        <v/>
      </c>
      <c r="G95" s="10">
        <f>IF($A95="","","Автозапись из листа Ремонты")</f>
        <v/>
      </c>
    </row>
    <row r="96">
      <c r="A96" s="12">
        <f>IF(Ремонты!K15="","",Ремонты!K15)</f>
        <v/>
      </c>
      <c r="B96" s="10">
        <f>IF($A96="","",Ремонты!A15)</f>
        <v/>
      </c>
      <c r="C96" s="10">
        <f>IF($A96="","",Ремонты!D15)</f>
        <v/>
      </c>
      <c r="D96" s="10">
        <f>IF($A96="","",Ремонты!E15)</f>
        <v/>
      </c>
      <c r="E96" s="10">
        <f>IF($A96="","","Прибытие в Ленск")</f>
        <v/>
      </c>
      <c r="F96" s="10">
        <f>IF($A96="","",Ремонты!T15)</f>
        <v/>
      </c>
      <c r="G96" s="10">
        <f>IF($A96="","","Автозапись из листа Ремонты")</f>
        <v/>
      </c>
    </row>
    <row r="97">
      <c r="A97" s="12">
        <f>IF(Ремонты!M15="","",Ремонты!M15)</f>
        <v/>
      </c>
      <c r="B97" s="10">
        <f>IF($A97="","",Ремонты!A15)</f>
        <v/>
      </c>
      <c r="C97" s="10">
        <f>IF($A97="","",Ремонты!D15)</f>
        <v/>
      </c>
      <c r="D97" s="10">
        <f>IF($A97="","",Ремонты!E15)</f>
        <v/>
      </c>
      <c r="E97" s="10">
        <f>IF($A97="","","Фактическое получение")</f>
        <v/>
      </c>
      <c r="F97" s="10">
        <f>IF($A97="","",Ремонты!T15)</f>
        <v/>
      </c>
      <c r="G97" s="10">
        <f>IF($A97="","","Автозапись из листа Ремонты")</f>
        <v/>
      </c>
    </row>
    <row r="98">
      <c r="A98" s="12">
        <f>IF(Ремонты!P15="","",Ремонты!P15)</f>
        <v/>
      </c>
      <c r="B98" s="10">
        <f>IF($A98="","",Ремонты!A15)</f>
        <v/>
      </c>
      <c r="C98" s="10">
        <f>IF($A98="","",Ремонты!D15)</f>
        <v/>
      </c>
      <c r="D98" s="10">
        <f>IF($A98="","",Ремонты!E15)</f>
        <v/>
      </c>
      <c r="E98" s="10">
        <f>IF($A98="","","Входной контроль")</f>
        <v/>
      </c>
      <c r="F98" s="10">
        <f>IF($A98="","",Ремонты!T15)</f>
        <v/>
      </c>
      <c r="G98" s="10">
        <f>IF($A98="","","Автозапись из листа Ремонты")</f>
        <v/>
      </c>
    </row>
    <row r="99">
      <c r="A99" s="12">
        <f>IF(Ремонты!S15="","",Ремонты!S15)</f>
        <v/>
      </c>
      <c r="B99" s="10">
        <f>IF($A99="","",Ремонты!A15)</f>
        <v/>
      </c>
      <c r="C99" s="10">
        <f>IF($A99="","",Ремонты!D15)</f>
        <v/>
      </c>
      <c r="D99" s="10">
        <f>IF($A99="","",Ремонты!E15)</f>
        <v/>
      </c>
      <c r="E99" s="10">
        <f>IF($A99="","","Оплата")</f>
        <v/>
      </c>
      <c r="F99" s="10">
        <f>IF($A99="","",Ремонты!T15)</f>
        <v/>
      </c>
      <c r="G99" s="10">
        <f>IF($A99="","","Автозапись из листа Ремонты")</f>
        <v/>
      </c>
    </row>
    <row r="100">
      <c r="A100" s="12">
        <f>IF(Ремонты!G16="","",Ремонты!G16)</f>
        <v/>
      </c>
      <c r="B100" s="10">
        <f>IF($A100="","",Ремонты!A16)</f>
        <v/>
      </c>
      <c r="C100" s="10">
        <f>IF($A100="","",Ремонты!D16)</f>
        <v/>
      </c>
      <c r="D100" s="10">
        <f>IF($A100="","",Ремонты!E16)</f>
        <v/>
      </c>
      <c r="E100" s="10">
        <f>IF($A100="","","Отправка в ремонт")</f>
        <v/>
      </c>
      <c r="F100" s="10">
        <f>IF($A100="","",Ремонты!T16)</f>
        <v/>
      </c>
      <c r="G100" s="10">
        <f>IF($A100="","","Автозапись из листа Ремонты")</f>
        <v/>
      </c>
    </row>
    <row r="101">
      <c r="A101" s="12">
        <f>IF(Ремонты!I16="","",Ремонты!I16)</f>
        <v/>
      </c>
      <c r="B101" s="10">
        <f>IF($A101="","",Ремонты!A16)</f>
        <v/>
      </c>
      <c r="C101" s="10">
        <f>IF($A101="","",Ремонты!D16)</f>
        <v/>
      </c>
      <c r="D101" s="10">
        <f>IF($A101="","",Ремонты!E16)</f>
        <v/>
      </c>
      <c r="E101" s="10">
        <f>IF($A101="","","Отправка из ремонта")</f>
        <v/>
      </c>
      <c r="F101" s="10">
        <f>IF($A101="","",Ремонты!T16)</f>
        <v/>
      </c>
      <c r="G101" s="10">
        <f>IF($A101="","","Автозапись из листа Ремонты")</f>
        <v/>
      </c>
    </row>
    <row r="102">
      <c r="A102" s="12">
        <f>IF(Ремонты!J16="","",Ремонты!J16)</f>
        <v/>
      </c>
      <c r="B102" s="10">
        <f>IF($A102="","",Ремонты!A16)</f>
        <v/>
      </c>
      <c r="C102" s="10">
        <f>IF($A102="","",Ремонты!D16)</f>
        <v/>
      </c>
      <c r="D102" s="10">
        <f>IF($A102="","",Ремонты!E16)</f>
        <v/>
      </c>
      <c r="E102" s="10">
        <f>IF($A102="","","Отправка из Иркутска")</f>
        <v/>
      </c>
      <c r="F102" s="10">
        <f>IF($A102="","",Ремонты!T16)</f>
        <v/>
      </c>
      <c r="G102" s="10">
        <f>IF($A102="","","Автозапись из листа Ремонты")</f>
        <v/>
      </c>
    </row>
    <row r="103">
      <c r="A103" s="12">
        <f>IF(Ремонты!K16="","",Ремонты!K16)</f>
        <v/>
      </c>
      <c r="B103" s="10">
        <f>IF($A103="","",Ремонты!A16)</f>
        <v/>
      </c>
      <c r="C103" s="10">
        <f>IF($A103="","",Ремонты!D16)</f>
        <v/>
      </c>
      <c r="D103" s="10">
        <f>IF($A103="","",Ремонты!E16)</f>
        <v/>
      </c>
      <c r="E103" s="10">
        <f>IF($A103="","","Прибытие в Ленск")</f>
        <v/>
      </c>
      <c r="F103" s="10">
        <f>IF($A103="","",Ремонты!T16)</f>
        <v/>
      </c>
      <c r="G103" s="10">
        <f>IF($A103="","","Автозапись из листа Ремонты")</f>
        <v/>
      </c>
    </row>
    <row r="104">
      <c r="A104" s="12">
        <f>IF(Ремонты!M16="","",Ремонты!M16)</f>
        <v/>
      </c>
      <c r="B104" s="10">
        <f>IF($A104="","",Ремонты!A16)</f>
        <v/>
      </c>
      <c r="C104" s="10">
        <f>IF($A104="","",Ремонты!D16)</f>
        <v/>
      </c>
      <c r="D104" s="10">
        <f>IF($A104="","",Ремонты!E16)</f>
        <v/>
      </c>
      <c r="E104" s="10">
        <f>IF($A104="","","Фактическое получение")</f>
        <v/>
      </c>
      <c r="F104" s="10">
        <f>IF($A104="","",Ремонты!T16)</f>
        <v/>
      </c>
      <c r="G104" s="10">
        <f>IF($A104="","","Автозапись из листа Ремонты")</f>
        <v/>
      </c>
    </row>
    <row r="105">
      <c r="A105" s="12">
        <f>IF(Ремонты!P16="","",Ремонты!P16)</f>
        <v/>
      </c>
      <c r="B105" s="10">
        <f>IF($A105="","",Ремонты!A16)</f>
        <v/>
      </c>
      <c r="C105" s="10">
        <f>IF($A105="","",Ремонты!D16)</f>
        <v/>
      </c>
      <c r="D105" s="10">
        <f>IF($A105="","",Ремонты!E16)</f>
        <v/>
      </c>
      <c r="E105" s="10">
        <f>IF($A105="","","Входной контроль")</f>
        <v/>
      </c>
      <c r="F105" s="10">
        <f>IF($A105="","",Ремонты!T16)</f>
        <v/>
      </c>
      <c r="G105" s="10">
        <f>IF($A105="","","Автозапись из листа Ремонты")</f>
        <v/>
      </c>
    </row>
    <row r="106">
      <c r="A106" s="12">
        <f>IF(Ремонты!S16="","",Ремонты!S16)</f>
        <v/>
      </c>
      <c r="B106" s="10">
        <f>IF($A106="","",Ремонты!A16)</f>
        <v/>
      </c>
      <c r="C106" s="10">
        <f>IF($A106="","",Ремонты!D16)</f>
        <v/>
      </c>
      <c r="D106" s="10">
        <f>IF($A106="","",Ремонты!E16)</f>
        <v/>
      </c>
      <c r="E106" s="10">
        <f>IF($A106="","","Оплата")</f>
        <v/>
      </c>
      <c r="F106" s="10">
        <f>IF($A106="","",Ремонты!T16)</f>
        <v/>
      </c>
      <c r="G106" s="10">
        <f>IF($A106="","","Автозапись из листа Ремонты")</f>
        <v/>
      </c>
    </row>
    <row r="107">
      <c r="A107" s="12">
        <f>IF(Ремонты!G17="","",Ремонты!G17)</f>
        <v/>
      </c>
      <c r="B107" s="10">
        <f>IF($A107="","",Ремонты!A17)</f>
        <v/>
      </c>
      <c r="C107" s="10">
        <f>IF($A107="","",Ремонты!D17)</f>
        <v/>
      </c>
      <c r="D107" s="10">
        <f>IF($A107="","",Ремонты!E17)</f>
        <v/>
      </c>
      <c r="E107" s="10">
        <f>IF($A107="","","Отправка в ремонт")</f>
        <v/>
      </c>
      <c r="F107" s="10">
        <f>IF($A107="","",Ремонты!T17)</f>
        <v/>
      </c>
      <c r="G107" s="10">
        <f>IF($A107="","","Автозапись из листа Ремонты")</f>
        <v/>
      </c>
    </row>
    <row r="108">
      <c r="A108" s="12">
        <f>IF(Ремонты!I17="","",Ремонты!I17)</f>
        <v/>
      </c>
      <c r="B108" s="10">
        <f>IF($A108="","",Ремонты!A17)</f>
        <v/>
      </c>
      <c r="C108" s="10">
        <f>IF($A108="","",Ремонты!D17)</f>
        <v/>
      </c>
      <c r="D108" s="10">
        <f>IF($A108="","",Ремонты!E17)</f>
        <v/>
      </c>
      <c r="E108" s="10">
        <f>IF($A108="","","Отправка из ремонта")</f>
        <v/>
      </c>
      <c r="F108" s="10">
        <f>IF($A108="","",Ремонты!T17)</f>
        <v/>
      </c>
      <c r="G108" s="10">
        <f>IF($A108="","","Автозапись из листа Ремонты")</f>
        <v/>
      </c>
    </row>
    <row r="109">
      <c r="A109" s="12">
        <f>IF(Ремонты!J17="","",Ремонты!J17)</f>
        <v/>
      </c>
      <c r="B109" s="10">
        <f>IF($A109="","",Ремонты!A17)</f>
        <v/>
      </c>
      <c r="C109" s="10">
        <f>IF($A109="","",Ремонты!D17)</f>
        <v/>
      </c>
      <c r="D109" s="10">
        <f>IF($A109="","",Ремонты!E17)</f>
        <v/>
      </c>
      <c r="E109" s="10">
        <f>IF($A109="","","Отправка из Иркутска")</f>
        <v/>
      </c>
      <c r="F109" s="10">
        <f>IF($A109="","",Ремонты!T17)</f>
        <v/>
      </c>
      <c r="G109" s="10">
        <f>IF($A109="","","Автозапись из листа Ремонты")</f>
        <v/>
      </c>
    </row>
    <row r="110">
      <c r="A110" s="12">
        <f>IF(Ремонты!K17="","",Ремонты!K17)</f>
        <v/>
      </c>
      <c r="B110" s="10">
        <f>IF($A110="","",Ремонты!A17)</f>
        <v/>
      </c>
      <c r="C110" s="10">
        <f>IF($A110="","",Ремонты!D17)</f>
        <v/>
      </c>
      <c r="D110" s="10">
        <f>IF($A110="","",Ремонты!E17)</f>
        <v/>
      </c>
      <c r="E110" s="10">
        <f>IF($A110="","","Прибытие в Ленск")</f>
        <v/>
      </c>
      <c r="F110" s="10">
        <f>IF($A110="","",Ремонты!T17)</f>
        <v/>
      </c>
      <c r="G110" s="10">
        <f>IF($A110="","","Автозапись из листа Ремонты")</f>
        <v/>
      </c>
    </row>
    <row r="111">
      <c r="A111" s="12">
        <f>IF(Ремонты!M17="","",Ремонты!M17)</f>
        <v/>
      </c>
      <c r="B111" s="10">
        <f>IF($A111="","",Ремонты!A17)</f>
        <v/>
      </c>
      <c r="C111" s="10">
        <f>IF($A111="","",Ремонты!D17)</f>
        <v/>
      </c>
      <c r="D111" s="10">
        <f>IF($A111="","",Ремонты!E17)</f>
        <v/>
      </c>
      <c r="E111" s="10">
        <f>IF($A111="","","Фактическое получение")</f>
        <v/>
      </c>
      <c r="F111" s="10">
        <f>IF($A111="","",Ремонты!T17)</f>
        <v/>
      </c>
      <c r="G111" s="10">
        <f>IF($A111="","","Автозапись из листа Ремонты")</f>
        <v/>
      </c>
    </row>
    <row r="112">
      <c r="A112" s="12">
        <f>IF(Ремонты!P17="","",Ремонты!P17)</f>
        <v/>
      </c>
      <c r="B112" s="10">
        <f>IF($A112="","",Ремонты!A17)</f>
        <v/>
      </c>
      <c r="C112" s="10">
        <f>IF($A112="","",Ремонты!D17)</f>
        <v/>
      </c>
      <c r="D112" s="10">
        <f>IF($A112="","",Ремонты!E17)</f>
        <v/>
      </c>
      <c r="E112" s="10">
        <f>IF($A112="","","Входной контроль")</f>
        <v/>
      </c>
      <c r="F112" s="10">
        <f>IF($A112="","",Ремонты!T17)</f>
        <v/>
      </c>
      <c r="G112" s="10">
        <f>IF($A112="","","Автозапись из листа Ремонты")</f>
        <v/>
      </c>
    </row>
    <row r="113">
      <c r="A113" s="12">
        <f>IF(Ремонты!S17="","",Ремонты!S17)</f>
        <v/>
      </c>
      <c r="B113" s="10">
        <f>IF($A113="","",Ремонты!A17)</f>
        <v/>
      </c>
      <c r="C113" s="10">
        <f>IF($A113="","",Ремонты!D17)</f>
        <v/>
      </c>
      <c r="D113" s="10">
        <f>IF($A113="","",Ремонты!E17)</f>
        <v/>
      </c>
      <c r="E113" s="10">
        <f>IF($A113="","","Оплата")</f>
        <v/>
      </c>
      <c r="F113" s="10">
        <f>IF($A113="","",Ремонты!T17)</f>
        <v/>
      </c>
      <c r="G113" s="10">
        <f>IF($A113="","","Автозапись из листа Ремонты")</f>
        <v/>
      </c>
    </row>
    <row r="114">
      <c r="A114" s="12">
        <f>IF(Ремонты!G18="","",Ремонты!G18)</f>
        <v/>
      </c>
      <c r="B114" s="10">
        <f>IF($A114="","",Ремонты!A18)</f>
        <v/>
      </c>
      <c r="C114" s="10">
        <f>IF($A114="","",Ремонты!D18)</f>
        <v/>
      </c>
      <c r="D114" s="10">
        <f>IF($A114="","",Ремонты!E18)</f>
        <v/>
      </c>
      <c r="E114" s="10">
        <f>IF($A114="","","Отправка в ремонт")</f>
        <v/>
      </c>
      <c r="F114" s="10">
        <f>IF($A114="","",Ремонты!T18)</f>
        <v/>
      </c>
      <c r="G114" s="10">
        <f>IF($A114="","","Автозапись из листа Ремонты")</f>
        <v/>
      </c>
    </row>
    <row r="115">
      <c r="A115" s="12">
        <f>IF(Ремонты!I18="","",Ремонты!I18)</f>
        <v/>
      </c>
      <c r="B115" s="10">
        <f>IF($A115="","",Ремонты!A18)</f>
        <v/>
      </c>
      <c r="C115" s="10">
        <f>IF($A115="","",Ремонты!D18)</f>
        <v/>
      </c>
      <c r="D115" s="10">
        <f>IF($A115="","",Ремонты!E18)</f>
        <v/>
      </c>
      <c r="E115" s="10">
        <f>IF($A115="","","Отправка из ремонта")</f>
        <v/>
      </c>
      <c r="F115" s="10">
        <f>IF($A115="","",Ремонты!T18)</f>
        <v/>
      </c>
      <c r="G115" s="10">
        <f>IF($A115="","","Автозапись из листа Ремонты")</f>
        <v/>
      </c>
    </row>
    <row r="116">
      <c r="A116" s="12">
        <f>IF(Ремонты!J18="","",Ремонты!J18)</f>
        <v/>
      </c>
      <c r="B116" s="10">
        <f>IF($A116="","",Ремонты!A18)</f>
        <v/>
      </c>
      <c r="C116" s="10">
        <f>IF($A116="","",Ремонты!D18)</f>
        <v/>
      </c>
      <c r="D116" s="10">
        <f>IF($A116="","",Ремонты!E18)</f>
        <v/>
      </c>
      <c r="E116" s="10">
        <f>IF($A116="","","Отправка из Иркутска")</f>
        <v/>
      </c>
      <c r="F116" s="10">
        <f>IF($A116="","",Ремонты!T18)</f>
        <v/>
      </c>
      <c r="G116" s="10">
        <f>IF($A116="","","Автозапись из листа Ремонты")</f>
        <v/>
      </c>
    </row>
    <row r="117">
      <c r="A117" s="12">
        <f>IF(Ремонты!K18="","",Ремонты!K18)</f>
        <v/>
      </c>
      <c r="B117" s="10">
        <f>IF($A117="","",Ремонты!A18)</f>
        <v/>
      </c>
      <c r="C117" s="10">
        <f>IF($A117="","",Ремонты!D18)</f>
        <v/>
      </c>
      <c r="D117" s="10">
        <f>IF($A117="","",Ремонты!E18)</f>
        <v/>
      </c>
      <c r="E117" s="10">
        <f>IF($A117="","","Прибытие в Ленск")</f>
        <v/>
      </c>
      <c r="F117" s="10">
        <f>IF($A117="","",Ремонты!T18)</f>
        <v/>
      </c>
      <c r="G117" s="10">
        <f>IF($A117="","","Автозапись из листа Ремонты")</f>
        <v/>
      </c>
    </row>
    <row r="118">
      <c r="A118" s="12">
        <f>IF(Ремонты!M18="","",Ремонты!M18)</f>
        <v/>
      </c>
      <c r="B118" s="10">
        <f>IF($A118="","",Ремонты!A18)</f>
        <v/>
      </c>
      <c r="C118" s="10">
        <f>IF($A118="","",Ремонты!D18)</f>
        <v/>
      </c>
      <c r="D118" s="10">
        <f>IF($A118="","",Ремонты!E18)</f>
        <v/>
      </c>
      <c r="E118" s="10">
        <f>IF($A118="","","Фактическое получение")</f>
        <v/>
      </c>
      <c r="F118" s="10">
        <f>IF($A118="","",Ремонты!T18)</f>
        <v/>
      </c>
      <c r="G118" s="10">
        <f>IF($A118="","","Автозапись из листа Ремонты")</f>
        <v/>
      </c>
    </row>
    <row r="119">
      <c r="A119" s="12">
        <f>IF(Ремонты!P18="","",Ремонты!P18)</f>
        <v/>
      </c>
      <c r="B119" s="10">
        <f>IF($A119="","",Ремонты!A18)</f>
        <v/>
      </c>
      <c r="C119" s="10">
        <f>IF($A119="","",Ремонты!D18)</f>
        <v/>
      </c>
      <c r="D119" s="10">
        <f>IF($A119="","",Ремонты!E18)</f>
        <v/>
      </c>
      <c r="E119" s="10">
        <f>IF($A119="","","Входной контроль")</f>
        <v/>
      </c>
      <c r="F119" s="10">
        <f>IF($A119="","",Ремонты!T18)</f>
        <v/>
      </c>
      <c r="G119" s="10">
        <f>IF($A119="","","Автозапись из листа Ремонты")</f>
        <v/>
      </c>
    </row>
    <row r="120">
      <c r="A120" s="12">
        <f>IF(Ремонты!S18="","",Ремонты!S18)</f>
        <v/>
      </c>
      <c r="B120" s="10">
        <f>IF($A120="","",Ремонты!A18)</f>
        <v/>
      </c>
      <c r="C120" s="10">
        <f>IF($A120="","",Ремонты!D18)</f>
        <v/>
      </c>
      <c r="D120" s="10">
        <f>IF($A120="","",Ремонты!E18)</f>
        <v/>
      </c>
      <c r="E120" s="10">
        <f>IF($A120="","","Оплата")</f>
        <v/>
      </c>
      <c r="F120" s="10">
        <f>IF($A120="","",Ремонты!T18)</f>
        <v/>
      </c>
      <c r="G120" s="10">
        <f>IF($A120="","","Автозапись из листа Ремонты")</f>
        <v/>
      </c>
    </row>
    <row r="121">
      <c r="A121" s="12">
        <f>IF(Ремонты!G19="","",Ремонты!G19)</f>
        <v/>
      </c>
      <c r="B121" s="10">
        <f>IF($A121="","",Ремонты!A19)</f>
        <v/>
      </c>
      <c r="C121" s="10">
        <f>IF($A121="","",Ремонты!D19)</f>
        <v/>
      </c>
      <c r="D121" s="10">
        <f>IF($A121="","",Ремонты!E19)</f>
        <v/>
      </c>
      <c r="E121" s="10">
        <f>IF($A121="","","Отправка в ремонт")</f>
        <v/>
      </c>
      <c r="F121" s="10">
        <f>IF($A121="","",Ремонты!T19)</f>
        <v/>
      </c>
      <c r="G121" s="10">
        <f>IF($A121="","","Автозапись из листа Ремонты")</f>
        <v/>
      </c>
    </row>
    <row r="122">
      <c r="A122" s="12">
        <f>IF(Ремонты!I19="","",Ремонты!I19)</f>
        <v/>
      </c>
      <c r="B122" s="10">
        <f>IF($A122="","",Ремонты!A19)</f>
        <v/>
      </c>
      <c r="C122" s="10">
        <f>IF($A122="","",Ремонты!D19)</f>
        <v/>
      </c>
      <c r="D122" s="10">
        <f>IF($A122="","",Ремонты!E19)</f>
        <v/>
      </c>
      <c r="E122" s="10">
        <f>IF($A122="","","Отправка из ремонта")</f>
        <v/>
      </c>
      <c r="F122" s="10">
        <f>IF($A122="","",Ремонты!T19)</f>
        <v/>
      </c>
      <c r="G122" s="10">
        <f>IF($A122="","","Автозапись из листа Ремонты")</f>
        <v/>
      </c>
    </row>
    <row r="123">
      <c r="A123" s="12">
        <f>IF(Ремонты!J19="","",Ремонты!J19)</f>
        <v/>
      </c>
      <c r="B123" s="10">
        <f>IF($A123="","",Ремонты!A19)</f>
        <v/>
      </c>
      <c r="C123" s="10">
        <f>IF($A123="","",Ремонты!D19)</f>
        <v/>
      </c>
      <c r="D123" s="10">
        <f>IF($A123="","",Ремонты!E19)</f>
        <v/>
      </c>
      <c r="E123" s="10">
        <f>IF($A123="","","Отправка из Иркутска")</f>
        <v/>
      </c>
      <c r="F123" s="10">
        <f>IF($A123="","",Ремонты!T19)</f>
        <v/>
      </c>
      <c r="G123" s="10">
        <f>IF($A123="","","Автозапись из листа Ремонты")</f>
        <v/>
      </c>
    </row>
    <row r="124">
      <c r="A124" s="12">
        <f>IF(Ремонты!K19="","",Ремонты!K19)</f>
        <v/>
      </c>
      <c r="B124" s="10">
        <f>IF($A124="","",Ремонты!A19)</f>
        <v/>
      </c>
      <c r="C124" s="10">
        <f>IF($A124="","",Ремонты!D19)</f>
        <v/>
      </c>
      <c r="D124" s="10">
        <f>IF($A124="","",Ремонты!E19)</f>
        <v/>
      </c>
      <c r="E124" s="10">
        <f>IF($A124="","","Прибытие в Ленск")</f>
        <v/>
      </c>
      <c r="F124" s="10">
        <f>IF($A124="","",Ремонты!T19)</f>
        <v/>
      </c>
      <c r="G124" s="10">
        <f>IF($A124="","","Автозапись из листа Ремонты")</f>
        <v/>
      </c>
    </row>
    <row r="125">
      <c r="A125" s="12">
        <f>IF(Ремонты!M19="","",Ремонты!M19)</f>
        <v/>
      </c>
      <c r="B125" s="10">
        <f>IF($A125="","",Ремонты!A19)</f>
        <v/>
      </c>
      <c r="C125" s="10">
        <f>IF($A125="","",Ремонты!D19)</f>
        <v/>
      </c>
      <c r="D125" s="10">
        <f>IF($A125="","",Ремонты!E19)</f>
        <v/>
      </c>
      <c r="E125" s="10">
        <f>IF($A125="","","Фактическое получение")</f>
        <v/>
      </c>
      <c r="F125" s="10">
        <f>IF($A125="","",Ремонты!T19)</f>
        <v/>
      </c>
      <c r="G125" s="10">
        <f>IF($A125="","","Автозапись из листа Ремонты")</f>
        <v/>
      </c>
    </row>
    <row r="126">
      <c r="A126" s="12">
        <f>IF(Ремонты!P19="","",Ремонты!P19)</f>
        <v/>
      </c>
      <c r="B126" s="10">
        <f>IF($A126="","",Ремонты!A19)</f>
        <v/>
      </c>
      <c r="C126" s="10">
        <f>IF($A126="","",Ремонты!D19)</f>
        <v/>
      </c>
      <c r="D126" s="10">
        <f>IF($A126="","",Ремонты!E19)</f>
        <v/>
      </c>
      <c r="E126" s="10">
        <f>IF($A126="","","Входной контроль")</f>
        <v/>
      </c>
      <c r="F126" s="10">
        <f>IF($A126="","",Ремонты!T19)</f>
        <v/>
      </c>
      <c r="G126" s="10">
        <f>IF($A126="","","Автозапись из листа Ремонты")</f>
        <v/>
      </c>
    </row>
    <row r="127">
      <c r="A127" s="12">
        <f>IF(Ремонты!S19="","",Ремонты!S19)</f>
        <v/>
      </c>
      <c r="B127" s="10">
        <f>IF($A127="","",Ремонты!A19)</f>
        <v/>
      </c>
      <c r="C127" s="10">
        <f>IF($A127="","",Ремонты!D19)</f>
        <v/>
      </c>
      <c r="D127" s="10">
        <f>IF($A127="","",Ремонты!E19)</f>
        <v/>
      </c>
      <c r="E127" s="10">
        <f>IF($A127="","","Оплата")</f>
        <v/>
      </c>
      <c r="F127" s="10">
        <f>IF($A127="","",Ремонты!T19)</f>
        <v/>
      </c>
      <c r="G127" s="10">
        <f>IF($A127="","","Автозапись из листа Ремонты")</f>
        <v/>
      </c>
    </row>
    <row r="128">
      <c r="A128" s="12">
        <f>IF(Ремонты!G20="","",Ремонты!G20)</f>
        <v/>
      </c>
      <c r="B128" s="10">
        <f>IF($A128="","",Ремонты!A20)</f>
        <v/>
      </c>
      <c r="C128" s="10">
        <f>IF($A128="","",Ремонты!D20)</f>
        <v/>
      </c>
      <c r="D128" s="10">
        <f>IF($A128="","",Ремонты!E20)</f>
        <v/>
      </c>
      <c r="E128" s="10">
        <f>IF($A128="","","Отправка в ремонт")</f>
        <v/>
      </c>
      <c r="F128" s="10">
        <f>IF($A128="","",Ремонты!T20)</f>
        <v/>
      </c>
      <c r="G128" s="10">
        <f>IF($A128="","","Автозапись из листа Ремонты")</f>
        <v/>
      </c>
    </row>
    <row r="129">
      <c r="A129" s="12">
        <f>IF(Ремонты!I20="","",Ремонты!I20)</f>
        <v/>
      </c>
      <c r="B129" s="10">
        <f>IF($A129="","",Ремонты!A20)</f>
        <v/>
      </c>
      <c r="C129" s="10">
        <f>IF($A129="","",Ремонты!D20)</f>
        <v/>
      </c>
      <c r="D129" s="10">
        <f>IF($A129="","",Ремонты!E20)</f>
        <v/>
      </c>
      <c r="E129" s="10">
        <f>IF($A129="","","Отправка из ремонта")</f>
        <v/>
      </c>
      <c r="F129" s="10">
        <f>IF($A129="","",Ремонты!T20)</f>
        <v/>
      </c>
      <c r="G129" s="10">
        <f>IF($A129="","","Автозапись из листа Ремонты")</f>
        <v/>
      </c>
    </row>
    <row r="130">
      <c r="A130" s="12">
        <f>IF(Ремонты!J20="","",Ремонты!J20)</f>
        <v/>
      </c>
      <c r="B130" s="10">
        <f>IF($A130="","",Ремонты!A20)</f>
        <v/>
      </c>
      <c r="C130" s="10">
        <f>IF($A130="","",Ремонты!D20)</f>
        <v/>
      </c>
      <c r="D130" s="10">
        <f>IF($A130="","",Ремонты!E20)</f>
        <v/>
      </c>
      <c r="E130" s="10">
        <f>IF($A130="","","Отправка из Иркутска")</f>
        <v/>
      </c>
      <c r="F130" s="10">
        <f>IF($A130="","",Ремонты!T20)</f>
        <v/>
      </c>
      <c r="G130" s="10">
        <f>IF($A130="","","Автозапись из листа Ремонты")</f>
        <v/>
      </c>
    </row>
    <row r="131">
      <c r="A131" s="12">
        <f>IF(Ремонты!K20="","",Ремонты!K20)</f>
        <v/>
      </c>
      <c r="B131" s="10">
        <f>IF($A131="","",Ремонты!A20)</f>
        <v/>
      </c>
      <c r="C131" s="10">
        <f>IF($A131="","",Ремонты!D20)</f>
        <v/>
      </c>
      <c r="D131" s="10">
        <f>IF($A131="","",Ремонты!E20)</f>
        <v/>
      </c>
      <c r="E131" s="10">
        <f>IF($A131="","","Прибытие в Ленск")</f>
        <v/>
      </c>
      <c r="F131" s="10">
        <f>IF($A131="","",Ремонты!T20)</f>
        <v/>
      </c>
      <c r="G131" s="10">
        <f>IF($A131="","","Автозапись из листа Ремонты")</f>
        <v/>
      </c>
    </row>
    <row r="132">
      <c r="A132" s="12">
        <f>IF(Ремонты!M20="","",Ремонты!M20)</f>
        <v/>
      </c>
      <c r="B132" s="10">
        <f>IF($A132="","",Ремонты!A20)</f>
        <v/>
      </c>
      <c r="C132" s="10">
        <f>IF($A132="","",Ремонты!D20)</f>
        <v/>
      </c>
      <c r="D132" s="10">
        <f>IF($A132="","",Ремонты!E20)</f>
        <v/>
      </c>
      <c r="E132" s="10">
        <f>IF($A132="","","Фактическое получение")</f>
        <v/>
      </c>
      <c r="F132" s="10">
        <f>IF($A132="","",Ремонты!T20)</f>
        <v/>
      </c>
      <c r="G132" s="10">
        <f>IF($A132="","","Автозапись из листа Ремонты")</f>
        <v/>
      </c>
    </row>
    <row r="133">
      <c r="A133" s="12">
        <f>IF(Ремонты!P20="","",Ремонты!P20)</f>
        <v/>
      </c>
      <c r="B133" s="10">
        <f>IF($A133="","",Ремонты!A20)</f>
        <v/>
      </c>
      <c r="C133" s="10">
        <f>IF($A133="","",Ремонты!D20)</f>
        <v/>
      </c>
      <c r="D133" s="10">
        <f>IF($A133="","",Ремонты!E20)</f>
        <v/>
      </c>
      <c r="E133" s="10">
        <f>IF($A133="","","Входной контроль")</f>
        <v/>
      </c>
      <c r="F133" s="10">
        <f>IF($A133="","",Ремонты!T20)</f>
        <v/>
      </c>
      <c r="G133" s="10">
        <f>IF($A133="","","Автозапись из листа Ремонты")</f>
        <v/>
      </c>
    </row>
    <row r="134">
      <c r="A134" s="12">
        <f>IF(Ремонты!S20="","",Ремонты!S20)</f>
        <v/>
      </c>
      <c r="B134" s="10">
        <f>IF($A134="","",Ремонты!A20)</f>
        <v/>
      </c>
      <c r="C134" s="10">
        <f>IF($A134="","",Ремонты!D20)</f>
        <v/>
      </c>
      <c r="D134" s="10">
        <f>IF($A134="","",Ремонты!E20)</f>
        <v/>
      </c>
      <c r="E134" s="10">
        <f>IF($A134="","","Оплата")</f>
        <v/>
      </c>
      <c r="F134" s="10">
        <f>IF($A134="","",Ремонты!T20)</f>
        <v/>
      </c>
      <c r="G134" s="10">
        <f>IF($A134="","","Автозапись из листа Ремонты")</f>
        <v/>
      </c>
    </row>
    <row r="135">
      <c r="A135" s="12">
        <f>IF(Ремонты!G21="","",Ремонты!G21)</f>
        <v/>
      </c>
      <c r="B135" s="10">
        <f>IF($A135="","",Ремонты!A21)</f>
        <v/>
      </c>
      <c r="C135" s="10">
        <f>IF($A135="","",Ремонты!D21)</f>
        <v/>
      </c>
      <c r="D135" s="10">
        <f>IF($A135="","",Ремонты!E21)</f>
        <v/>
      </c>
      <c r="E135" s="10">
        <f>IF($A135="","","Отправка в ремонт")</f>
        <v/>
      </c>
      <c r="F135" s="10">
        <f>IF($A135="","",Ремонты!T21)</f>
        <v/>
      </c>
      <c r="G135" s="10">
        <f>IF($A135="","","Автозапись из листа Ремонты")</f>
        <v/>
      </c>
    </row>
    <row r="136">
      <c r="A136" s="12">
        <f>IF(Ремонты!I21="","",Ремонты!I21)</f>
        <v/>
      </c>
      <c r="B136" s="10">
        <f>IF($A136="","",Ремонты!A21)</f>
        <v/>
      </c>
      <c r="C136" s="10">
        <f>IF($A136="","",Ремонты!D21)</f>
        <v/>
      </c>
      <c r="D136" s="10">
        <f>IF($A136="","",Ремонты!E21)</f>
        <v/>
      </c>
      <c r="E136" s="10">
        <f>IF($A136="","","Отправка из ремонта")</f>
        <v/>
      </c>
      <c r="F136" s="10">
        <f>IF($A136="","",Ремонты!T21)</f>
        <v/>
      </c>
      <c r="G136" s="10">
        <f>IF($A136="","","Автозапись из листа Ремонты")</f>
        <v/>
      </c>
    </row>
    <row r="137">
      <c r="A137" s="12">
        <f>IF(Ремонты!J21="","",Ремонты!J21)</f>
        <v/>
      </c>
      <c r="B137" s="10">
        <f>IF($A137="","",Ремонты!A21)</f>
        <v/>
      </c>
      <c r="C137" s="10">
        <f>IF($A137="","",Ремонты!D21)</f>
        <v/>
      </c>
      <c r="D137" s="10">
        <f>IF($A137="","",Ремонты!E21)</f>
        <v/>
      </c>
      <c r="E137" s="10">
        <f>IF($A137="","","Отправка из Иркутска")</f>
        <v/>
      </c>
      <c r="F137" s="10">
        <f>IF($A137="","",Ремонты!T21)</f>
        <v/>
      </c>
      <c r="G137" s="10">
        <f>IF($A137="","","Автозапись из листа Ремонты")</f>
        <v/>
      </c>
    </row>
    <row r="138">
      <c r="A138" s="12">
        <f>IF(Ремонты!K21="","",Ремонты!K21)</f>
        <v/>
      </c>
      <c r="B138" s="10">
        <f>IF($A138="","",Ремонты!A21)</f>
        <v/>
      </c>
      <c r="C138" s="10">
        <f>IF($A138="","",Ремонты!D21)</f>
        <v/>
      </c>
      <c r="D138" s="10">
        <f>IF($A138="","",Ремонты!E21)</f>
        <v/>
      </c>
      <c r="E138" s="10">
        <f>IF($A138="","","Прибытие в Ленск")</f>
        <v/>
      </c>
      <c r="F138" s="10">
        <f>IF($A138="","",Ремонты!T21)</f>
        <v/>
      </c>
      <c r="G138" s="10">
        <f>IF($A138="","","Автозапись из листа Ремонты")</f>
        <v/>
      </c>
    </row>
    <row r="139">
      <c r="A139" s="12">
        <f>IF(Ремонты!M21="","",Ремонты!M21)</f>
        <v/>
      </c>
      <c r="B139" s="10">
        <f>IF($A139="","",Ремонты!A21)</f>
        <v/>
      </c>
      <c r="C139" s="10">
        <f>IF($A139="","",Ремонты!D21)</f>
        <v/>
      </c>
      <c r="D139" s="10">
        <f>IF($A139="","",Ремонты!E21)</f>
        <v/>
      </c>
      <c r="E139" s="10">
        <f>IF($A139="","","Фактическое получение")</f>
        <v/>
      </c>
      <c r="F139" s="10">
        <f>IF($A139="","",Ремонты!T21)</f>
        <v/>
      </c>
      <c r="G139" s="10">
        <f>IF($A139="","","Автозапись из листа Ремонты")</f>
        <v/>
      </c>
    </row>
    <row r="140">
      <c r="A140" s="12">
        <f>IF(Ремонты!P21="","",Ремонты!P21)</f>
        <v/>
      </c>
      <c r="B140" s="10">
        <f>IF($A140="","",Ремонты!A21)</f>
        <v/>
      </c>
      <c r="C140" s="10">
        <f>IF($A140="","",Ремонты!D21)</f>
        <v/>
      </c>
      <c r="D140" s="10">
        <f>IF($A140="","",Ремонты!E21)</f>
        <v/>
      </c>
      <c r="E140" s="10">
        <f>IF($A140="","","Входной контроль")</f>
        <v/>
      </c>
      <c r="F140" s="10">
        <f>IF($A140="","",Ремонты!T21)</f>
        <v/>
      </c>
      <c r="G140" s="10">
        <f>IF($A140="","","Автозапись из листа Ремонты")</f>
        <v/>
      </c>
    </row>
    <row r="141">
      <c r="A141" s="12">
        <f>IF(Ремонты!S21="","",Ремонты!S21)</f>
        <v/>
      </c>
      <c r="B141" s="10">
        <f>IF($A141="","",Ремонты!A21)</f>
        <v/>
      </c>
      <c r="C141" s="10">
        <f>IF($A141="","",Ремонты!D21)</f>
        <v/>
      </c>
      <c r="D141" s="10">
        <f>IF($A141="","",Ремонты!E21)</f>
        <v/>
      </c>
      <c r="E141" s="10">
        <f>IF($A141="","","Оплата")</f>
        <v/>
      </c>
      <c r="F141" s="10">
        <f>IF($A141="","",Ремонты!T21)</f>
        <v/>
      </c>
      <c r="G141" s="10">
        <f>IF($A141="","","Автозапись из листа Ремонты")</f>
        <v/>
      </c>
    </row>
    <row r="142">
      <c r="A142" s="12">
        <f>IF(Ремонты!G22="","",Ремонты!G22)</f>
        <v/>
      </c>
      <c r="B142" s="10">
        <f>IF($A142="","",Ремонты!A22)</f>
        <v/>
      </c>
      <c r="C142" s="10">
        <f>IF($A142="","",Ремонты!D22)</f>
        <v/>
      </c>
      <c r="D142" s="10">
        <f>IF($A142="","",Ремонты!E22)</f>
        <v/>
      </c>
      <c r="E142" s="10">
        <f>IF($A142="","","Отправка в ремонт")</f>
        <v/>
      </c>
      <c r="F142" s="10">
        <f>IF($A142="","",Ремонты!T22)</f>
        <v/>
      </c>
      <c r="G142" s="10">
        <f>IF($A142="","","Автозапись из листа Ремонты")</f>
        <v/>
      </c>
    </row>
    <row r="143">
      <c r="A143" s="12">
        <f>IF(Ремонты!I22="","",Ремонты!I22)</f>
        <v/>
      </c>
      <c r="B143" s="10">
        <f>IF($A143="","",Ремонты!A22)</f>
        <v/>
      </c>
      <c r="C143" s="10">
        <f>IF($A143="","",Ремонты!D22)</f>
        <v/>
      </c>
      <c r="D143" s="10">
        <f>IF($A143="","",Ремонты!E22)</f>
        <v/>
      </c>
      <c r="E143" s="10">
        <f>IF($A143="","","Отправка из ремонта")</f>
        <v/>
      </c>
      <c r="F143" s="10">
        <f>IF($A143="","",Ремонты!T22)</f>
        <v/>
      </c>
      <c r="G143" s="10">
        <f>IF($A143="","","Автозапись из листа Ремонты")</f>
        <v/>
      </c>
    </row>
    <row r="144">
      <c r="A144" s="12">
        <f>IF(Ремонты!J22="","",Ремонты!J22)</f>
        <v/>
      </c>
      <c r="B144" s="10">
        <f>IF($A144="","",Ремонты!A22)</f>
        <v/>
      </c>
      <c r="C144" s="10">
        <f>IF($A144="","",Ремонты!D22)</f>
        <v/>
      </c>
      <c r="D144" s="10">
        <f>IF($A144="","",Ремонты!E22)</f>
        <v/>
      </c>
      <c r="E144" s="10">
        <f>IF($A144="","","Отправка из Иркутска")</f>
        <v/>
      </c>
      <c r="F144" s="10">
        <f>IF($A144="","",Ремонты!T22)</f>
        <v/>
      </c>
      <c r="G144" s="10">
        <f>IF($A144="","","Автозапись из листа Ремонты")</f>
        <v/>
      </c>
    </row>
    <row r="145">
      <c r="A145" s="12">
        <f>IF(Ремонты!K22="","",Ремонты!K22)</f>
        <v/>
      </c>
      <c r="B145" s="10">
        <f>IF($A145="","",Ремонты!A22)</f>
        <v/>
      </c>
      <c r="C145" s="10">
        <f>IF($A145="","",Ремонты!D22)</f>
        <v/>
      </c>
      <c r="D145" s="10">
        <f>IF($A145="","",Ремонты!E22)</f>
        <v/>
      </c>
      <c r="E145" s="10">
        <f>IF($A145="","","Прибытие в Ленск")</f>
        <v/>
      </c>
      <c r="F145" s="10">
        <f>IF($A145="","",Ремонты!T22)</f>
        <v/>
      </c>
      <c r="G145" s="10">
        <f>IF($A145="","","Автозапись из листа Ремонты")</f>
        <v/>
      </c>
    </row>
    <row r="146">
      <c r="A146" s="12">
        <f>IF(Ремонты!M22="","",Ремонты!M22)</f>
        <v/>
      </c>
      <c r="B146" s="10">
        <f>IF($A146="","",Ремонты!A22)</f>
        <v/>
      </c>
      <c r="C146" s="10">
        <f>IF($A146="","",Ремонты!D22)</f>
        <v/>
      </c>
      <c r="D146" s="10">
        <f>IF($A146="","",Ремонты!E22)</f>
        <v/>
      </c>
      <c r="E146" s="10">
        <f>IF($A146="","","Фактическое получение")</f>
        <v/>
      </c>
      <c r="F146" s="10">
        <f>IF($A146="","",Ремонты!T22)</f>
        <v/>
      </c>
      <c r="G146" s="10">
        <f>IF($A146="","","Автозапись из листа Ремонты")</f>
        <v/>
      </c>
    </row>
    <row r="147">
      <c r="A147" s="12">
        <f>IF(Ремонты!P22="","",Ремонты!P22)</f>
        <v/>
      </c>
      <c r="B147" s="10">
        <f>IF($A147="","",Ремонты!A22)</f>
        <v/>
      </c>
      <c r="C147" s="10">
        <f>IF($A147="","",Ремонты!D22)</f>
        <v/>
      </c>
      <c r="D147" s="10">
        <f>IF($A147="","",Ремонты!E22)</f>
        <v/>
      </c>
      <c r="E147" s="10">
        <f>IF($A147="","","Входной контроль")</f>
        <v/>
      </c>
      <c r="F147" s="10">
        <f>IF($A147="","",Ремонты!T22)</f>
        <v/>
      </c>
      <c r="G147" s="10">
        <f>IF($A147="","","Автозапись из листа Ремонты")</f>
        <v/>
      </c>
    </row>
    <row r="148">
      <c r="A148" s="12">
        <f>IF(Ремонты!S22="","",Ремонты!S22)</f>
        <v/>
      </c>
      <c r="B148" s="10">
        <f>IF($A148="","",Ремонты!A22)</f>
        <v/>
      </c>
      <c r="C148" s="10">
        <f>IF($A148="","",Ремонты!D22)</f>
        <v/>
      </c>
      <c r="D148" s="10">
        <f>IF($A148="","",Ремонты!E22)</f>
        <v/>
      </c>
      <c r="E148" s="10">
        <f>IF($A148="","","Оплата")</f>
        <v/>
      </c>
      <c r="F148" s="10">
        <f>IF($A148="","",Ремонты!T22)</f>
        <v/>
      </c>
      <c r="G148" s="10">
        <f>IF($A148="","","Автозапись из листа Ремонты")</f>
        <v/>
      </c>
    </row>
    <row r="149">
      <c r="A149" s="12">
        <f>IF(Ремонты!G23="","",Ремонты!G23)</f>
        <v/>
      </c>
      <c r="B149" s="10">
        <f>IF($A149="","",Ремонты!A23)</f>
        <v/>
      </c>
      <c r="C149" s="10">
        <f>IF($A149="","",Ремонты!D23)</f>
        <v/>
      </c>
      <c r="D149" s="10">
        <f>IF($A149="","",Ремонты!E23)</f>
        <v/>
      </c>
      <c r="E149" s="10">
        <f>IF($A149="","","Отправка в ремонт")</f>
        <v/>
      </c>
      <c r="F149" s="10">
        <f>IF($A149="","",Ремонты!T23)</f>
        <v/>
      </c>
      <c r="G149" s="10">
        <f>IF($A149="","","Автозапись из листа Ремонты")</f>
        <v/>
      </c>
    </row>
    <row r="150">
      <c r="A150" s="12">
        <f>IF(Ремонты!I23="","",Ремонты!I23)</f>
        <v/>
      </c>
      <c r="B150" s="10">
        <f>IF($A150="","",Ремонты!A23)</f>
        <v/>
      </c>
      <c r="C150" s="10">
        <f>IF($A150="","",Ремонты!D23)</f>
        <v/>
      </c>
      <c r="D150" s="10">
        <f>IF($A150="","",Ремонты!E23)</f>
        <v/>
      </c>
      <c r="E150" s="10">
        <f>IF($A150="","","Отправка из ремонта")</f>
        <v/>
      </c>
      <c r="F150" s="10">
        <f>IF($A150="","",Ремонты!T23)</f>
        <v/>
      </c>
      <c r="G150" s="10">
        <f>IF($A150="","","Автозапись из листа Ремонты")</f>
        <v/>
      </c>
    </row>
    <row r="151">
      <c r="A151" s="12">
        <f>IF(Ремонты!J23="","",Ремонты!J23)</f>
        <v/>
      </c>
      <c r="B151" s="10">
        <f>IF($A151="","",Ремонты!A23)</f>
        <v/>
      </c>
      <c r="C151" s="10">
        <f>IF($A151="","",Ремонты!D23)</f>
        <v/>
      </c>
      <c r="D151" s="10">
        <f>IF($A151="","",Ремонты!E23)</f>
        <v/>
      </c>
      <c r="E151" s="10">
        <f>IF($A151="","","Отправка из Иркутска")</f>
        <v/>
      </c>
      <c r="F151" s="10">
        <f>IF($A151="","",Ремонты!T23)</f>
        <v/>
      </c>
      <c r="G151" s="10">
        <f>IF($A151="","","Автозапись из листа Ремонты")</f>
        <v/>
      </c>
    </row>
    <row r="152">
      <c r="A152" s="12">
        <f>IF(Ремонты!K23="","",Ремонты!K23)</f>
        <v/>
      </c>
      <c r="B152" s="10">
        <f>IF($A152="","",Ремонты!A23)</f>
        <v/>
      </c>
      <c r="C152" s="10">
        <f>IF($A152="","",Ремонты!D23)</f>
        <v/>
      </c>
      <c r="D152" s="10">
        <f>IF($A152="","",Ремонты!E23)</f>
        <v/>
      </c>
      <c r="E152" s="10">
        <f>IF($A152="","","Прибытие в Ленск")</f>
        <v/>
      </c>
      <c r="F152" s="10">
        <f>IF($A152="","",Ремонты!T23)</f>
        <v/>
      </c>
      <c r="G152" s="10">
        <f>IF($A152="","","Автозапись из листа Ремонты")</f>
        <v/>
      </c>
    </row>
    <row r="153">
      <c r="A153" s="12">
        <f>IF(Ремонты!M23="","",Ремонты!M23)</f>
        <v/>
      </c>
      <c r="B153" s="10">
        <f>IF($A153="","",Ремонты!A23)</f>
        <v/>
      </c>
      <c r="C153" s="10">
        <f>IF($A153="","",Ремонты!D23)</f>
        <v/>
      </c>
      <c r="D153" s="10">
        <f>IF($A153="","",Ремонты!E23)</f>
        <v/>
      </c>
      <c r="E153" s="10">
        <f>IF($A153="","","Фактическое получение")</f>
        <v/>
      </c>
      <c r="F153" s="10">
        <f>IF($A153="","",Ремонты!T23)</f>
        <v/>
      </c>
      <c r="G153" s="10">
        <f>IF($A153="","","Автозапись из листа Ремонты")</f>
        <v/>
      </c>
    </row>
    <row r="154">
      <c r="A154" s="12">
        <f>IF(Ремонты!P23="","",Ремонты!P23)</f>
        <v/>
      </c>
      <c r="B154" s="10">
        <f>IF($A154="","",Ремонты!A23)</f>
        <v/>
      </c>
      <c r="C154" s="10">
        <f>IF($A154="","",Ремонты!D23)</f>
        <v/>
      </c>
      <c r="D154" s="10">
        <f>IF($A154="","",Ремонты!E23)</f>
        <v/>
      </c>
      <c r="E154" s="10">
        <f>IF($A154="","","Входной контроль")</f>
        <v/>
      </c>
      <c r="F154" s="10">
        <f>IF($A154="","",Ремонты!T23)</f>
        <v/>
      </c>
      <c r="G154" s="10">
        <f>IF($A154="","","Автозапись из листа Ремонты")</f>
        <v/>
      </c>
    </row>
    <row r="155">
      <c r="A155" s="12">
        <f>IF(Ремонты!S23="","",Ремонты!S23)</f>
        <v/>
      </c>
      <c r="B155" s="10">
        <f>IF($A155="","",Ремонты!A23)</f>
        <v/>
      </c>
      <c r="C155" s="10">
        <f>IF($A155="","",Ремонты!D23)</f>
        <v/>
      </c>
      <c r="D155" s="10">
        <f>IF($A155="","",Ремонты!E23)</f>
        <v/>
      </c>
      <c r="E155" s="10">
        <f>IF($A155="","","Оплата")</f>
        <v/>
      </c>
      <c r="F155" s="10">
        <f>IF($A155="","",Ремонты!T23)</f>
        <v/>
      </c>
      <c r="G155" s="10">
        <f>IF($A155="","","Автозапись из листа Ремонты")</f>
        <v/>
      </c>
    </row>
    <row r="156">
      <c r="A156" s="12">
        <f>IF(Ремонты!G24="","",Ремонты!G24)</f>
        <v/>
      </c>
      <c r="B156" s="10">
        <f>IF($A156="","",Ремонты!A24)</f>
        <v/>
      </c>
      <c r="C156" s="10">
        <f>IF($A156="","",Ремонты!D24)</f>
        <v/>
      </c>
      <c r="D156" s="10">
        <f>IF($A156="","",Ремонты!E24)</f>
        <v/>
      </c>
      <c r="E156" s="10">
        <f>IF($A156="","","Отправка в ремонт")</f>
        <v/>
      </c>
      <c r="F156" s="10">
        <f>IF($A156="","",Ремонты!T24)</f>
        <v/>
      </c>
      <c r="G156" s="10">
        <f>IF($A156="","","Автозапись из листа Ремонты")</f>
        <v/>
      </c>
    </row>
    <row r="157">
      <c r="A157" s="12">
        <f>IF(Ремонты!I24="","",Ремонты!I24)</f>
        <v/>
      </c>
      <c r="B157" s="10">
        <f>IF($A157="","",Ремонты!A24)</f>
        <v/>
      </c>
      <c r="C157" s="10">
        <f>IF($A157="","",Ремонты!D24)</f>
        <v/>
      </c>
      <c r="D157" s="10">
        <f>IF($A157="","",Ремонты!E24)</f>
        <v/>
      </c>
      <c r="E157" s="10">
        <f>IF($A157="","","Отправка из ремонта")</f>
        <v/>
      </c>
      <c r="F157" s="10">
        <f>IF($A157="","",Ремонты!T24)</f>
        <v/>
      </c>
      <c r="G157" s="10">
        <f>IF($A157="","","Автозапись из листа Ремонты")</f>
        <v/>
      </c>
    </row>
    <row r="158">
      <c r="A158" s="12">
        <f>IF(Ремонты!J24="","",Ремонты!J24)</f>
        <v/>
      </c>
      <c r="B158" s="10">
        <f>IF($A158="","",Ремонты!A24)</f>
        <v/>
      </c>
      <c r="C158" s="10">
        <f>IF($A158="","",Ремонты!D24)</f>
        <v/>
      </c>
      <c r="D158" s="10">
        <f>IF($A158="","",Ремонты!E24)</f>
        <v/>
      </c>
      <c r="E158" s="10">
        <f>IF($A158="","","Отправка из Иркутска")</f>
        <v/>
      </c>
      <c r="F158" s="10">
        <f>IF($A158="","",Ремонты!T24)</f>
        <v/>
      </c>
      <c r="G158" s="10">
        <f>IF($A158="","","Автозапись из листа Ремонты")</f>
        <v/>
      </c>
    </row>
    <row r="159">
      <c r="A159" s="12">
        <f>IF(Ремонты!K24="","",Ремонты!K24)</f>
        <v/>
      </c>
      <c r="B159" s="10">
        <f>IF($A159="","",Ремонты!A24)</f>
        <v/>
      </c>
      <c r="C159" s="10">
        <f>IF($A159="","",Ремонты!D24)</f>
        <v/>
      </c>
      <c r="D159" s="10">
        <f>IF($A159="","",Ремонты!E24)</f>
        <v/>
      </c>
      <c r="E159" s="10">
        <f>IF($A159="","","Прибытие в Ленск")</f>
        <v/>
      </c>
      <c r="F159" s="10">
        <f>IF($A159="","",Ремонты!T24)</f>
        <v/>
      </c>
      <c r="G159" s="10">
        <f>IF($A159="","","Автозапись из листа Ремонты")</f>
        <v/>
      </c>
    </row>
    <row r="160">
      <c r="A160" s="12">
        <f>IF(Ремонты!M24="","",Ремонты!M24)</f>
        <v/>
      </c>
      <c r="B160" s="10">
        <f>IF($A160="","",Ремонты!A24)</f>
        <v/>
      </c>
      <c r="C160" s="10">
        <f>IF($A160="","",Ремонты!D24)</f>
        <v/>
      </c>
      <c r="D160" s="10">
        <f>IF($A160="","",Ремонты!E24)</f>
        <v/>
      </c>
      <c r="E160" s="10">
        <f>IF($A160="","","Фактическое получение")</f>
        <v/>
      </c>
      <c r="F160" s="10">
        <f>IF($A160="","",Ремонты!T24)</f>
        <v/>
      </c>
      <c r="G160" s="10">
        <f>IF($A160="","","Автозапись из листа Ремонты")</f>
        <v/>
      </c>
    </row>
    <row r="161">
      <c r="A161" s="12">
        <f>IF(Ремонты!P24="","",Ремонты!P24)</f>
        <v/>
      </c>
      <c r="B161" s="10">
        <f>IF($A161="","",Ремонты!A24)</f>
        <v/>
      </c>
      <c r="C161" s="10">
        <f>IF($A161="","",Ремонты!D24)</f>
        <v/>
      </c>
      <c r="D161" s="10">
        <f>IF($A161="","",Ремонты!E24)</f>
        <v/>
      </c>
      <c r="E161" s="10">
        <f>IF($A161="","","Входной контроль")</f>
        <v/>
      </c>
      <c r="F161" s="10">
        <f>IF($A161="","",Ремонты!T24)</f>
        <v/>
      </c>
      <c r="G161" s="10">
        <f>IF($A161="","","Автозапись из листа Ремонты")</f>
        <v/>
      </c>
    </row>
    <row r="162">
      <c r="A162" s="12">
        <f>IF(Ремонты!S24="","",Ремонты!S24)</f>
        <v/>
      </c>
      <c r="B162" s="10">
        <f>IF($A162="","",Ремонты!A24)</f>
        <v/>
      </c>
      <c r="C162" s="10">
        <f>IF($A162="","",Ремонты!D24)</f>
        <v/>
      </c>
      <c r="D162" s="10">
        <f>IF($A162="","",Ремонты!E24)</f>
        <v/>
      </c>
      <c r="E162" s="10">
        <f>IF($A162="","","Оплата")</f>
        <v/>
      </c>
      <c r="F162" s="10">
        <f>IF($A162="","",Ремонты!T24)</f>
        <v/>
      </c>
      <c r="G162" s="10">
        <f>IF($A162="","","Автозапись из листа Ремонты")</f>
        <v/>
      </c>
    </row>
    <row r="163">
      <c r="A163" s="12">
        <f>IF(Ремонты!G25="","",Ремонты!G25)</f>
        <v/>
      </c>
      <c r="B163" s="10">
        <f>IF($A163="","",Ремонты!A25)</f>
        <v/>
      </c>
      <c r="C163" s="10">
        <f>IF($A163="","",Ремонты!D25)</f>
        <v/>
      </c>
      <c r="D163" s="10">
        <f>IF($A163="","",Ремонты!E25)</f>
        <v/>
      </c>
      <c r="E163" s="10">
        <f>IF($A163="","","Отправка в ремонт")</f>
        <v/>
      </c>
      <c r="F163" s="10">
        <f>IF($A163="","",Ремонты!T25)</f>
        <v/>
      </c>
      <c r="G163" s="10">
        <f>IF($A163="","","Автозапись из листа Ремонты")</f>
        <v/>
      </c>
    </row>
    <row r="164">
      <c r="A164" s="12">
        <f>IF(Ремонты!I25="","",Ремонты!I25)</f>
        <v/>
      </c>
      <c r="B164" s="10">
        <f>IF($A164="","",Ремонты!A25)</f>
        <v/>
      </c>
      <c r="C164" s="10">
        <f>IF($A164="","",Ремонты!D25)</f>
        <v/>
      </c>
      <c r="D164" s="10">
        <f>IF($A164="","",Ремонты!E25)</f>
        <v/>
      </c>
      <c r="E164" s="10">
        <f>IF($A164="","","Отправка из ремонта")</f>
        <v/>
      </c>
      <c r="F164" s="10">
        <f>IF($A164="","",Ремонты!T25)</f>
        <v/>
      </c>
      <c r="G164" s="10">
        <f>IF($A164="","","Автозапись из листа Ремонты")</f>
        <v/>
      </c>
    </row>
    <row r="165">
      <c r="A165" s="12">
        <f>IF(Ремонты!J25="","",Ремонты!J25)</f>
        <v/>
      </c>
      <c r="B165" s="10">
        <f>IF($A165="","",Ремонты!A25)</f>
        <v/>
      </c>
      <c r="C165" s="10">
        <f>IF($A165="","",Ремонты!D25)</f>
        <v/>
      </c>
      <c r="D165" s="10">
        <f>IF($A165="","",Ремонты!E25)</f>
        <v/>
      </c>
      <c r="E165" s="10">
        <f>IF($A165="","","Отправка из Иркутска")</f>
        <v/>
      </c>
      <c r="F165" s="10">
        <f>IF($A165="","",Ремонты!T25)</f>
        <v/>
      </c>
      <c r="G165" s="10">
        <f>IF($A165="","","Автозапись из листа Ремонты")</f>
        <v/>
      </c>
    </row>
    <row r="166">
      <c r="A166" s="12">
        <f>IF(Ремонты!K25="","",Ремонты!K25)</f>
        <v/>
      </c>
      <c r="B166" s="10">
        <f>IF($A166="","",Ремонты!A25)</f>
        <v/>
      </c>
      <c r="C166" s="10">
        <f>IF($A166="","",Ремонты!D25)</f>
        <v/>
      </c>
      <c r="D166" s="10">
        <f>IF($A166="","",Ремонты!E25)</f>
        <v/>
      </c>
      <c r="E166" s="10">
        <f>IF($A166="","","Прибытие в Ленск")</f>
        <v/>
      </c>
      <c r="F166" s="10">
        <f>IF($A166="","",Ремонты!T25)</f>
        <v/>
      </c>
      <c r="G166" s="10">
        <f>IF($A166="","","Автозапись из листа Ремонты")</f>
        <v/>
      </c>
    </row>
    <row r="167">
      <c r="A167" s="12">
        <f>IF(Ремонты!M25="","",Ремонты!M25)</f>
        <v/>
      </c>
      <c r="B167" s="10">
        <f>IF($A167="","",Ремонты!A25)</f>
        <v/>
      </c>
      <c r="C167" s="10">
        <f>IF($A167="","",Ремонты!D25)</f>
        <v/>
      </c>
      <c r="D167" s="10">
        <f>IF($A167="","",Ремонты!E25)</f>
        <v/>
      </c>
      <c r="E167" s="10">
        <f>IF($A167="","","Фактическое получение")</f>
        <v/>
      </c>
      <c r="F167" s="10">
        <f>IF($A167="","",Ремонты!T25)</f>
        <v/>
      </c>
      <c r="G167" s="10">
        <f>IF($A167="","","Автозапись из листа Ремонты")</f>
        <v/>
      </c>
    </row>
    <row r="168">
      <c r="A168" s="12">
        <f>IF(Ремонты!P25="","",Ремонты!P25)</f>
        <v/>
      </c>
      <c r="B168" s="10">
        <f>IF($A168="","",Ремонты!A25)</f>
        <v/>
      </c>
      <c r="C168" s="10">
        <f>IF($A168="","",Ремонты!D25)</f>
        <v/>
      </c>
      <c r="D168" s="10">
        <f>IF($A168="","",Ремонты!E25)</f>
        <v/>
      </c>
      <c r="E168" s="10">
        <f>IF($A168="","","Входной контроль")</f>
        <v/>
      </c>
      <c r="F168" s="10">
        <f>IF($A168="","",Ремонты!T25)</f>
        <v/>
      </c>
      <c r="G168" s="10">
        <f>IF($A168="","","Автозапись из листа Ремонты")</f>
        <v/>
      </c>
    </row>
    <row r="169">
      <c r="A169" s="12">
        <f>IF(Ремонты!S25="","",Ремонты!S25)</f>
        <v/>
      </c>
      <c r="B169" s="10">
        <f>IF($A169="","",Ремонты!A25)</f>
        <v/>
      </c>
      <c r="C169" s="10">
        <f>IF($A169="","",Ремонты!D25)</f>
        <v/>
      </c>
      <c r="D169" s="10">
        <f>IF($A169="","",Ремонты!E25)</f>
        <v/>
      </c>
      <c r="E169" s="10">
        <f>IF($A169="","","Оплата")</f>
        <v/>
      </c>
      <c r="F169" s="10">
        <f>IF($A169="","",Ремонты!T25)</f>
        <v/>
      </c>
      <c r="G169" s="10">
        <f>IF($A169="","","Автозапись из листа Ремонты")</f>
        <v/>
      </c>
    </row>
    <row r="170">
      <c r="A170" s="12">
        <f>IF(Ремонты!G26="","",Ремонты!G26)</f>
        <v/>
      </c>
      <c r="B170" s="10">
        <f>IF($A170="","",Ремонты!A26)</f>
        <v/>
      </c>
      <c r="C170" s="10">
        <f>IF($A170="","",Ремонты!D26)</f>
        <v/>
      </c>
      <c r="D170" s="10">
        <f>IF($A170="","",Ремонты!E26)</f>
        <v/>
      </c>
      <c r="E170" s="10">
        <f>IF($A170="","","Отправка в ремонт")</f>
        <v/>
      </c>
      <c r="F170" s="10">
        <f>IF($A170="","",Ремонты!T26)</f>
        <v/>
      </c>
      <c r="G170" s="10">
        <f>IF($A170="","","Автозапись из листа Ремонты")</f>
        <v/>
      </c>
    </row>
    <row r="171">
      <c r="A171" s="12">
        <f>IF(Ремонты!I26="","",Ремонты!I26)</f>
        <v/>
      </c>
      <c r="B171" s="10">
        <f>IF($A171="","",Ремонты!A26)</f>
        <v/>
      </c>
      <c r="C171" s="10">
        <f>IF($A171="","",Ремонты!D26)</f>
        <v/>
      </c>
      <c r="D171" s="10">
        <f>IF($A171="","",Ремонты!E26)</f>
        <v/>
      </c>
      <c r="E171" s="10">
        <f>IF($A171="","","Отправка из ремонта")</f>
        <v/>
      </c>
      <c r="F171" s="10">
        <f>IF($A171="","",Ремонты!T26)</f>
        <v/>
      </c>
      <c r="G171" s="10">
        <f>IF($A171="","","Автозапись из листа Ремонты")</f>
        <v/>
      </c>
    </row>
    <row r="172">
      <c r="A172" s="12">
        <f>IF(Ремонты!J26="","",Ремонты!J26)</f>
        <v/>
      </c>
      <c r="B172" s="10">
        <f>IF($A172="","",Ремонты!A26)</f>
        <v/>
      </c>
      <c r="C172" s="10">
        <f>IF($A172="","",Ремонты!D26)</f>
        <v/>
      </c>
      <c r="D172" s="10">
        <f>IF($A172="","",Ремонты!E26)</f>
        <v/>
      </c>
      <c r="E172" s="10">
        <f>IF($A172="","","Отправка из Иркутска")</f>
        <v/>
      </c>
      <c r="F172" s="10">
        <f>IF($A172="","",Ремонты!T26)</f>
        <v/>
      </c>
      <c r="G172" s="10">
        <f>IF($A172="","","Автозапись из листа Ремонты")</f>
        <v/>
      </c>
    </row>
    <row r="173">
      <c r="A173" s="12">
        <f>IF(Ремонты!K26="","",Ремонты!K26)</f>
        <v/>
      </c>
      <c r="B173" s="10">
        <f>IF($A173="","",Ремонты!A26)</f>
        <v/>
      </c>
      <c r="C173" s="10">
        <f>IF($A173="","",Ремонты!D26)</f>
        <v/>
      </c>
      <c r="D173" s="10">
        <f>IF($A173="","",Ремонты!E26)</f>
        <v/>
      </c>
      <c r="E173" s="10">
        <f>IF($A173="","","Прибытие в Ленск")</f>
        <v/>
      </c>
      <c r="F173" s="10">
        <f>IF($A173="","",Ремонты!T26)</f>
        <v/>
      </c>
      <c r="G173" s="10">
        <f>IF($A173="","","Автозапись из листа Ремонты")</f>
        <v/>
      </c>
    </row>
    <row r="174">
      <c r="A174" s="12">
        <f>IF(Ремонты!M26="","",Ремонты!M26)</f>
        <v/>
      </c>
      <c r="B174" s="10">
        <f>IF($A174="","",Ремонты!A26)</f>
        <v/>
      </c>
      <c r="C174" s="10">
        <f>IF($A174="","",Ремонты!D26)</f>
        <v/>
      </c>
      <c r="D174" s="10">
        <f>IF($A174="","",Ремонты!E26)</f>
        <v/>
      </c>
      <c r="E174" s="10">
        <f>IF($A174="","","Фактическое получение")</f>
        <v/>
      </c>
      <c r="F174" s="10">
        <f>IF($A174="","",Ремонты!T26)</f>
        <v/>
      </c>
      <c r="G174" s="10">
        <f>IF($A174="","","Автозапись из листа Ремонты")</f>
        <v/>
      </c>
    </row>
    <row r="175">
      <c r="A175" s="12">
        <f>IF(Ремонты!P26="","",Ремонты!P26)</f>
        <v/>
      </c>
      <c r="B175" s="10">
        <f>IF($A175="","",Ремонты!A26)</f>
        <v/>
      </c>
      <c r="C175" s="10">
        <f>IF($A175="","",Ремонты!D26)</f>
        <v/>
      </c>
      <c r="D175" s="10">
        <f>IF($A175="","",Ремонты!E26)</f>
        <v/>
      </c>
      <c r="E175" s="10">
        <f>IF($A175="","","Входной контроль")</f>
        <v/>
      </c>
      <c r="F175" s="10">
        <f>IF($A175="","",Ремонты!T26)</f>
        <v/>
      </c>
      <c r="G175" s="10">
        <f>IF($A175="","","Автозапись из листа Ремонты")</f>
        <v/>
      </c>
    </row>
    <row r="176">
      <c r="A176" s="12">
        <f>IF(Ремонты!S26="","",Ремонты!S26)</f>
        <v/>
      </c>
      <c r="B176" s="10">
        <f>IF($A176="","",Ремонты!A26)</f>
        <v/>
      </c>
      <c r="C176" s="10">
        <f>IF($A176="","",Ремонты!D26)</f>
        <v/>
      </c>
      <c r="D176" s="10">
        <f>IF($A176="","",Ремонты!E26)</f>
        <v/>
      </c>
      <c r="E176" s="10">
        <f>IF($A176="","","Оплата")</f>
        <v/>
      </c>
      <c r="F176" s="10">
        <f>IF($A176="","",Ремонты!T26)</f>
        <v/>
      </c>
      <c r="G176" s="10">
        <f>IF($A176="","","Автозапись из листа Ремонты")</f>
        <v/>
      </c>
    </row>
    <row r="177">
      <c r="A177" s="12">
        <f>IF(Ремонты!G27="","",Ремонты!G27)</f>
        <v/>
      </c>
      <c r="B177" s="10">
        <f>IF($A177="","",Ремонты!A27)</f>
        <v/>
      </c>
      <c r="C177" s="10">
        <f>IF($A177="","",Ремонты!D27)</f>
        <v/>
      </c>
      <c r="D177" s="10">
        <f>IF($A177="","",Ремонты!E27)</f>
        <v/>
      </c>
      <c r="E177" s="10">
        <f>IF($A177="","","Отправка в ремонт")</f>
        <v/>
      </c>
      <c r="F177" s="10">
        <f>IF($A177="","",Ремонты!T27)</f>
        <v/>
      </c>
      <c r="G177" s="10">
        <f>IF($A177="","","Автозапись из листа Ремонты")</f>
        <v/>
      </c>
    </row>
    <row r="178">
      <c r="A178" s="12">
        <f>IF(Ремонты!I27="","",Ремонты!I27)</f>
        <v/>
      </c>
      <c r="B178" s="10">
        <f>IF($A178="","",Ремонты!A27)</f>
        <v/>
      </c>
      <c r="C178" s="10">
        <f>IF($A178="","",Ремонты!D27)</f>
        <v/>
      </c>
      <c r="D178" s="10">
        <f>IF($A178="","",Ремонты!E27)</f>
        <v/>
      </c>
      <c r="E178" s="10">
        <f>IF($A178="","","Отправка из ремонта")</f>
        <v/>
      </c>
      <c r="F178" s="10">
        <f>IF($A178="","",Ремонты!T27)</f>
        <v/>
      </c>
      <c r="G178" s="10">
        <f>IF($A178="","","Автозапись из листа Ремонты")</f>
        <v/>
      </c>
    </row>
    <row r="179">
      <c r="A179" s="12">
        <f>IF(Ремонты!J27="","",Ремонты!J27)</f>
        <v/>
      </c>
      <c r="B179" s="10">
        <f>IF($A179="","",Ремонты!A27)</f>
        <v/>
      </c>
      <c r="C179" s="10">
        <f>IF($A179="","",Ремонты!D27)</f>
        <v/>
      </c>
      <c r="D179" s="10">
        <f>IF($A179="","",Ремонты!E27)</f>
        <v/>
      </c>
      <c r="E179" s="10">
        <f>IF($A179="","","Отправка из Иркутска")</f>
        <v/>
      </c>
      <c r="F179" s="10">
        <f>IF($A179="","",Ремонты!T27)</f>
        <v/>
      </c>
      <c r="G179" s="10">
        <f>IF($A179="","","Автозапись из листа Ремонты")</f>
        <v/>
      </c>
    </row>
    <row r="180">
      <c r="A180" s="12">
        <f>IF(Ремонты!K27="","",Ремонты!K27)</f>
        <v/>
      </c>
      <c r="B180" s="10">
        <f>IF($A180="","",Ремонты!A27)</f>
        <v/>
      </c>
      <c r="C180" s="10">
        <f>IF($A180="","",Ремонты!D27)</f>
        <v/>
      </c>
      <c r="D180" s="10">
        <f>IF($A180="","",Ремонты!E27)</f>
        <v/>
      </c>
      <c r="E180" s="10">
        <f>IF($A180="","","Прибытие в Ленск")</f>
        <v/>
      </c>
      <c r="F180" s="10">
        <f>IF($A180="","",Ремонты!T27)</f>
        <v/>
      </c>
      <c r="G180" s="10">
        <f>IF($A180="","","Автозапись из листа Ремонты")</f>
        <v/>
      </c>
    </row>
    <row r="181">
      <c r="A181" s="12">
        <f>IF(Ремонты!M27="","",Ремонты!M27)</f>
        <v/>
      </c>
      <c r="B181" s="10">
        <f>IF($A181="","",Ремонты!A27)</f>
        <v/>
      </c>
      <c r="C181" s="10">
        <f>IF($A181="","",Ремонты!D27)</f>
        <v/>
      </c>
      <c r="D181" s="10">
        <f>IF($A181="","",Ремонты!E27)</f>
        <v/>
      </c>
      <c r="E181" s="10">
        <f>IF($A181="","","Фактическое получение")</f>
        <v/>
      </c>
      <c r="F181" s="10">
        <f>IF($A181="","",Ремонты!T27)</f>
        <v/>
      </c>
      <c r="G181" s="10">
        <f>IF($A181="","","Автозапись из листа Ремонты")</f>
        <v/>
      </c>
    </row>
    <row r="182">
      <c r="A182" s="12">
        <f>IF(Ремонты!P27="","",Ремонты!P27)</f>
        <v/>
      </c>
      <c r="B182" s="10">
        <f>IF($A182="","",Ремонты!A27)</f>
        <v/>
      </c>
      <c r="C182" s="10">
        <f>IF($A182="","",Ремонты!D27)</f>
        <v/>
      </c>
      <c r="D182" s="10">
        <f>IF($A182="","",Ремонты!E27)</f>
        <v/>
      </c>
      <c r="E182" s="10">
        <f>IF($A182="","","Входной контроль")</f>
        <v/>
      </c>
      <c r="F182" s="10">
        <f>IF($A182="","",Ремонты!T27)</f>
        <v/>
      </c>
      <c r="G182" s="10">
        <f>IF($A182="","","Автозапись из листа Ремонты")</f>
        <v/>
      </c>
    </row>
    <row r="183">
      <c r="A183" s="12">
        <f>IF(Ремонты!S27="","",Ремонты!S27)</f>
        <v/>
      </c>
      <c r="B183" s="10">
        <f>IF($A183="","",Ремонты!A27)</f>
        <v/>
      </c>
      <c r="C183" s="10">
        <f>IF($A183="","",Ремонты!D27)</f>
        <v/>
      </c>
      <c r="D183" s="10">
        <f>IF($A183="","",Ремонты!E27)</f>
        <v/>
      </c>
      <c r="E183" s="10">
        <f>IF($A183="","","Оплата")</f>
        <v/>
      </c>
      <c r="F183" s="10">
        <f>IF($A183="","",Ремонты!T27)</f>
        <v/>
      </c>
      <c r="G183" s="10">
        <f>IF($A183="","","Автозапись из листа Ремонты")</f>
        <v/>
      </c>
    </row>
    <row r="184">
      <c r="A184" s="12">
        <f>IF(Ремонты!G28="","",Ремонты!G28)</f>
        <v/>
      </c>
      <c r="B184" s="10">
        <f>IF($A184="","",Ремонты!A28)</f>
        <v/>
      </c>
      <c r="C184" s="10">
        <f>IF($A184="","",Ремонты!D28)</f>
        <v/>
      </c>
      <c r="D184" s="10">
        <f>IF($A184="","",Ремонты!E28)</f>
        <v/>
      </c>
      <c r="E184" s="10">
        <f>IF($A184="","","Отправка в ремонт")</f>
        <v/>
      </c>
      <c r="F184" s="10">
        <f>IF($A184="","",Ремонты!T28)</f>
        <v/>
      </c>
      <c r="G184" s="10">
        <f>IF($A184="","","Автозапись из листа Ремонты")</f>
        <v/>
      </c>
    </row>
    <row r="185">
      <c r="A185" s="12">
        <f>IF(Ремонты!I28="","",Ремонты!I28)</f>
        <v/>
      </c>
      <c r="B185" s="10">
        <f>IF($A185="","",Ремонты!A28)</f>
        <v/>
      </c>
      <c r="C185" s="10">
        <f>IF($A185="","",Ремонты!D28)</f>
        <v/>
      </c>
      <c r="D185" s="10">
        <f>IF($A185="","",Ремонты!E28)</f>
        <v/>
      </c>
      <c r="E185" s="10">
        <f>IF($A185="","","Отправка из ремонта")</f>
        <v/>
      </c>
      <c r="F185" s="10">
        <f>IF($A185="","",Ремонты!T28)</f>
        <v/>
      </c>
      <c r="G185" s="10">
        <f>IF($A185="","","Автозапись из листа Ремонты")</f>
        <v/>
      </c>
    </row>
    <row r="186">
      <c r="A186" s="12">
        <f>IF(Ремонты!J28="","",Ремонты!J28)</f>
        <v/>
      </c>
      <c r="B186" s="10">
        <f>IF($A186="","",Ремонты!A28)</f>
        <v/>
      </c>
      <c r="C186" s="10">
        <f>IF($A186="","",Ремонты!D28)</f>
        <v/>
      </c>
      <c r="D186" s="10">
        <f>IF($A186="","",Ремонты!E28)</f>
        <v/>
      </c>
      <c r="E186" s="10">
        <f>IF($A186="","","Отправка из Иркутска")</f>
        <v/>
      </c>
      <c r="F186" s="10">
        <f>IF($A186="","",Ремонты!T28)</f>
        <v/>
      </c>
      <c r="G186" s="10">
        <f>IF($A186="","","Автозапись из листа Ремонты")</f>
        <v/>
      </c>
    </row>
    <row r="187">
      <c r="A187" s="12">
        <f>IF(Ремонты!K28="","",Ремонты!K28)</f>
        <v/>
      </c>
      <c r="B187" s="10">
        <f>IF($A187="","",Ремонты!A28)</f>
        <v/>
      </c>
      <c r="C187" s="10">
        <f>IF($A187="","",Ремонты!D28)</f>
        <v/>
      </c>
      <c r="D187" s="10">
        <f>IF($A187="","",Ремонты!E28)</f>
        <v/>
      </c>
      <c r="E187" s="10">
        <f>IF($A187="","","Прибытие в Ленск")</f>
        <v/>
      </c>
      <c r="F187" s="10">
        <f>IF($A187="","",Ремонты!T28)</f>
        <v/>
      </c>
      <c r="G187" s="10">
        <f>IF($A187="","","Автозапись из листа Ремонты")</f>
        <v/>
      </c>
    </row>
    <row r="188">
      <c r="A188" s="12">
        <f>IF(Ремонты!M28="","",Ремонты!M28)</f>
        <v/>
      </c>
      <c r="B188" s="10">
        <f>IF($A188="","",Ремонты!A28)</f>
        <v/>
      </c>
      <c r="C188" s="10">
        <f>IF($A188="","",Ремонты!D28)</f>
        <v/>
      </c>
      <c r="D188" s="10">
        <f>IF($A188="","",Ремонты!E28)</f>
        <v/>
      </c>
      <c r="E188" s="10">
        <f>IF($A188="","","Фактическое получение")</f>
        <v/>
      </c>
      <c r="F188" s="10">
        <f>IF($A188="","",Ремонты!T28)</f>
        <v/>
      </c>
      <c r="G188" s="10">
        <f>IF($A188="","","Автозапись из листа Ремонты")</f>
        <v/>
      </c>
    </row>
    <row r="189">
      <c r="A189" s="12">
        <f>IF(Ремонты!P28="","",Ремонты!P28)</f>
        <v/>
      </c>
      <c r="B189" s="10">
        <f>IF($A189="","",Ремонты!A28)</f>
        <v/>
      </c>
      <c r="C189" s="10">
        <f>IF($A189="","",Ремонты!D28)</f>
        <v/>
      </c>
      <c r="D189" s="10">
        <f>IF($A189="","",Ремонты!E28)</f>
        <v/>
      </c>
      <c r="E189" s="10">
        <f>IF($A189="","","Входной контроль")</f>
        <v/>
      </c>
      <c r="F189" s="10">
        <f>IF($A189="","",Ремонты!T28)</f>
        <v/>
      </c>
      <c r="G189" s="10">
        <f>IF($A189="","","Автозапись из листа Ремонты")</f>
        <v/>
      </c>
    </row>
    <row r="190">
      <c r="A190" s="12">
        <f>IF(Ремонты!S28="","",Ремонты!S28)</f>
        <v/>
      </c>
      <c r="B190" s="10">
        <f>IF($A190="","",Ремонты!A28)</f>
        <v/>
      </c>
      <c r="C190" s="10">
        <f>IF($A190="","",Ремонты!D28)</f>
        <v/>
      </c>
      <c r="D190" s="10">
        <f>IF($A190="","",Ремонты!E28)</f>
        <v/>
      </c>
      <c r="E190" s="10">
        <f>IF($A190="","","Оплата")</f>
        <v/>
      </c>
      <c r="F190" s="10">
        <f>IF($A190="","",Ремонты!T28)</f>
        <v/>
      </c>
      <c r="G190" s="10">
        <f>IF($A190="","","Автозапись из листа Ремонты")</f>
        <v/>
      </c>
    </row>
    <row r="191">
      <c r="A191" s="12">
        <f>IF(Ремонты!G29="","",Ремонты!G29)</f>
        <v/>
      </c>
      <c r="B191" s="10">
        <f>IF($A191="","",Ремонты!A29)</f>
        <v/>
      </c>
      <c r="C191" s="10">
        <f>IF($A191="","",Ремонты!D29)</f>
        <v/>
      </c>
      <c r="D191" s="10">
        <f>IF($A191="","",Ремонты!E29)</f>
        <v/>
      </c>
      <c r="E191" s="10">
        <f>IF($A191="","","Отправка в ремонт")</f>
        <v/>
      </c>
      <c r="F191" s="10">
        <f>IF($A191="","",Ремонты!T29)</f>
        <v/>
      </c>
      <c r="G191" s="10">
        <f>IF($A191="","","Автозапись из листа Ремонты")</f>
        <v/>
      </c>
    </row>
    <row r="192">
      <c r="A192" s="12">
        <f>IF(Ремонты!I29="","",Ремонты!I29)</f>
        <v/>
      </c>
      <c r="B192" s="10">
        <f>IF($A192="","",Ремонты!A29)</f>
        <v/>
      </c>
      <c r="C192" s="10">
        <f>IF($A192="","",Ремонты!D29)</f>
        <v/>
      </c>
      <c r="D192" s="10">
        <f>IF($A192="","",Ремонты!E29)</f>
        <v/>
      </c>
      <c r="E192" s="10">
        <f>IF($A192="","","Отправка из ремонта")</f>
        <v/>
      </c>
      <c r="F192" s="10">
        <f>IF($A192="","",Ремонты!T29)</f>
        <v/>
      </c>
      <c r="G192" s="10">
        <f>IF($A192="","","Автозапись из листа Ремонты")</f>
        <v/>
      </c>
    </row>
    <row r="193">
      <c r="A193" s="12">
        <f>IF(Ремонты!J29="","",Ремонты!J29)</f>
        <v/>
      </c>
      <c r="B193" s="10">
        <f>IF($A193="","",Ремонты!A29)</f>
        <v/>
      </c>
      <c r="C193" s="10">
        <f>IF($A193="","",Ремонты!D29)</f>
        <v/>
      </c>
      <c r="D193" s="10">
        <f>IF($A193="","",Ремонты!E29)</f>
        <v/>
      </c>
      <c r="E193" s="10">
        <f>IF($A193="","","Отправка из Иркутска")</f>
        <v/>
      </c>
      <c r="F193" s="10">
        <f>IF($A193="","",Ремонты!T29)</f>
        <v/>
      </c>
      <c r="G193" s="10">
        <f>IF($A193="","","Автозапись из листа Ремонты")</f>
        <v/>
      </c>
    </row>
    <row r="194">
      <c r="A194" s="12">
        <f>IF(Ремонты!K29="","",Ремонты!K29)</f>
        <v/>
      </c>
      <c r="B194" s="10">
        <f>IF($A194="","",Ремонты!A29)</f>
        <v/>
      </c>
      <c r="C194" s="10">
        <f>IF($A194="","",Ремонты!D29)</f>
        <v/>
      </c>
      <c r="D194" s="10">
        <f>IF($A194="","",Ремонты!E29)</f>
        <v/>
      </c>
      <c r="E194" s="10">
        <f>IF($A194="","","Прибытие в Ленск")</f>
        <v/>
      </c>
      <c r="F194" s="10">
        <f>IF($A194="","",Ремонты!T29)</f>
        <v/>
      </c>
      <c r="G194" s="10">
        <f>IF($A194="","","Автозапись из листа Ремонты")</f>
        <v/>
      </c>
    </row>
    <row r="195">
      <c r="A195" s="12">
        <f>IF(Ремонты!M29="","",Ремонты!M29)</f>
        <v/>
      </c>
      <c r="B195" s="10">
        <f>IF($A195="","",Ремонты!A29)</f>
        <v/>
      </c>
      <c r="C195" s="10">
        <f>IF($A195="","",Ремонты!D29)</f>
        <v/>
      </c>
      <c r="D195" s="10">
        <f>IF($A195="","",Ремонты!E29)</f>
        <v/>
      </c>
      <c r="E195" s="10">
        <f>IF($A195="","","Фактическое получение")</f>
        <v/>
      </c>
      <c r="F195" s="10">
        <f>IF($A195="","",Ремонты!T29)</f>
        <v/>
      </c>
      <c r="G195" s="10">
        <f>IF($A195="","","Автозапись из листа Ремонты")</f>
        <v/>
      </c>
    </row>
    <row r="196">
      <c r="A196" s="12">
        <f>IF(Ремонты!P29="","",Ремонты!P29)</f>
        <v/>
      </c>
      <c r="B196" s="10">
        <f>IF($A196="","",Ремонты!A29)</f>
        <v/>
      </c>
      <c r="C196" s="10">
        <f>IF($A196="","",Ремонты!D29)</f>
        <v/>
      </c>
      <c r="D196" s="10">
        <f>IF($A196="","",Ремонты!E29)</f>
        <v/>
      </c>
      <c r="E196" s="10">
        <f>IF($A196="","","Входной контроль")</f>
        <v/>
      </c>
      <c r="F196" s="10">
        <f>IF($A196="","",Ремонты!T29)</f>
        <v/>
      </c>
      <c r="G196" s="10">
        <f>IF($A196="","","Автозапись из листа Ремонты")</f>
        <v/>
      </c>
    </row>
    <row r="197">
      <c r="A197" s="12">
        <f>IF(Ремонты!S29="","",Ремонты!S29)</f>
        <v/>
      </c>
      <c r="B197" s="10">
        <f>IF($A197="","",Ремонты!A29)</f>
        <v/>
      </c>
      <c r="C197" s="10">
        <f>IF($A197="","",Ремонты!D29)</f>
        <v/>
      </c>
      <c r="D197" s="10">
        <f>IF($A197="","",Ремонты!E29)</f>
        <v/>
      </c>
      <c r="E197" s="10">
        <f>IF($A197="","","Оплата")</f>
        <v/>
      </c>
      <c r="F197" s="10">
        <f>IF($A197="","",Ремонты!T29)</f>
        <v/>
      </c>
      <c r="G197" s="10">
        <f>IF($A197="","","Автозапись из листа Ремонты")</f>
        <v/>
      </c>
    </row>
    <row r="198">
      <c r="A198" s="12">
        <f>IF(Ремонты!G30="","",Ремонты!G30)</f>
        <v/>
      </c>
      <c r="B198" s="10">
        <f>IF($A198="","",Ремонты!A30)</f>
        <v/>
      </c>
      <c r="C198" s="10">
        <f>IF($A198="","",Ремонты!D30)</f>
        <v/>
      </c>
      <c r="D198" s="10">
        <f>IF($A198="","",Ремонты!E30)</f>
        <v/>
      </c>
      <c r="E198" s="10">
        <f>IF($A198="","","Отправка в ремонт")</f>
        <v/>
      </c>
      <c r="F198" s="10">
        <f>IF($A198="","",Ремонты!T30)</f>
        <v/>
      </c>
      <c r="G198" s="10">
        <f>IF($A198="","","Автозапись из листа Ремонты")</f>
        <v/>
      </c>
    </row>
    <row r="199">
      <c r="A199" s="12">
        <f>IF(Ремонты!I30="","",Ремонты!I30)</f>
        <v/>
      </c>
      <c r="B199" s="10">
        <f>IF($A199="","",Ремонты!A30)</f>
        <v/>
      </c>
      <c r="C199" s="10">
        <f>IF($A199="","",Ремонты!D30)</f>
        <v/>
      </c>
      <c r="D199" s="10">
        <f>IF($A199="","",Ремонты!E30)</f>
        <v/>
      </c>
      <c r="E199" s="10">
        <f>IF($A199="","","Отправка из ремонта")</f>
        <v/>
      </c>
      <c r="F199" s="10">
        <f>IF($A199="","",Ремонты!T30)</f>
        <v/>
      </c>
      <c r="G199" s="10">
        <f>IF($A199="","","Автозапись из листа Ремонты")</f>
        <v/>
      </c>
    </row>
    <row r="200">
      <c r="A200" s="12">
        <f>IF(Ремонты!J30="","",Ремонты!J30)</f>
        <v/>
      </c>
      <c r="B200" s="10">
        <f>IF($A200="","",Ремонты!A30)</f>
        <v/>
      </c>
      <c r="C200" s="10">
        <f>IF($A200="","",Ремонты!D30)</f>
        <v/>
      </c>
      <c r="D200" s="10">
        <f>IF($A200="","",Ремонты!E30)</f>
        <v/>
      </c>
      <c r="E200" s="10">
        <f>IF($A200="","","Отправка из Иркутска")</f>
        <v/>
      </c>
      <c r="F200" s="10">
        <f>IF($A200="","",Ремонты!T30)</f>
        <v/>
      </c>
      <c r="G200" s="10">
        <f>IF($A200="","","Автозапись из листа Ремонты")</f>
        <v/>
      </c>
    </row>
    <row r="201">
      <c r="A201" s="12">
        <f>IF(Ремонты!K30="","",Ремонты!K30)</f>
        <v/>
      </c>
      <c r="B201" s="10">
        <f>IF($A201="","",Ремонты!A30)</f>
        <v/>
      </c>
      <c r="C201" s="10">
        <f>IF($A201="","",Ремонты!D30)</f>
        <v/>
      </c>
      <c r="D201" s="10">
        <f>IF($A201="","",Ремонты!E30)</f>
        <v/>
      </c>
      <c r="E201" s="10">
        <f>IF($A201="","","Прибытие в Ленск")</f>
        <v/>
      </c>
      <c r="F201" s="10">
        <f>IF($A201="","",Ремонты!T30)</f>
        <v/>
      </c>
      <c r="G201" s="10">
        <f>IF($A201="","","Автозапись из листа Ремонты")</f>
        <v/>
      </c>
    </row>
    <row r="202">
      <c r="A202" s="12">
        <f>IF(Ремонты!M30="","",Ремонты!M30)</f>
        <v/>
      </c>
      <c r="B202" s="10">
        <f>IF($A202="","",Ремонты!A30)</f>
        <v/>
      </c>
      <c r="C202" s="10">
        <f>IF($A202="","",Ремонты!D30)</f>
        <v/>
      </c>
      <c r="D202" s="10">
        <f>IF($A202="","",Ремонты!E30)</f>
        <v/>
      </c>
      <c r="E202" s="10">
        <f>IF($A202="","","Фактическое получение")</f>
        <v/>
      </c>
      <c r="F202" s="10">
        <f>IF($A202="","",Ремонты!T30)</f>
        <v/>
      </c>
      <c r="G202" s="10">
        <f>IF($A202="","","Автозапись из листа Ремонты")</f>
        <v/>
      </c>
    </row>
    <row r="203">
      <c r="A203" s="12">
        <f>IF(Ремонты!P30="","",Ремонты!P30)</f>
        <v/>
      </c>
      <c r="B203" s="10">
        <f>IF($A203="","",Ремонты!A30)</f>
        <v/>
      </c>
      <c r="C203" s="10">
        <f>IF($A203="","",Ремонты!D30)</f>
        <v/>
      </c>
      <c r="D203" s="10">
        <f>IF($A203="","",Ремонты!E30)</f>
        <v/>
      </c>
      <c r="E203" s="10">
        <f>IF($A203="","","Входной контроль")</f>
        <v/>
      </c>
      <c r="F203" s="10">
        <f>IF($A203="","",Ремонты!T30)</f>
        <v/>
      </c>
      <c r="G203" s="10">
        <f>IF($A203="","","Автозапись из листа Ремонты")</f>
        <v/>
      </c>
    </row>
    <row r="204">
      <c r="A204" s="12">
        <f>IF(Ремонты!S30="","",Ремонты!S30)</f>
        <v/>
      </c>
      <c r="B204" s="10">
        <f>IF($A204="","",Ремонты!A30)</f>
        <v/>
      </c>
      <c r="C204" s="10">
        <f>IF($A204="","",Ремонты!D30)</f>
        <v/>
      </c>
      <c r="D204" s="10">
        <f>IF($A204="","",Ремонты!E30)</f>
        <v/>
      </c>
      <c r="E204" s="10">
        <f>IF($A204="","","Оплата")</f>
        <v/>
      </c>
      <c r="F204" s="10">
        <f>IF($A204="","",Ремонты!T30)</f>
        <v/>
      </c>
      <c r="G204" s="10">
        <f>IF($A204="","","Автозапись из листа Ремонты")</f>
        <v/>
      </c>
    </row>
    <row r="205">
      <c r="A205" s="12">
        <f>IF(Ремонты!G31="","",Ремонты!G31)</f>
        <v/>
      </c>
      <c r="B205" s="10">
        <f>IF($A205="","",Ремонты!A31)</f>
        <v/>
      </c>
      <c r="C205" s="10">
        <f>IF($A205="","",Ремонты!D31)</f>
        <v/>
      </c>
      <c r="D205" s="10">
        <f>IF($A205="","",Ремонты!E31)</f>
        <v/>
      </c>
      <c r="E205" s="10">
        <f>IF($A205="","","Отправка в ремонт")</f>
        <v/>
      </c>
      <c r="F205" s="10">
        <f>IF($A205="","",Ремонты!T31)</f>
        <v/>
      </c>
      <c r="G205" s="10">
        <f>IF($A205="","","Автозапись из листа Ремонты")</f>
        <v/>
      </c>
    </row>
    <row r="206">
      <c r="A206" s="12">
        <f>IF(Ремонты!I31="","",Ремонты!I31)</f>
        <v/>
      </c>
      <c r="B206" s="10">
        <f>IF($A206="","",Ремонты!A31)</f>
        <v/>
      </c>
      <c r="C206" s="10">
        <f>IF($A206="","",Ремонты!D31)</f>
        <v/>
      </c>
      <c r="D206" s="10">
        <f>IF($A206="","",Ремонты!E31)</f>
        <v/>
      </c>
      <c r="E206" s="10">
        <f>IF($A206="","","Отправка из ремонта")</f>
        <v/>
      </c>
      <c r="F206" s="10">
        <f>IF($A206="","",Ремонты!T31)</f>
        <v/>
      </c>
      <c r="G206" s="10">
        <f>IF($A206="","","Автозапись из листа Ремонты")</f>
        <v/>
      </c>
    </row>
    <row r="207">
      <c r="A207" s="12">
        <f>IF(Ремонты!J31="","",Ремонты!J31)</f>
        <v/>
      </c>
      <c r="B207" s="10">
        <f>IF($A207="","",Ремонты!A31)</f>
        <v/>
      </c>
      <c r="C207" s="10">
        <f>IF($A207="","",Ремонты!D31)</f>
        <v/>
      </c>
      <c r="D207" s="10">
        <f>IF($A207="","",Ремонты!E31)</f>
        <v/>
      </c>
      <c r="E207" s="10">
        <f>IF($A207="","","Отправка из Иркутска")</f>
        <v/>
      </c>
      <c r="F207" s="10">
        <f>IF($A207="","",Ремонты!T31)</f>
        <v/>
      </c>
      <c r="G207" s="10">
        <f>IF($A207="","","Автозапись из листа Ремонты")</f>
        <v/>
      </c>
    </row>
    <row r="208">
      <c r="A208" s="12">
        <f>IF(Ремонты!K31="","",Ремонты!K31)</f>
        <v/>
      </c>
      <c r="B208" s="10">
        <f>IF($A208="","",Ремонты!A31)</f>
        <v/>
      </c>
      <c r="C208" s="10">
        <f>IF($A208="","",Ремонты!D31)</f>
        <v/>
      </c>
      <c r="D208" s="10">
        <f>IF($A208="","",Ремонты!E31)</f>
        <v/>
      </c>
      <c r="E208" s="10">
        <f>IF($A208="","","Прибытие в Ленск")</f>
        <v/>
      </c>
      <c r="F208" s="10">
        <f>IF($A208="","",Ремонты!T31)</f>
        <v/>
      </c>
      <c r="G208" s="10">
        <f>IF($A208="","","Автозапись из листа Ремонты")</f>
        <v/>
      </c>
    </row>
    <row r="209">
      <c r="A209" s="12">
        <f>IF(Ремонты!M31="","",Ремонты!M31)</f>
        <v/>
      </c>
      <c r="B209" s="10">
        <f>IF($A209="","",Ремонты!A31)</f>
        <v/>
      </c>
      <c r="C209" s="10">
        <f>IF($A209="","",Ремонты!D31)</f>
        <v/>
      </c>
      <c r="D209" s="10">
        <f>IF($A209="","",Ремонты!E31)</f>
        <v/>
      </c>
      <c r="E209" s="10">
        <f>IF($A209="","","Фактическое получение")</f>
        <v/>
      </c>
      <c r="F209" s="10">
        <f>IF($A209="","",Ремонты!T31)</f>
        <v/>
      </c>
      <c r="G209" s="10">
        <f>IF($A209="","","Автозапись из листа Ремонты")</f>
        <v/>
      </c>
    </row>
    <row r="210">
      <c r="A210" s="12">
        <f>IF(Ремонты!P31="","",Ремонты!P31)</f>
        <v/>
      </c>
      <c r="B210" s="10">
        <f>IF($A210="","",Ремонты!A31)</f>
        <v/>
      </c>
      <c r="C210" s="10">
        <f>IF($A210="","",Ремонты!D31)</f>
        <v/>
      </c>
      <c r="D210" s="10">
        <f>IF($A210="","",Ремонты!E31)</f>
        <v/>
      </c>
      <c r="E210" s="10">
        <f>IF($A210="","","Входной контроль")</f>
        <v/>
      </c>
      <c r="F210" s="10">
        <f>IF($A210="","",Ремонты!T31)</f>
        <v/>
      </c>
      <c r="G210" s="10">
        <f>IF($A210="","","Автозапись из листа Ремонты")</f>
        <v/>
      </c>
    </row>
    <row r="211">
      <c r="A211" s="12">
        <f>IF(Ремонты!S31="","",Ремонты!S31)</f>
        <v/>
      </c>
      <c r="B211" s="10">
        <f>IF($A211="","",Ремонты!A31)</f>
        <v/>
      </c>
      <c r="C211" s="10">
        <f>IF($A211="","",Ремонты!D31)</f>
        <v/>
      </c>
      <c r="D211" s="10">
        <f>IF($A211="","",Ремонты!E31)</f>
        <v/>
      </c>
      <c r="E211" s="10">
        <f>IF($A211="","","Оплата")</f>
        <v/>
      </c>
      <c r="F211" s="10">
        <f>IF($A211="","",Ремонты!T31)</f>
        <v/>
      </c>
      <c r="G211" s="10">
        <f>IF($A211="","","Автозапись из листа Ремонты")</f>
        <v/>
      </c>
    </row>
    <row r="212">
      <c r="A212" s="12">
        <f>IF(Ремонты!G32="","",Ремонты!G32)</f>
        <v/>
      </c>
      <c r="B212" s="10">
        <f>IF($A212="","",Ремонты!A32)</f>
        <v/>
      </c>
      <c r="C212" s="10">
        <f>IF($A212="","",Ремонты!D32)</f>
        <v/>
      </c>
      <c r="D212" s="10">
        <f>IF($A212="","",Ремонты!E32)</f>
        <v/>
      </c>
      <c r="E212" s="10">
        <f>IF($A212="","","Отправка в ремонт")</f>
        <v/>
      </c>
      <c r="F212" s="10">
        <f>IF($A212="","",Ремонты!T32)</f>
        <v/>
      </c>
      <c r="G212" s="10">
        <f>IF($A212="","","Автозапись из листа Ремонты")</f>
        <v/>
      </c>
    </row>
    <row r="213">
      <c r="A213" s="12">
        <f>IF(Ремонты!I32="","",Ремонты!I32)</f>
        <v/>
      </c>
      <c r="B213" s="10">
        <f>IF($A213="","",Ремонты!A32)</f>
        <v/>
      </c>
      <c r="C213" s="10">
        <f>IF($A213="","",Ремонты!D32)</f>
        <v/>
      </c>
      <c r="D213" s="10">
        <f>IF($A213="","",Ремонты!E32)</f>
        <v/>
      </c>
      <c r="E213" s="10">
        <f>IF($A213="","","Отправка из ремонта")</f>
        <v/>
      </c>
      <c r="F213" s="10">
        <f>IF($A213="","",Ремонты!T32)</f>
        <v/>
      </c>
      <c r="G213" s="10">
        <f>IF($A213="","","Автозапись из листа Ремонты")</f>
        <v/>
      </c>
    </row>
    <row r="214">
      <c r="A214" s="12">
        <f>IF(Ремонты!J32="","",Ремонты!J32)</f>
        <v/>
      </c>
      <c r="B214" s="10">
        <f>IF($A214="","",Ремонты!A32)</f>
        <v/>
      </c>
      <c r="C214" s="10">
        <f>IF($A214="","",Ремонты!D32)</f>
        <v/>
      </c>
      <c r="D214" s="10">
        <f>IF($A214="","",Ремонты!E32)</f>
        <v/>
      </c>
      <c r="E214" s="10">
        <f>IF($A214="","","Отправка из Иркутска")</f>
        <v/>
      </c>
      <c r="F214" s="10">
        <f>IF($A214="","",Ремонты!T32)</f>
        <v/>
      </c>
      <c r="G214" s="10">
        <f>IF($A214="","","Автозапись из листа Ремонты")</f>
        <v/>
      </c>
    </row>
    <row r="215">
      <c r="A215" s="12">
        <f>IF(Ремонты!K32="","",Ремонты!K32)</f>
        <v/>
      </c>
      <c r="B215" s="10">
        <f>IF($A215="","",Ремонты!A32)</f>
        <v/>
      </c>
      <c r="C215" s="10">
        <f>IF($A215="","",Ремонты!D32)</f>
        <v/>
      </c>
      <c r="D215" s="10">
        <f>IF($A215="","",Ремонты!E32)</f>
        <v/>
      </c>
      <c r="E215" s="10">
        <f>IF($A215="","","Прибытие в Ленск")</f>
        <v/>
      </c>
      <c r="F215" s="10">
        <f>IF($A215="","",Ремонты!T32)</f>
        <v/>
      </c>
      <c r="G215" s="10">
        <f>IF($A215="","","Автозапись из листа Ремонты")</f>
        <v/>
      </c>
    </row>
    <row r="216">
      <c r="A216" s="12">
        <f>IF(Ремонты!M32="","",Ремонты!M32)</f>
        <v/>
      </c>
      <c r="B216" s="10">
        <f>IF($A216="","",Ремонты!A32)</f>
        <v/>
      </c>
      <c r="C216" s="10">
        <f>IF($A216="","",Ремонты!D32)</f>
        <v/>
      </c>
      <c r="D216" s="10">
        <f>IF($A216="","",Ремонты!E32)</f>
        <v/>
      </c>
      <c r="E216" s="10">
        <f>IF($A216="","","Фактическое получение")</f>
        <v/>
      </c>
      <c r="F216" s="10">
        <f>IF($A216="","",Ремонты!T32)</f>
        <v/>
      </c>
      <c r="G216" s="10">
        <f>IF($A216="","","Автозапись из листа Ремонты")</f>
        <v/>
      </c>
    </row>
    <row r="217">
      <c r="A217" s="12">
        <f>IF(Ремонты!P32="","",Ремонты!P32)</f>
        <v/>
      </c>
      <c r="B217" s="10">
        <f>IF($A217="","",Ремонты!A32)</f>
        <v/>
      </c>
      <c r="C217" s="10">
        <f>IF($A217="","",Ремонты!D32)</f>
        <v/>
      </c>
      <c r="D217" s="10">
        <f>IF($A217="","",Ремонты!E32)</f>
        <v/>
      </c>
      <c r="E217" s="10">
        <f>IF($A217="","","Входной контроль")</f>
        <v/>
      </c>
      <c r="F217" s="10">
        <f>IF($A217="","",Ремонты!T32)</f>
        <v/>
      </c>
      <c r="G217" s="10">
        <f>IF($A217="","","Автозапись из листа Ремонты")</f>
        <v/>
      </c>
    </row>
    <row r="218">
      <c r="A218" s="12">
        <f>IF(Ремонты!S32="","",Ремонты!S32)</f>
        <v/>
      </c>
      <c r="B218" s="10">
        <f>IF($A218="","",Ремонты!A32)</f>
        <v/>
      </c>
      <c r="C218" s="10">
        <f>IF($A218="","",Ремонты!D32)</f>
        <v/>
      </c>
      <c r="D218" s="10">
        <f>IF($A218="","",Ремонты!E32)</f>
        <v/>
      </c>
      <c r="E218" s="10">
        <f>IF($A218="","","Оплата")</f>
        <v/>
      </c>
      <c r="F218" s="10">
        <f>IF($A218="","",Ремонты!T32)</f>
        <v/>
      </c>
      <c r="G218" s="10">
        <f>IF($A218="","","Автозапись из листа Ремонты")</f>
        <v/>
      </c>
    </row>
    <row r="219">
      <c r="A219" s="12">
        <f>IF(Ремонты!G33="","",Ремонты!G33)</f>
        <v/>
      </c>
      <c r="B219" s="10">
        <f>IF($A219="","",Ремонты!A33)</f>
        <v/>
      </c>
      <c r="C219" s="10">
        <f>IF($A219="","",Ремонты!D33)</f>
        <v/>
      </c>
      <c r="D219" s="10">
        <f>IF($A219="","",Ремонты!E33)</f>
        <v/>
      </c>
      <c r="E219" s="10">
        <f>IF($A219="","","Отправка в ремонт")</f>
        <v/>
      </c>
      <c r="F219" s="10">
        <f>IF($A219="","",Ремонты!T33)</f>
        <v/>
      </c>
      <c r="G219" s="10">
        <f>IF($A219="","","Автозапись из листа Ремонты")</f>
        <v/>
      </c>
    </row>
    <row r="220">
      <c r="A220" s="12">
        <f>IF(Ремонты!I33="","",Ремонты!I33)</f>
        <v/>
      </c>
      <c r="B220" s="10">
        <f>IF($A220="","",Ремонты!A33)</f>
        <v/>
      </c>
      <c r="C220" s="10">
        <f>IF($A220="","",Ремонты!D33)</f>
        <v/>
      </c>
      <c r="D220" s="10">
        <f>IF($A220="","",Ремонты!E33)</f>
        <v/>
      </c>
      <c r="E220" s="10">
        <f>IF($A220="","","Отправка из ремонта")</f>
        <v/>
      </c>
      <c r="F220" s="10">
        <f>IF($A220="","",Ремонты!T33)</f>
        <v/>
      </c>
      <c r="G220" s="10">
        <f>IF($A220="","","Автозапись из листа Ремонты")</f>
        <v/>
      </c>
    </row>
    <row r="221">
      <c r="A221" s="12">
        <f>IF(Ремонты!J33="","",Ремонты!J33)</f>
        <v/>
      </c>
      <c r="B221" s="10">
        <f>IF($A221="","",Ремонты!A33)</f>
        <v/>
      </c>
      <c r="C221" s="10">
        <f>IF($A221="","",Ремонты!D33)</f>
        <v/>
      </c>
      <c r="D221" s="10">
        <f>IF($A221="","",Ремонты!E33)</f>
        <v/>
      </c>
      <c r="E221" s="10">
        <f>IF($A221="","","Отправка из Иркутска")</f>
        <v/>
      </c>
      <c r="F221" s="10">
        <f>IF($A221="","",Ремонты!T33)</f>
        <v/>
      </c>
      <c r="G221" s="10">
        <f>IF($A221="","","Автозапись из листа Ремонты")</f>
        <v/>
      </c>
    </row>
    <row r="222">
      <c r="A222" s="12">
        <f>IF(Ремонты!K33="","",Ремонты!K33)</f>
        <v/>
      </c>
      <c r="B222" s="10">
        <f>IF($A222="","",Ремонты!A33)</f>
        <v/>
      </c>
      <c r="C222" s="10">
        <f>IF($A222="","",Ремонты!D33)</f>
        <v/>
      </c>
      <c r="D222" s="10">
        <f>IF($A222="","",Ремонты!E33)</f>
        <v/>
      </c>
      <c r="E222" s="10">
        <f>IF($A222="","","Прибытие в Ленск")</f>
        <v/>
      </c>
      <c r="F222" s="10">
        <f>IF($A222="","",Ремонты!T33)</f>
        <v/>
      </c>
      <c r="G222" s="10">
        <f>IF($A222="","","Автозапись из листа Ремонты")</f>
        <v/>
      </c>
    </row>
    <row r="223">
      <c r="A223" s="12">
        <f>IF(Ремонты!M33="","",Ремонты!M33)</f>
        <v/>
      </c>
      <c r="B223" s="10">
        <f>IF($A223="","",Ремонты!A33)</f>
        <v/>
      </c>
      <c r="C223" s="10">
        <f>IF($A223="","",Ремонты!D33)</f>
        <v/>
      </c>
      <c r="D223" s="10">
        <f>IF($A223="","",Ремонты!E33)</f>
        <v/>
      </c>
      <c r="E223" s="10">
        <f>IF($A223="","","Фактическое получение")</f>
        <v/>
      </c>
      <c r="F223" s="10">
        <f>IF($A223="","",Ремонты!T33)</f>
        <v/>
      </c>
      <c r="G223" s="10">
        <f>IF($A223="","","Автозапись из листа Ремонты")</f>
        <v/>
      </c>
    </row>
    <row r="224">
      <c r="A224" s="12">
        <f>IF(Ремонты!P33="","",Ремонты!P33)</f>
        <v/>
      </c>
      <c r="B224" s="10">
        <f>IF($A224="","",Ремонты!A33)</f>
        <v/>
      </c>
      <c r="C224" s="10">
        <f>IF($A224="","",Ремонты!D33)</f>
        <v/>
      </c>
      <c r="D224" s="10">
        <f>IF($A224="","",Ремонты!E33)</f>
        <v/>
      </c>
      <c r="E224" s="10">
        <f>IF($A224="","","Входной контроль")</f>
        <v/>
      </c>
      <c r="F224" s="10">
        <f>IF($A224="","",Ремонты!T33)</f>
        <v/>
      </c>
      <c r="G224" s="10">
        <f>IF($A224="","","Автозапись из листа Ремонты")</f>
        <v/>
      </c>
    </row>
    <row r="225">
      <c r="A225" s="12">
        <f>IF(Ремонты!S33="","",Ремонты!S33)</f>
        <v/>
      </c>
      <c r="B225" s="10">
        <f>IF($A225="","",Ремонты!A33)</f>
        <v/>
      </c>
      <c r="C225" s="10">
        <f>IF($A225="","",Ремонты!D33)</f>
        <v/>
      </c>
      <c r="D225" s="10">
        <f>IF($A225="","",Ремонты!E33)</f>
        <v/>
      </c>
      <c r="E225" s="10">
        <f>IF($A225="","","Оплата")</f>
        <v/>
      </c>
      <c r="F225" s="10">
        <f>IF($A225="","",Ремонты!T33)</f>
        <v/>
      </c>
      <c r="G225" s="10">
        <f>IF($A225="","","Автозапись из листа Ремонты")</f>
        <v/>
      </c>
    </row>
    <row r="226">
      <c r="A226" s="12">
        <f>IF(Ремонты!G34="","",Ремонты!G34)</f>
        <v/>
      </c>
      <c r="B226" s="10">
        <f>IF($A226="","",Ремонты!A34)</f>
        <v/>
      </c>
      <c r="C226" s="10">
        <f>IF($A226="","",Ремонты!D34)</f>
        <v/>
      </c>
      <c r="D226" s="10">
        <f>IF($A226="","",Ремонты!E34)</f>
        <v/>
      </c>
      <c r="E226" s="10">
        <f>IF($A226="","","Отправка в ремонт")</f>
        <v/>
      </c>
      <c r="F226" s="10">
        <f>IF($A226="","",Ремонты!T34)</f>
        <v/>
      </c>
      <c r="G226" s="10">
        <f>IF($A226="","","Автозапись из листа Ремонты")</f>
        <v/>
      </c>
    </row>
    <row r="227">
      <c r="A227" s="12">
        <f>IF(Ремонты!I34="","",Ремонты!I34)</f>
        <v/>
      </c>
      <c r="B227" s="10">
        <f>IF($A227="","",Ремонты!A34)</f>
        <v/>
      </c>
      <c r="C227" s="10">
        <f>IF($A227="","",Ремонты!D34)</f>
        <v/>
      </c>
      <c r="D227" s="10">
        <f>IF($A227="","",Ремонты!E34)</f>
        <v/>
      </c>
      <c r="E227" s="10">
        <f>IF($A227="","","Отправка из ремонта")</f>
        <v/>
      </c>
      <c r="F227" s="10">
        <f>IF($A227="","",Ремонты!T34)</f>
        <v/>
      </c>
      <c r="G227" s="10">
        <f>IF($A227="","","Автозапись из листа Ремонты")</f>
        <v/>
      </c>
    </row>
    <row r="228">
      <c r="A228" s="12">
        <f>IF(Ремонты!J34="","",Ремонты!J34)</f>
        <v/>
      </c>
      <c r="B228" s="10">
        <f>IF($A228="","",Ремонты!A34)</f>
        <v/>
      </c>
      <c r="C228" s="10">
        <f>IF($A228="","",Ремонты!D34)</f>
        <v/>
      </c>
      <c r="D228" s="10">
        <f>IF($A228="","",Ремонты!E34)</f>
        <v/>
      </c>
      <c r="E228" s="10">
        <f>IF($A228="","","Отправка из Иркутска")</f>
        <v/>
      </c>
      <c r="F228" s="10">
        <f>IF($A228="","",Ремонты!T34)</f>
        <v/>
      </c>
      <c r="G228" s="10">
        <f>IF($A228="","","Автозапись из листа Ремонты")</f>
        <v/>
      </c>
    </row>
    <row r="229">
      <c r="A229" s="12">
        <f>IF(Ремонты!K34="","",Ремонты!K34)</f>
        <v/>
      </c>
      <c r="B229" s="10">
        <f>IF($A229="","",Ремонты!A34)</f>
        <v/>
      </c>
      <c r="C229" s="10">
        <f>IF($A229="","",Ремонты!D34)</f>
        <v/>
      </c>
      <c r="D229" s="10">
        <f>IF($A229="","",Ремонты!E34)</f>
        <v/>
      </c>
      <c r="E229" s="10">
        <f>IF($A229="","","Прибытие в Ленск")</f>
        <v/>
      </c>
      <c r="F229" s="10">
        <f>IF($A229="","",Ремонты!T34)</f>
        <v/>
      </c>
      <c r="G229" s="10">
        <f>IF($A229="","","Автозапись из листа Ремонты")</f>
        <v/>
      </c>
    </row>
    <row r="230">
      <c r="A230" s="12">
        <f>IF(Ремонты!M34="","",Ремонты!M34)</f>
        <v/>
      </c>
      <c r="B230" s="10">
        <f>IF($A230="","",Ремонты!A34)</f>
        <v/>
      </c>
      <c r="C230" s="10">
        <f>IF($A230="","",Ремонты!D34)</f>
        <v/>
      </c>
      <c r="D230" s="10">
        <f>IF($A230="","",Ремонты!E34)</f>
        <v/>
      </c>
      <c r="E230" s="10">
        <f>IF($A230="","","Фактическое получение")</f>
        <v/>
      </c>
      <c r="F230" s="10">
        <f>IF($A230="","",Ремонты!T34)</f>
        <v/>
      </c>
      <c r="G230" s="10">
        <f>IF($A230="","","Автозапись из листа Ремонты")</f>
        <v/>
      </c>
    </row>
    <row r="231">
      <c r="A231" s="12">
        <f>IF(Ремонты!P34="","",Ремонты!P34)</f>
        <v/>
      </c>
      <c r="B231" s="10">
        <f>IF($A231="","",Ремонты!A34)</f>
        <v/>
      </c>
      <c r="C231" s="10">
        <f>IF($A231="","",Ремонты!D34)</f>
        <v/>
      </c>
      <c r="D231" s="10">
        <f>IF($A231="","",Ремонты!E34)</f>
        <v/>
      </c>
      <c r="E231" s="10">
        <f>IF($A231="","","Входной контроль")</f>
        <v/>
      </c>
      <c r="F231" s="10">
        <f>IF($A231="","",Ремонты!T34)</f>
        <v/>
      </c>
      <c r="G231" s="10">
        <f>IF($A231="","","Автозапись из листа Ремонты")</f>
        <v/>
      </c>
    </row>
    <row r="232">
      <c r="A232" s="12">
        <f>IF(Ремонты!S34="","",Ремонты!S34)</f>
        <v/>
      </c>
      <c r="B232" s="10">
        <f>IF($A232="","",Ремонты!A34)</f>
        <v/>
      </c>
      <c r="C232" s="10">
        <f>IF($A232="","",Ремонты!D34)</f>
        <v/>
      </c>
      <c r="D232" s="10">
        <f>IF($A232="","",Ремонты!E34)</f>
        <v/>
      </c>
      <c r="E232" s="10">
        <f>IF($A232="","","Оплата")</f>
        <v/>
      </c>
      <c r="F232" s="10">
        <f>IF($A232="","",Ремонты!T34)</f>
        <v/>
      </c>
      <c r="G232" s="10">
        <f>IF($A232="","","Автозапись из листа Ремонты")</f>
        <v/>
      </c>
    </row>
    <row r="233">
      <c r="A233" s="12">
        <f>IF(Ремонты!G35="","",Ремонты!G35)</f>
        <v/>
      </c>
      <c r="B233" s="10">
        <f>IF($A233="","",Ремонты!A35)</f>
        <v/>
      </c>
      <c r="C233" s="10">
        <f>IF($A233="","",Ремонты!D35)</f>
        <v/>
      </c>
      <c r="D233" s="10">
        <f>IF($A233="","",Ремонты!E35)</f>
        <v/>
      </c>
      <c r="E233" s="10">
        <f>IF($A233="","","Отправка в ремонт")</f>
        <v/>
      </c>
      <c r="F233" s="10">
        <f>IF($A233="","",Ремонты!T35)</f>
        <v/>
      </c>
      <c r="G233" s="10">
        <f>IF($A233="","","Автозапись из листа Ремонты")</f>
        <v/>
      </c>
    </row>
    <row r="234">
      <c r="A234" s="12">
        <f>IF(Ремонты!I35="","",Ремонты!I35)</f>
        <v/>
      </c>
      <c r="B234" s="10">
        <f>IF($A234="","",Ремонты!A35)</f>
        <v/>
      </c>
      <c r="C234" s="10">
        <f>IF($A234="","",Ремонты!D35)</f>
        <v/>
      </c>
      <c r="D234" s="10">
        <f>IF($A234="","",Ремонты!E35)</f>
        <v/>
      </c>
      <c r="E234" s="10">
        <f>IF($A234="","","Отправка из ремонта")</f>
        <v/>
      </c>
      <c r="F234" s="10">
        <f>IF($A234="","",Ремонты!T35)</f>
        <v/>
      </c>
      <c r="G234" s="10">
        <f>IF($A234="","","Автозапись из листа Ремонты")</f>
        <v/>
      </c>
    </row>
    <row r="235">
      <c r="A235" s="12">
        <f>IF(Ремонты!J35="","",Ремонты!J35)</f>
        <v/>
      </c>
      <c r="B235" s="10">
        <f>IF($A235="","",Ремонты!A35)</f>
        <v/>
      </c>
      <c r="C235" s="10">
        <f>IF($A235="","",Ремонты!D35)</f>
        <v/>
      </c>
      <c r="D235" s="10">
        <f>IF($A235="","",Ремонты!E35)</f>
        <v/>
      </c>
      <c r="E235" s="10">
        <f>IF($A235="","","Отправка из Иркутска")</f>
        <v/>
      </c>
      <c r="F235" s="10">
        <f>IF($A235="","",Ремонты!T35)</f>
        <v/>
      </c>
      <c r="G235" s="10">
        <f>IF($A235="","","Автозапись из листа Ремонты")</f>
        <v/>
      </c>
    </row>
    <row r="236">
      <c r="A236" s="12">
        <f>IF(Ремонты!K35="","",Ремонты!K35)</f>
        <v/>
      </c>
      <c r="B236" s="10">
        <f>IF($A236="","",Ремонты!A35)</f>
        <v/>
      </c>
      <c r="C236" s="10">
        <f>IF($A236="","",Ремонты!D35)</f>
        <v/>
      </c>
      <c r="D236" s="10">
        <f>IF($A236="","",Ремонты!E35)</f>
        <v/>
      </c>
      <c r="E236" s="10">
        <f>IF($A236="","","Прибытие в Ленск")</f>
        <v/>
      </c>
      <c r="F236" s="10">
        <f>IF($A236="","",Ремонты!T35)</f>
        <v/>
      </c>
      <c r="G236" s="10">
        <f>IF($A236="","","Автозапись из листа Ремонты")</f>
        <v/>
      </c>
    </row>
    <row r="237">
      <c r="A237" s="12">
        <f>IF(Ремонты!M35="","",Ремонты!M35)</f>
        <v/>
      </c>
      <c r="B237" s="10">
        <f>IF($A237="","",Ремонты!A35)</f>
        <v/>
      </c>
      <c r="C237" s="10">
        <f>IF($A237="","",Ремонты!D35)</f>
        <v/>
      </c>
      <c r="D237" s="10">
        <f>IF($A237="","",Ремонты!E35)</f>
        <v/>
      </c>
      <c r="E237" s="10">
        <f>IF($A237="","","Фактическое получение")</f>
        <v/>
      </c>
      <c r="F237" s="10">
        <f>IF($A237="","",Ремонты!T35)</f>
        <v/>
      </c>
      <c r="G237" s="10">
        <f>IF($A237="","","Автозапись из листа Ремонты")</f>
        <v/>
      </c>
    </row>
    <row r="238">
      <c r="A238" s="12">
        <f>IF(Ремонты!P35="","",Ремонты!P35)</f>
        <v/>
      </c>
      <c r="B238" s="10">
        <f>IF($A238="","",Ремонты!A35)</f>
        <v/>
      </c>
      <c r="C238" s="10">
        <f>IF($A238="","",Ремонты!D35)</f>
        <v/>
      </c>
      <c r="D238" s="10">
        <f>IF($A238="","",Ремонты!E35)</f>
        <v/>
      </c>
      <c r="E238" s="10">
        <f>IF($A238="","","Входной контроль")</f>
        <v/>
      </c>
      <c r="F238" s="10">
        <f>IF($A238="","",Ремонты!T35)</f>
        <v/>
      </c>
      <c r="G238" s="10">
        <f>IF($A238="","","Автозапись из листа Ремонты")</f>
        <v/>
      </c>
    </row>
    <row r="239">
      <c r="A239" s="12">
        <f>IF(Ремонты!S35="","",Ремонты!S35)</f>
        <v/>
      </c>
      <c r="B239" s="10">
        <f>IF($A239="","",Ремонты!A35)</f>
        <v/>
      </c>
      <c r="C239" s="10">
        <f>IF($A239="","",Ремонты!D35)</f>
        <v/>
      </c>
      <c r="D239" s="10">
        <f>IF($A239="","",Ремонты!E35)</f>
        <v/>
      </c>
      <c r="E239" s="10">
        <f>IF($A239="","","Оплата")</f>
        <v/>
      </c>
      <c r="F239" s="10">
        <f>IF($A239="","",Ремонты!T35)</f>
        <v/>
      </c>
      <c r="G239" s="10">
        <f>IF($A239="","","Автозапись из листа Ремонты")</f>
        <v/>
      </c>
    </row>
    <row r="240">
      <c r="A240" s="12">
        <f>IF(Ремонты!G36="","",Ремонты!G36)</f>
        <v/>
      </c>
      <c r="B240" s="10">
        <f>IF($A240="","",Ремонты!A36)</f>
        <v/>
      </c>
      <c r="C240" s="10">
        <f>IF($A240="","",Ремонты!D36)</f>
        <v/>
      </c>
      <c r="D240" s="10">
        <f>IF($A240="","",Ремонты!E36)</f>
        <v/>
      </c>
      <c r="E240" s="10">
        <f>IF($A240="","","Отправка в ремонт")</f>
        <v/>
      </c>
      <c r="F240" s="10">
        <f>IF($A240="","",Ремонты!T36)</f>
        <v/>
      </c>
      <c r="G240" s="10">
        <f>IF($A240="","","Автозапись из листа Ремонты")</f>
        <v/>
      </c>
    </row>
    <row r="241">
      <c r="A241" s="12">
        <f>IF(Ремонты!I36="","",Ремонты!I36)</f>
        <v/>
      </c>
      <c r="B241" s="10">
        <f>IF($A241="","",Ремонты!A36)</f>
        <v/>
      </c>
      <c r="C241" s="10">
        <f>IF($A241="","",Ремонты!D36)</f>
        <v/>
      </c>
      <c r="D241" s="10">
        <f>IF($A241="","",Ремонты!E36)</f>
        <v/>
      </c>
      <c r="E241" s="10">
        <f>IF($A241="","","Отправка из ремонта")</f>
        <v/>
      </c>
      <c r="F241" s="10">
        <f>IF($A241="","",Ремонты!T36)</f>
        <v/>
      </c>
      <c r="G241" s="10">
        <f>IF($A241="","","Автозапись из листа Ремонты")</f>
        <v/>
      </c>
    </row>
    <row r="242">
      <c r="A242" s="12">
        <f>IF(Ремонты!J36="","",Ремонты!J36)</f>
        <v/>
      </c>
      <c r="B242" s="10">
        <f>IF($A242="","",Ремонты!A36)</f>
        <v/>
      </c>
      <c r="C242" s="10">
        <f>IF($A242="","",Ремонты!D36)</f>
        <v/>
      </c>
      <c r="D242" s="10">
        <f>IF($A242="","",Ремонты!E36)</f>
        <v/>
      </c>
      <c r="E242" s="10">
        <f>IF($A242="","","Отправка из Иркутска")</f>
        <v/>
      </c>
      <c r="F242" s="10">
        <f>IF($A242="","",Ремонты!T36)</f>
        <v/>
      </c>
      <c r="G242" s="10">
        <f>IF($A242="","","Автозапись из листа Ремонты")</f>
        <v/>
      </c>
    </row>
    <row r="243">
      <c r="A243" s="12">
        <f>IF(Ремонты!K36="","",Ремонты!K36)</f>
        <v/>
      </c>
      <c r="B243" s="10">
        <f>IF($A243="","",Ремонты!A36)</f>
        <v/>
      </c>
      <c r="C243" s="10">
        <f>IF($A243="","",Ремонты!D36)</f>
        <v/>
      </c>
      <c r="D243" s="10">
        <f>IF($A243="","",Ремонты!E36)</f>
        <v/>
      </c>
      <c r="E243" s="10">
        <f>IF($A243="","","Прибытие в Ленск")</f>
        <v/>
      </c>
      <c r="F243" s="10">
        <f>IF($A243="","",Ремонты!T36)</f>
        <v/>
      </c>
      <c r="G243" s="10">
        <f>IF($A243="","","Автозапись из листа Ремонты")</f>
        <v/>
      </c>
    </row>
    <row r="244">
      <c r="A244" s="12">
        <f>IF(Ремонты!M36="","",Ремонты!M36)</f>
        <v/>
      </c>
      <c r="B244" s="10">
        <f>IF($A244="","",Ремонты!A36)</f>
        <v/>
      </c>
      <c r="C244" s="10">
        <f>IF($A244="","",Ремонты!D36)</f>
        <v/>
      </c>
      <c r="D244" s="10">
        <f>IF($A244="","",Ремонты!E36)</f>
        <v/>
      </c>
      <c r="E244" s="10">
        <f>IF($A244="","","Фактическое получение")</f>
        <v/>
      </c>
      <c r="F244" s="10">
        <f>IF($A244="","",Ремонты!T36)</f>
        <v/>
      </c>
      <c r="G244" s="10">
        <f>IF($A244="","","Автозапись из листа Ремонты")</f>
        <v/>
      </c>
    </row>
    <row r="245">
      <c r="A245" s="12">
        <f>IF(Ремонты!P36="","",Ремонты!P36)</f>
        <v/>
      </c>
      <c r="B245" s="10">
        <f>IF($A245="","",Ремонты!A36)</f>
        <v/>
      </c>
      <c r="C245" s="10">
        <f>IF($A245="","",Ремонты!D36)</f>
        <v/>
      </c>
      <c r="D245" s="10">
        <f>IF($A245="","",Ремонты!E36)</f>
        <v/>
      </c>
      <c r="E245" s="10">
        <f>IF($A245="","","Входной контроль")</f>
        <v/>
      </c>
      <c r="F245" s="10">
        <f>IF($A245="","",Ремонты!T36)</f>
        <v/>
      </c>
      <c r="G245" s="10">
        <f>IF($A245="","","Автозапись из листа Ремонты")</f>
        <v/>
      </c>
    </row>
    <row r="246">
      <c r="A246" s="12">
        <f>IF(Ремонты!S36="","",Ремонты!S36)</f>
        <v/>
      </c>
      <c r="B246" s="10">
        <f>IF($A246="","",Ремонты!A36)</f>
        <v/>
      </c>
      <c r="C246" s="10">
        <f>IF($A246="","",Ремонты!D36)</f>
        <v/>
      </c>
      <c r="D246" s="10">
        <f>IF($A246="","",Ремонты!E36)</f>
        <v/>
      </c>
      <c r="E246" s="10">
        <f>IF($A246="","","Оплата")</f>
        <v/>
      </c>
      <c r="F246" s="10">
        <f>IF($A246="","",Ремонты!T36)</f>
        <v/>
      </c>
      <c r="G246" s="10">
        <f>IF($A246="","","Автозапись из листа Ремонты")</f>
        <v/>
      </c>
    </row>
    <row r="247">
      <c r="A247" s="12">
        <f>IF(Ремонты!G37="","",Ремонты!G37)</f>
        <v/>
      </c>
      <c r="B247" s="10">
        <f>IF($A247="","",Ремонты!A37)</f>
        <v/>
      </c>
      <c r="C247" s="10">
        <f>IF($A247="","",Ремонты!D37)</f>
        <v/>
      </c>
      <c r="D247" s="10">
        <f>IF($A247="","",Ремонты!E37)</f>
        <v/>
      </c>
      <c r="E247" s="10">
        <f>IF($A247="","","Отправка в ремонт")</f>
        <v/>
      </c>
      <c r="F247" s="10">
        <f>IF($A247="","",Ремонты!T37)</f>
        <v/>
      </c>
      <c r="G247" s="10">
        <f>IF($A247="","","Автозапись из листа Ремонты")</f>
        <v/>
      </c>
    </row>
    <row r="248">
      <c r="A248" s="12">
        <f>IF(Ремонты!I37="","",Ремонты!I37)</f>
        <v/>
      </c>
      <c r="B248" s="10">
        <f>IF($A248="","",Ремонты!A37)</f>
        <v/>
      </c>
      <c r="C248" s="10">
        <f>IF($A248="","",Ремонты!D37)</f>
        <v/>
      </c>
      <c r="D248" s="10">
        <f>IF($A248="","",Ремонты!E37)</f>
        <v/>
      </c>
      <c r="E248" s="10">
        <f>IF($A248="","","Отправка из ремонта")</f>
        <v/>
      </c>
      <c r="F248" s="10">
        <f>IF($A248="","",Ремонты!T37)</f>
        <v/>
      </c>
      <c r="G248" s="10">
        <f>IF($A248="","","Автозапись из листа Ремонты")</f>
        <v/>
      </c>
    </row>
    <row r="249">
      <c r="A249" s="12">
        <f>IF(Ремонты!J37="","",Ремонты!J37)</f>
        <v/>
      </c>
      <c r="B249" s="10">
        <f>IF($A249="","",Ремонты!A37)</f>
        <v/>
      </c>
      <c r="C249" s="10">
        <f>IF($A249="","",Ремонты!D37)</f>
        <v/>
      </c>
      <c r="D249" s="10">
        <f>IF($A249="","",Ремонты!E37)</f>
        <v/>
      </c>
      <c r="E249" s="10">
        <f>IF($A249="","","Отправка из Иркутска")</f>
        <v/>
      </c>
      <c r="F249" s="10">
        <f>IF($A249="","",Ремонты!T37)</f>
        <v/>
      </c>
      <c r="G249" s="10">
        <f>IF($A249="","","Автозапись из листа Ремонты")</f>
        <v/>
      </c>
    </row>
    <row r="250">
      <c r="A250" s="12">
        <f>IF(Ремонты!K37="","",Ремонты!K37)</f>
        <v/>
      </c>
      <c r="B250" s="10">
        <f>IF($A250="","",Ремонты!A37)</f>
        <v/>
      </c>
      <c r="C250" s="10">
        <f>IF($A250="","",Ремонты!D37)</f>
        <v/>
      </c>
      <c r="D250" s="10">
        <f>IF($A250="","",Ремонты!E37)</f>
        <v/>
      </c>
      <c r="E250" s="10">
        <f>IF($A250="","","Прибытие в Ленск")</f>
        <v/>
      </c>
      <c r="F250" s="10">
        <f>IF($A250="","",Ремонты!T37)</f>
        <v/>
      </c>
      <c r="G250" s="10">
        <f>IF($A250="","","Автозапись из листа Ремонты")</f>
        <v/>
      </c>
    </row>
    <row r="251">
      <c r="A251" s="12">
        <f>IF(Ремонты!M37="","",Ремонты!M37)</f>
        <v/>
      </c>
      <c r="B251" s="10">
        <f>IF($A251="","",Ремонты!A37)</f>
        <v/>
      </c>
      <c r="C251" s="10">
        <f>IF($A251="","",Ремонты!D37)</f>
        <v/>
      </c>
      <c r="D251" s="10">
        <f>IF($A251="","",Ремонты!E37)</f>
        <v/>
      </c>
      <c r="E251" s="10">
        <f>IF($A251="","","Фактическое получение")</f>
        <v/>
      </c>
      <c r="F251" s="10">
        <f>IF($A251="","",Ремонты!T37)</f>
        <v/>
      </c>
      <c r="G251" s="10">
        <f>IF($A251="","","Автозапись из листа Ремонты")</f>
        <v/>
      </c>
    </row>
    <row r="252">
      <c r="A252" s="12">
        <f>IF(Ремонты!P37="","",Ремонты!P37)</f>
        <v/>
      </c>
      <c r="B252" s="10">
        <f>IF($A252="","",Ремонты!A37)</f>
        <v/>
      </c>
      <c r="C252" s="10">
        <f>IF($A252="","",Ремонты!D37)</f>
        <v/>
      </c>
      <c r="D252" s="10">
        <f>IF($A252="","",Ремонты!E37)</f>
        <v/>
      </c>
      <c r="E252" s="10">
        <f>IF($A252="","","Входной контроль")</f>
        <v/>
      </c>
      <c r="F252" s="10">
        <f>IF($A252="","",Ремонты!T37)</f>
        <v/>
      </c>
      <c r="G252" s="10">
        <f>IF($A252="","","Автозапись из листа Ремонты")</f>
        <v/>
      </c>
    </row>
    <row r="253">
      <c r="A253" s="12">
        <f>IF(Ремонты!S37="","",Ремонты!S37)</f>
        <v/>
      </c>
      <c r="B253" s="10">
        <f>IF($A253="","",Ремонты!A37)</f>
        <v/>
      </c>
      <c r="C253" s="10">
        <f>IF($A253="","",Ремонты!D37)</f>
        <v/>
      </c>
      <c r="D253" s="10">
        <f>IF($A253="","",Ремонты!E37)</f>
        <v/>
      </c>
      <c r="E253" s="10">
        <f>IF($A253="","","Оплата")</f>
        <v/>
      </c>
      <c r="F253" s="10">
        <f>IF($A253="","",Ремонты!T37)</f>
        <v/>
      </c>
      <c r="G253" s="10">
        <f>IF($A253="","","Автозапись из листа Ремонты")</f>
        <v/>
      </c>
    </row>
    <row r="254">
      <c r="A254" s="12">
        <f>IF(Ремонты!G38="","",Ремонты!G38)</f>
        <v/>
      </c>
      <c r="B254" s="10">
        <f>IF($A254="","",Ремонты!A38)</f>
        <v/>
      </c>
      <c r="C254" s="10">
        <f>IF($A254="","",Ремонты!D38)</f>
        <v/>
      </c>
      <c r="D254" s="10">
        <f>IF($A254="","",Ремонты!E38)</f>
        <v/>
      </c>
      <c r="E254" s="10">
        <f>IF($A254="","","Отправка в ремонт")</f>
        <v/>
      </c>
      <c r="F254" s="10">
        <f>IF($A254="","",Ремонты!T38)</f>
        <v/>
      </c>
      <c r="G254" s="10">
        <f>IF($A254="","","Автозапись из листа Ремонты")</f>
        <v/>
      </c>
    </row>
    <row r="255">
      <c r="A255" s="12">
        <f>IF(Ремонты!I38="","",Ремонты!I38)</f>
        <v/>
      </c>
      <c r="B255" s="10">
        <f>IF($A255="","",Ремонты!A38)</f>
        <v/>
      </c>
      <c r="C255" s="10">
        <f>IF($A255="","",Ремонты!D38)</f>
        <v/>
      </c>
      <c r="D255" s="10">
        <f>IF($A255="","",Ремонты!E38)</f>
        <v/>
      </c>
      <c r="E255" s="10">
        <f>IF($A255="","","Отправка из ремонта")</f>
        <v/>
      </c>
      <c r="F255" s="10">
        <f>IF($A255="","",Ремонты!T38)</f>
        <v/>
      </c>
      <c r="G255" s="10">
        <f>IF($A255="","","Автозапись из листа Ремонты")</f>
        <v/>
      </c>
    </row>
    <row r="256">
      <c r="A256" s="12">
        <f>IF(Ремонты!J38="","",Ремонты!J38)</f>
        <v/>
      </c>
      <c r="B256" s="10">
        <f>IF($A256="","",Ремонты!A38)</f>
        <v/>
      </c>
      <c r="C256" s="10">
        <f>IF($A256="","",Ремонты!D38)</f>
        <v/>
      </c>
      <c r="D256" s="10">
        <f>IF($A256="","",Ремонты!E38)</f>
        <v/>
      </c>
      <c r="E256" s="10">
        <f>IF($A256="","","Отправка из Иркутска")</f>
        <v/>
      </c>
      <c r="F256" s="10">
        <f>IF($A256="","",Ремонты!T38)</f>
        <v/>
      </c>
      <c r="G256" s="10">
        <f>IF($A256="","","Автозапись из листа Ремонты")</f>
        <v/>
      </c>
    </row>
    <row r="257">
      <c r="A257" s="12">
        <f>IF(Ремонты!K38="","",Ремонты!K38)</f>
        <v/>
      </c>
      <c r="B257" s="10">
        <f>IF($A257="","",Ремонты!A38)</f>
        <v/>
      </c>
      <c r="C257" s="10">
        <f>IF($A257="","",Ремонты!D38)</f>
        <v/>
      </c>
      <c r="D257" s="10">
        <f>IF($A257="","",Ремонты!E38)</f>
        <v/>
      </c>
      <c r="E257" s="10">
        <f>IF($A257="","","Прибытие в Ленск")</f>
        <v/>
      </c>
      <c r="F257" s="10">
        <f>IF($A257="","",Ремонты!T38)</f>
        <v/>
      </c>
      <c r="G257" s="10">
        <f>IF($A257="","","Автозапись из листа Ремонты")</f>
        <v/>
      </c>
    </row>
    <row r="258">
      <c r="A258" s="12">
        <f>IF(Ремонты!M38="","",Ремонты!M38)</f>
        <v/>
      </c>
      <c r="B258" s="10">
        <f>IF($A258="","",Ремонты!A38)</f>
        <v/>
      </c>
      <c r="C258" s="10">
        <f>IF($A258="","",Ремонты!D38)</f>
        <v/>
      </c>
      <c r="D258" s="10">
        <f>IF($A258="","",Ремонты!E38)</f>
        <v/>
      </c>
      <c r="E258" s="10">
        <f>IF($A258="","","Фактическое получение")</f>
        <v/>
      </c>
      <c r="F258" s="10">
        <f>IF($A258="","",Ремонты!T38)</f>
        <v/>
      </c>
      <c r="G258" s="10">
        <f>IF($A258="","","Автозапись из листа Ремонты")</f>
        <v/>
      </c>
    </row>
    <row r="259">
      <c r="A259" s="12">
        <f>IF(Ремонты!P38="","",Ремонты!P38)</f>
        <v/>
      </c>
      <c r="B259" s="10">
        <f>IF($A259="","",Ремонты!A38)</f>
        <v/>
      </c>
      <c r="C259" s="10">
        <f>IF($A259="","",Ремонты!D38)</f>
        <v/>
      </c>
      <c r="D259" s="10">
        <f>IF($A259="","",Ремонты!E38)</f>
        <v/>
      </c>
      <c r="E259" s="10">
        <f>IF($A259="","","Входной контроль")</f>
        <v/>
      </c>
      <c r="F259" s="10">
        <f>IF($A259="","",Ремонты!T38)</f>
        <v/>
      </c>
      <c r="G259" s="10">
        <f>IF($A259="","","Автозапись из листа Ремонты")</f>
        <v/>
      </c>
    </row>
    <row r="260">
      <c r="A260" s="12">
        <f>IF(Ремонты!S38="","",Ремонты!S38)</f>
        <v/>
      </c>
      <c r="B260" s="10">
        <f>IF($A260="","",Ремонты!A38)</f>
        <v/>
      </c>
      <c r="C260" s="10">
        <f>IF($A260="","",Ремонты!D38)</f>
        <v/>
      </c>
      <c r="D260" s="10">
        <f>IF($A260="","",Ремонты!E38)</f>
        <v/>
      </c>
      <c r="E260" s="10">
        <f>IF($A260="","","Оплата")</f>
        <v/>
      </c>
      <c r="F260" s="10">
        <f>IF($A260="","",Ремонты!T38)</f>
        <v/>
      </c>
      <c r="G260" s="10">
        <f>IF($A260="","","Автозапись из листа Ремонты")</f>
        <v/>
      </c>
    </row>
    <row r="261">
      <c r="A261" s="12">
        <f>IF(Ремонты!G39="","",Ремонты!G39)</f>
        <v/>
      </c>
      <c r="B261" s="10">
        <f>IF($A261="","",Ремонты!A39)</f>
        <v/>
      </c>
      <c r="C261" s="10">
        <f>IF($A261="","",Ремонты!D39)</f>
        <v/>
      </c>
      <c r="D261" s="10">
        <f>IF($A261="","",Ремонты!E39)</f>
        <v/>
      </c>
      <c r="E261" s="10">
        <f>IF($A261="","","Отправка в ремонт")</f>
        <v/>
      </c>
      <c r="F261" s="10">
        <f>IF($A261="","",Ремонты!T39)</f>
        <v/>
      </c>
      <c r="G261" s="10">
        <f>IF($A261="","","Автозапись из листа Ремонты")</f>
        <v/>
      </c>
    </row>
    <row r="262">
      <c r="A262" s="12">
        <f>IF(Ремонты!I39="","",Ремонты!I39)</f>
        <v/>
      </c>
      <c r="B262" s="10">
        <f>IF($A262="","",Ремонты!A39)</f>
        <v/>
      </c>
      <c r="C262" s="10">
        <f>IF($A262="","",Ремонты!D39)</f>
        <v/>
      </c>
      <c r="D262" s="10">
        <f>IF($A262="","",Ремонты!E39)</f>
        <v/>
      </c>
      <c r="E262" s="10">
        <f>IF($A262="","","Отправка из ремонта")</f>
        <v/>
      </c>
      <c r="F262" s="10">
        <f>IF($A262="","",Ремонты!T39)</f>
        <v/>
      </c>
      <c r="G262" s="10">
        <f>IF($A262="","","Автозапись из листа Ремонты")</f>
        <v/>
      </c>
    </row>
    <row r="263">
      <c r="A263" s="12">
        <f>IF(Ремонты!J39="","",Ремонты!J39)</f>
        <v/>
      </c>
      <c r="B263" s="10">
        <f>IF($A263="","",Ремонты!A39)</f>
        <v/>
      </c>
      <c r="C263" s="10">
        <f>IF($A263="","",Ремонты!D39)</f>
        <v/>
      </c>
      <c r="D263" s="10">
        <f>IF($A263="","",Ремонты!E39)</f>
        <v/>
      </c>
      <c r="E263" s="10">
        <f>IF($A263="","","Отправка из Иркутска")</f>
        <v/>
      </c>
      <c r="F263" s="10">
        <f>IF($A263="","",Ремонты!T39)</f>
        <v/>
      </c>
      <c r="G263" s="10">
        <f>IF($A263="","","Автозапись из листа Ремонты")</f>
        <v/>
      </c>
    </row>
    <row r="264">
      <c r="A264" s="12">
        <f>IF(Ремонты!K39="","",Ремонты!K39)</f>
        <v/>
      </c>
      <c r="B264" s="10">
        <f>IF($A264="","",Ремонты!A39)</f>
        <v/>
      </c>
      <c r="C264" s="10">
        <f>IF($A264="","",Ремонты!D39)</f>
        <v/>
      </c>
      <c r="D264" s="10">
        <f>IF($A264="","",Ремонты!E39)</f>
        <v/>
      </c>
      <c r="E264" s="10">
        <f>IF($A264="","","Прибытие в Ленск")</f>
        <v/>
      </c>
      <c r="F264" s="10">
        <f>IF($A264="","",Ремонты!T39)</f>
        <v/>
      </c>
      <c r="G264" s="10">
        <f>IF($A264="","","Автозапись из листа Ремонты")</f>
        <v/>
      </c>
    </row>
    <row r="265">
      <c r="A265" s="12">
        <f>IF(Ремонты!M39="","",Ремонты!M39)</f>
        <v/>
      </c>
      <c r="B265" s="10">
        <f>IF($A265="","",Ремонты!A39)</f>
        <v/>
      </c>
      <c r="C265" s="10">
        <f>IF($A265="","",Ремонты!D39)</f>
        <v/>
      </c>
      <c r="D265" s="10">
        <f>IF($A265="","",Ремонты!E39)</f>
        <v/>
      </c>
      <c r="E265" s="10">
        <f>IF($A265="","","Фактическое получение")</f>
        <v/>
      </c>
      <c r="F265" s="10">
        <f>IF($A265="","",Ремонты!T39)</f>
        <v/>
      </c>
      <c r="G265" s="10">
        <f>IF($A265="","","Автозапись из листа Ремонты")</f>
        <v/>
      </c>
    </row>
    <row r="266">
      <c r="A266" s="12">
        <f>IF(Ремонты!P39="","",Ремонты!P39)</f>
        <v/>
      </c>
      <c r="B266" s="10">
        <f>IF($A266="","",Ремонты!A39)</f>
        <v/>
      </c>
      <c r="C266" s="10">
        <f>IF($A266="","",Ремонты!D39)</f>
        <v/>
      </c>
      <c r="D266" s="10">
        <f>IF($A266="","",Ремонты!E39)</f>
        <v/>
      </c>
      <c r="E266" s="10">
        <f>IF($A266="","","Входной контроль")</f>
        <v/>
      </c>
      <c r="F266" s="10">
        <f>IF($A266="","",Ремонты!T39)</f>
        <v/>
      </c>
      <c r="G266" s="10">
        <f>IF($A266="","","Автозапись из листа Ремонты")</f>
        <v/>
      </c>
    </row>
    <row r="267">
      <c r="A267" s="12">
        <f>IF(Ремонты!S39="","",Ремонты!S39)</f>
        <v/>
      </c>
      <c r="B267" s="10">
        <f>IF($A267="","",Ремонты!A39)</f>
        <v/>
      </c>
      <c r="C267" s="10">
        <f>IF($A267="","",Ремонты!D39)</f>
        <v/>
      </c>
      <c r="D267" s="10">
        <f>IF($A267="","",Ремонты!E39)</f>
        <v/>
      </c>
      <c r="E267" s="10">
        <f>IF($A267="","","Оплата")</f>
        <v/>
      </c>
      <c r="F267" s="10">
        <f>IF($A267="","",Ремонты!T39)</f>
        <v/>
      </c>
      <c r="G267" s="10">
        <f>IF($A267="","","Автозапись из листа Ремонты")</f>
        <v/>
      </c>
    </row>
    <row r="268">
      <c r="A268" s="12">
        <f>IF(Ремонты!G40="","",Ремонты!G40)</f>
        <v/>
      </c>
      <c r="B268" s="10">
        <f>IF($A268="","",Ремонты!A40)</f>
        <v/>
      </c>
      <c r="C268" s="10">
        <f>IF($A268="","",Ремонты!D40)</f>
        <v/>
      </c>
      <c r="D268" s="10">
        <f>IF($A268="","",Ремонты!E40)</f>
        <v/>
      </c>
      <c r="E268" s="10">
        <f>IF($A268="","","Отправка в ремонт")</f>
        <v/>
      </c>
      <c r="F268" s="10">
        <f>IF($A268="","",Ремонты!T40)</f>
        <v/>
      </c>
      <c r="G268" s="10">
        <f>IF($A268="","","Автозапись из листа Ремонты")</f>
        <v/>
      </c>
    </row>
    <row r="269">
      <c r="A269" s="12">
        <f>IF(Ремонты!I40="","",Ремонты!I40)</f>
        <v/>
      </c>
      <c r="B269" s="10">
        <f>IF($A269="","",Ремонты!A40)</f>
        <v/>
      </c>
      <c r="C269" s="10">
        <f>IF($A269="","",Ремонты!D40)</f>
        <v/>
      </c>
      <c r="D269" s="10">
        <f>IF($A269="","",Ремонты!E40)</f>
        <v/>
      </c>
      <c r="E269" s="10">
        <f>IF($A269="","","Отправка из ремонта")</f>
        <v/>
      </c>
      <c r="F269" s="10">
        <f>IF($A269="","",Ремонты!T40)</f>
        <v/>
      </c>
      <c r="G269" s="10">
        <f>IF($A269="","","Автозапись из листа Ремонты")</f>
        <v/>
      </c>
    </row>
    <row r="270">
      <c r="A270" s="12">
        <f>IF(Ремонты!J40="","",Ремонты!J40)</f>
        <v/>
      </c>
      <c r="B270" s="10">
        <f>IF($A270="","",Ремонты!A40)</f>
        <v/>
      </c>
      <c r="C270" s="10">
        <f>IF($A270="","",Ремонты!D40)</f>
        <v/>
      </c>
      <c r="D270" s="10">
        <f>IF($A270="","",Ремонты!E40)</f>
        <v/>
      </c>
      <c r="E270" s="10">
        <f>IF($A270="","","Отправка из Иркутска")</f>
        <v/>
      </c>
      <c r="F270" s="10">
        <f>IF($A270="","",Ремонты!T40)</f>
        <v/>
      </c>
      <c r="G270" s="10">
        <f>IF($A270="","","Автозапись из листа Ремонты")</f>
        <v/>
      </c>
    </row>
    <row r="271">
      <c r="A271" s="12">
        <f>IF(Ремонты!K40="","",Ремонты!K40)</f>
        <v/>
      </c>
      <c r="B271" s="10">
        <f>IF($A271="","",Ремонты!A40)</f>
        <v/>
      </c>
      <c r="C271" s="10">
        <f>IF($A271="","",Ремонты!D40)</f>
        <v/>
      </c>
      <c r="D271" s="10">
        <f>IF($A271="","",Ремонты!E40)</f>
        <v/>
      </c>
      <c r="E271" s="10">
        <f>IF($A271="","","Прибытие в Ленск")</f>
        <v/>
      </c>
      <c r="F271" s="10">
        <f>IF($A271="","",Ремонты!T40)</f>
        <v/>
      </c>
      <c r="G271" s="10">
        <f>IF($A271="","","Автозапись из листа Ремонты")</f>
        <v/>
      </c>
    </row>
    <row r="272">
      <c r="A272" s="12">
        <f>IF(Ремонты!M40="","",Ремонты!M40)</f>
        <v/>
      </c>
      <c r="B272" s="10">
        <f>IF($A272="","",Ремонты!A40)</f>
        <v/>
      </c>
      <c r="C272" s="10">
        <f>IF($A272="","",Ремонты!D40)</f>
        <v/>
      </c>
      <c r="D272" s="10">
        <f>IF($A272="","",Ремонты!E40)</f>
        <v/>
      </c>
      <c r="E272" s="10">
        <f>IF($A272="","","Фактическое получение")</f>
        <v/>
      </c>
      <c r="F272" s="10">
        <f>IF($A272="","",Ремонты!T40)</f>
        <v/>
      </c>
      <c r="G272" s="10">
        <f>IF($A272="","","Автозапись из листа Ремонты")</f>
        <v/>
      </c>
    </row>
    <row r="273">
      <c r="A273" s="12">
        <f>IF(Ремонты!P40="","",Ремонты!P40)</f>
        <v/>
      </c>
      <c r="B273" s="10">
        <f>IF($A273="","",Ремонты!A40)</f>
        <v/>
      </c>
      <c r="C273" s="10">
        <f>IF($A273="","",Ремонты!D40)</f>
        <v/>
      </c>
      <c r="D273" s="10">
        <f>IF($A273="","",Ремонты!E40)</f>
        <v/>
      </c>
      <c r="E273" s="10">
        <f>IF($A273="","","Входной контроль")</f>
        <v/>
      </c>
      <c r="F273" s="10">
        <f>IF($A273="","",Ремонты!T40)</f>
        <v/>
      </c>
      <c r="G273" s="10">
        <f>IF($A273="","","Автозапись из листа Ремонты")</f>
        <v/>
      </c>
    </row>
    <row r="274">
      <c r="A274" s="12">
        <f>IF(Ремонты!S40="","",Ремонты!S40)</f>
        <v/>
      </c>
      <c r="B274" s="10">
        <f>IF($A274="","",Ремонты!A40)</f>
        <v/>
      </c>
      <c r="C274" s="10">
        <f>IF($A274="","",Ремонты!D40)</f>
        <v/>
      </c>
      <c r="D274" s="10">
        <f>IF($A274="","",Ремонты!E40)</f>
        <v/>
      </c>
      <c r="E274" s="10">
        <f>IF($A274="","","Оплата")</f>
        <v/>
      </c>
      <c r="F274" s="10">
        <f>IF($A274="","",Ремонты!T40)</f>
        <v/>
      </c>
      <c r="G274" s="10">
        <f>IF($A274="","","Автозапись из листа Ремонты")</f>
        <v/>
      </c>
    </row>
    <row r="275">
      <c r="A275" s="12">
        <f>IF(Ремонты!G41="","",Ремонты!G41)</f>
        <v/>
      </c>
      <c r="B275" s="10">
        <f>IF($A275="","",Ремонты!A41)</f>
        <v/>
      </c>
      <c r="C275" s="10">
        <f>IF($A275="","",Ремонты!D41)</f>
        <v/>
      </c>
      <c r="D275" s="10">
        <f>IF($A275="","",Ремонты!E41)</f>
        <v/>
      </c>
      <c r="E275" s="10">
        <f>IF($A275="","","Отправка в ремонт")</f>
        <v/>
      </c>
      <c r="F275" s="10">
        <f>IF($A275="","",Ремонты!T41)</f>
        <v/>
      </c>
      <c r="G275" s="10">
        <f>IF($A275="","","Автозапись из листа Ремонты")</f>
        <v/>
      </c>
    </row>
    <row r="276">
      <c r="A276" s="12">
        <f>IF(Ремонты!I41="","",Ремонты!I41)</f>
        <v/>
      </c>
      <c r="B276" s="10">
        <f>IF($A276="","",Ремонты!A41)</f>
        <v/>
      </c>
      <c r="C276" s="10">
        <f>IF($A276="","",Ремонты!D41)</f>
        <v/>
      </c>
      <c r="D276" s="10">
        <f>IF($A276="","",Ремонты!E41)</f>
        <v/>
      </c>
      <c r="E276" s="10">
        <f>IF($A276="","","Отправка из ремонта")</f>
        <v/>
      </c>
      <c r="F276" s="10">
        <f>IF($A276="","",Ремонты!T41)</f>
        <v/>
      </c>
      <c r="G276" s="10">
        <f>IF($A276="","","Автозапись из листа Ремонты")</f>
        <v/>
      </c>
    </row>
    <row r="277">
      <c r="A277" s="12">
        <f>IF(Ремонты!J41="","",Ремонты!J41)</f>
        <v/>
      </c>
      <c r="B277" s="10">
        <f>IF($A277="","",Ремонты!A41)</f>
        <v/>
      </c>
      <c r="C277" s="10">
        <f>IF($A277="","",Ремонты!D41)</f>
        <v/>
      </c>
      <c r="D277" s="10">
        <f>IF($A277="","",Ремонты!E41)</f>
        <v/>
      </c>
      <c r="E277" s="10">
        <f>IF($A277="","","Отправка из Иркутска")</f>
        <v/>
      </c>
      <c r="F277" s="10">
        <f>IF($A277="","",Ремонты!T41)</f>
        <v/>
      </c>
      <c r="G277" s="10">
        <f>IF($A277="","","Автозапись из листа Ремонты")</f>
        <v/>
      </c>
    </row>
    <row r="278">
      <c r="A278" s="12">
        <f>IF(Ремонты!K41="","",Ремонты!K41)</f>
        <v/>
      </c>
      <c r="B278" s="10">
        <f>IF($A278="","",Ремонты!A41)</f>
        <v/>
      </c>
      <c r="C278" s="10">
        <f>IF($A278="","",Ремонты!D41)</f>
        <v/>
      </c>
      <c r="D278" s="10">
        <f>IF($A278="","",Ремонты!E41)</f>
        <v/>
      </c>
      <c r="E278" s="10">
        <f>IF($A278="","","Прибытие в Ленск")</f>
        <v/>
      </c>
      <c r="F278" s="10">
        <f>IF($A278="","",Ремонты!T41)</f>
        <v/>
      </c>
      <c r="G278" s="10">
        <f>IF($A278="","","Автозапись из листа Ремонты")</f>
        <v/>
      </c>
    </row>
    <row r="279">
      <c r="A279" s="12">
        <f>IF(Ремонты!M41="","",Ремонты!M41)</f>
        <v/>
      </c>
      <c r="B279" s="10">
        <f>IF($A279="","",Ремонты!A41)</f>
        <v/>
      </c>
      <c r="C279" s="10">
        <f>IF($A279="","",Ремонты!D41)</f>
        <v/>
      </c>
      <c r="D279" s="10">
        <f>IF($A279="","",Ремонты!E41)</f>
        <v/>
      </c>
      <c r="E279" s="10">
        <f>IF($A279="","","Фактическое получение")</f>
        <v/>
      </c>
      <c r="F279" s="10">
        <f>IF($A279="","",Ремонты!T41)</f>
        <v/>
      </c>
      <c r="G279" s="10">
        <f>IF($A279="","","Автозапись из листа Ремонты")</f>
        <v/>
      </c>
    </row>
    <row r="280">
      <c r="A280" s="12">
        <f>IF(Ремонты!P41="","",Ремонты!P41)</f>
        <v/>
      </c>
      <c r="B280" s="10">
        <f>IF($A280="","",Ремонты!A41)</f>
        <v/>
      </c>
      <c r="C280" s="10">
        <f>IF($A280="","",Ремонты!D41)</f>
        <v/>
      </c>
      <c r="D280" s="10">
        <f>IF($A280="","",Ремонты!E41)</f>
        <v/>
      </c>
      <c r="E280" s="10">
        <f>IF($A280="","","Входной контроль")</f>
        <v/>
      </c>
      <c r="F280" s="10">
        <f>IF($A280="","",Ремонты!T41)</f>
        <v/>
      </c>
      <c r="G280" s="10">
        <f>IF($A280="","","Автозапись из листа Ремонты")</f>
        <v/>
      </c>
    </row>
    <row r="281">
      <c r="A281" s="12">
        <f>IF(Ремонты!S41="","",Ремонты!S41)</f>
        <v/>
      </c>
      <c r="B281" s="10">
        <f>IF($A281="","",Ремонты!A41)</f>
        <v/>
      </c>
      <c r="C281" s="10">
        <f>IF($A281="","",Ремонты!D41)</f>
        <v/>
      </c>
      <c r="D281" s="10">
        <f>IF($A281="","",Ремонты!E41)</f>
        <v/>
      </c>
      <c r="E281" s="10">
        <f>IF($A281="","","Оплата")</f>
        <v/>
      </c>
      <c r="F281" s="10">
        <f>IF($A281="","",Ремонты!T41)</f>
        <v/>
      </c>
      <c r="G281" s="10">
        <f>IF($A281="","","Автозапись из листа Ремонты")</f>
        <v/>
      </c>
    </row>
    <row r="282">
      <c r="A282" s="12">
        <f>IF(Ремонты!G42="","",Ремонты!G42)</f>
        <v/>
      </c>
      <c r="B282" s="10">
        <f>IF($A282="","",Ремонты!A42)</f>
        <v/>
      </c>
      <c r="C282" s="10">
        <f>IF($A282="","",Ремонты!D42)</f>
        <v/>
      </c>
      <c r="D282" s="10">
        <f>IF($A282="","",Ремонты!E42)</f>
        <v/>
      </c>
      <c r="E282" s="10">
        <f>IF($A282="","","Отправка в ремонт")</f>
        <v/>
      </c>
      <c r="F282" s="10">
        <f>IF($A282="","",Ремонты!T42)</f>
        <v/>
      </c>
      <c r="G282" s="10">
        <f>IF($A282="","","Автозапись из листа Ремонты")</f>
        <v/>
      </c>
    </row>
    <row r="283">
      <c r="A283" s="12">
        <f>IF(Ремонты!I42="","",Ремонты!I42)</f>
        <v/>
      </c>
      <c r="B283" s="10">
        <f>IF($A283="","",Ремонты!A42)</f>
        <v/>
      </c>
      <c r="C283" s="10">
        <f>IF($A283="","",Ремонты!D42)</f>
        <v/>
      </c>
      <c r="D283" s="10">
        <f>IF($A283="","",Ремонты!E42)</f>
        <v/>
      </c>
      <c r="E283" s="10">
        <f>IF($A283="","","Отправка из ремонта")</f>
        <v/>
      </c>
      <c r="F283" s="10">
        <f>IF($A283="","",Ремонты!T42)</f>
        <v/>
      </c>
      <c r="G283" s="10">
        <f>IF($A283="","","Автозапись из листа Ремонты")</f>
        <v/>
      </c>
    </row>
    <row r="284">
      <c r="A284" s="12">
        <f>IF(Ремонты!J42="","",Ремонты!J42)</f>
        <v/>
      </c>
      <c r="B284" s="10">
        <f>IF($A284="","",Ремонты!A42)</f>
        <v/>
      </c>
      <c r="C284" s="10">
        <f>IF($A284="","",Ремонты!D42)</f>
        <v/>
      </c>
      <c r="D284" s="10">
        <f>IF($A284="","",Ремонты!E42)</f>
        <v/>
      </c>
      <c r="E284" s="10">
        <f>IF($A284="","","Отправка из Иркутска")</f>
        <v/>
      </c>
      <c r="F284" s="10">
        <f>IF($A284="","",Ремонты!T42)</f>
        <v/>
      </c>
      <c r="G284" s="10">
        <f>IF($A284="","","Автозапись из листа Ремонты")</f>
        <v/>
      </c>
    </row>
    <row r="285">
      <c r="A285" s="12">
        <f>IF(Ремонты!K42="","",Ремонты!K42)</f>
        <v/>
      </c>
      <c r="B285" s="10">
        <f>IF($A285="","",Ремонты!A42)</f>
        <v/>
      </c>
      <c r="C285" s="10">
        <f>IF($A285="","",Ремонты!D42)</f>
        <v/>
      </c>
      <c r="D285" s="10">
        <f>IF($A285="","",Ремонты!E42)</f>
        <v/>
      </c>
      <c r="E285" s="10">
        <f>IF($A285="","","Прибытие в Ленск")</f>
        <v/>
      </c>
      <c r="F285" s="10">
        <f>IF($A285="","",Ремонты!T42)</f>
        <v/>
      </c>
      <c r="G285" s="10">
        <f>IF($A285="","","Автозапись из листа Ремонты")</f>
        <v/>
      </c>
    </row>
    <row r="286">
      <c r="A286" s="12">
        <f>IF(Ремонты!M42="","",Ремонты!M42)</f>
        <v/>
      </c>
      <c r="B286" s="10">
        <f>IF($A286="","",Ремонты!A42)</f>
        <v/>
      </c>
      <c r="C286" s="10">
        <f>IF($A286="","",Ремонты!D42)</f>
        <v/>
      </c>
      <c r="D286" s="10">
        <f>IF($A286="","",Ремонты!E42)</f>
        <v/>
      </c>
      <c r="E286" s="10">
        <f>IF($A286="","","Фактическое получение")</f>
        <v/>
      </c>
      <c r="F286" s="10">
        <f>IF($A286="","",Ремонты!T42)</f>
        <v/>
      </c>
      <c r="G286" s="10">
        <f>IF($A286="","","Автозапись из листа Ремонты")</f>
        <v/>
      </c>
    </row>
    <row r="287">
      <c r="A287" s="12">
        <f>IF(Ремонты!P42="","",Ремонты!P42)</f>
        <v/>
      </c>
      <c r="B287" s="10">
        <f>IF($A287="","",Ремонты!A42)</f>
        <v/>
      </c>
      <c r="C287" s="10">
        <f>IF($A287="","",Ремонты!D42)</f>
        <v/>
      </c>
      <c r="D287" s="10">
        <f>IF($A287="","",Ремонты!E42)</f>
        <v/>
      </c>
      <c r="E287" s="10">
        <f>IF($A287="","","Входной контроль")</f>
        <v/>
      </c>
      <c r="F287" s="10">
        <f>IF($A287="","",Ремонты!T42)</f>
        <v/>
      </c>
      <c r="G287" s="10">
        <f>IF($A287="","","Автозапись из листа Ремонты")</f>
        <v/>
      </c>
    </row>
    <row r="288">
      <c r="A288" s="12">
        <f>IF(Ремонты!S42="","",Ремонты!S42)</f>
        <v/>
      </c>
      <c r="B288" s="10">
        <f>IF($A288="","",Ремонты!A42)</f>
        <v/>
      </c>
      <c r="C288" s="10">
        <f>IF($A288="","",Ремонты!D42)</f>
        <v/>
      </c>
      <c r="D288" s="10">
        <f>IF($A288="","",Ремонты!E42)</f>
        <v/>
      </c>
      <c r="E288" s="10">
        <f>IF($A288="","","Оплата")</f>
        <v/>
      </c>
      <c r="F288" s="10">
        <f>IF($A288="","",Ремонты!T42)</f>
        <v/>
      </c>
      <c r="G288" s="10">
        <f>IF($A288="","","Автозапись из листа Ремонты")</f>
        <v/>
      </c>
    </row>
    <row r="289">
      <c r="A289" s="12">
        <f>IF(Ремонты!G43="","",Ремонты!G43)</f>
        <v/>
      </c>
      <c r="B289" s="10">
        <f>IF($A289="","",Ремонты!A43)</f>
        <v/>
      </c>
      <c r="C289" s="10">
        <f>IF($A289="","",Ремонты!D43)</f>
        <v/>
      </c>
      <c r="D289" s="10">
        <f>IF($A289="","",Ремонты!E43)</f>
        <v/>
      </c>
      <c r="E289" s="10">
        <f>IF($A289="","","Отправка в ремонт")</f>
        <v/>
      </c>
      <c r="F289" s="10">
        <f>IF($A289="","",Ремонты!T43)</f>
        <v/>
      </c>
      <c r="G289" s="10">
        <f>IF($A289="","","Автозапись из листа Ремонты")</f>
        <v/>
      </c>
    </row>
    <row r="290">
      <c r="A290" s="12">
        <f>IF(Ремонты!I43="","",Ремонты!I43)</f>
        <v/>
      </c>
      <c r="B290" s="10">
        <f>IF($A290="","",Ремонты!A43)</f>
        <v/>
      </c>
      <c r="C290" s="10">
        <f>IF($A290="","",Ремонты!D43)</f>
        <v/>
      </c>
      <c r="D290" s="10">
        <f>IF($A290="","",Ремонты!E43)</f>
        <v/>
      </c>
      <c r="E290" s="10">
        <f>IF($A290="","","Отправка из ремонта")</f>
        <v/>
      </c>
      <c r="F290" s="10">
        <f>IF($A290="","",Ремонты!T43)</f>
        <v/>
      </c>
      <c r="G290" s="10">
        <f>IF($A290="","","Автозапись из листа Ремонты")</f>
        <v/>
      </c>
    </row>
    <row r="291">
      <c r="A291" s="12">
        <f>IF(Ремонты!J43="","",Ремонты!J43)</f>
        <v/>
      </c>
      <c r="B291" s="10">
        <f>IF($A291="","",Ремонты!A43)</f>
        <v/>
      </c>
      <c r="C291" s="10">
        <f>IF($A291="","",Ремонты!D43)</f>
        <v/>
      </c>
      <c r="D291" s="10">
        <f>IF($A291="","",Ремонты!E43)</f>
        <v/>
      </c>
      <c r="E291" s="10">
        <f>IF($A291="","","Отправка из Иркутска")</f>
        <v/>
      </c>
      <c r="F291" s="10">
        <f>IF($A291="","",Ремонты!T43)</f>
        <v/>
      </c>
      <c r="G291" s="10">
        <f>IF($A291="","","Автозапись из листа Ремонты")</f>
        <v/>
      </c>
    </row>
    <row r="292">
      <c r="A292" s="12">
        <f>IF(Ремонты!K43="","",Ремонты!K43)</f>
        <v/>
      </c>
      <c r="B292" s="10">
        <f>IF($A292="","",Ремонты!A43)</f>
        <v/>
      </c>
      <c r="C292" s="10">
        <f>IF($A292="","",Ремонты!D43)</f>
        <v/>
      </c>
      <c r="D292" s="10">
        <f>IF($A292="","",Ремонты!E43)</f>
        <v/>
      </c>
      <c r="E292" s="10">
        <f>IF($A292="","","Прибытие в Ленск")</f>
        <v/>
      </c>
      <c r="F292" s="10">
        <f>IF($A292="","",Ремонты!T43)</f>
        <v/>
      </c>
      <c r="G292" s="10">
        <f>IF($A292="","","Автозапись из листа Ремонты")</f>
        <v/>
      </c>
    </row>
    <row r="293">
      <c r="A293" s="12">
        <f>IF(Ремонты!M43="","",Ремонты!M43)</f>
        <v/>
      </c>
      <c r="B293" s="10">
        <f>IF($A293="","",Ремонты!A43)</f>
        <v/>
      </c>
      <c r="C293" s="10">
        <f>IF($A293="","",Ремонты!D43)</f>
        <v/>
      </c>
      <c r="D293" s="10">
        <f>IF($A293="","",Ремонты!E43)</f>
        <v/>
      </c>
      <c r="E293" s="10">
        <f>IF($A293="","","Фактическое получение")</f>
        <v/>
      </c>
      <c r="F293" s="10">
        <f>IF($A293="","",Ремонты!T43)</f>
        <v/>
      </c>
      <c r="G293" s="10">
        <f>IF($A293="","","Автозапись из листа Ремонты")</f>
        <v/>
      </c>
    </row>
    <row r="294">
      <c r="A294" s="12">
        <f>IF(Ремонты!P43="","",Ремонты!P43)</f>
        <v/>
      </c>
      <c r="B294" s="10">
        <f>IF($A294="","",Ремонты!A43)</f>
        <v/>
      </c>
      <c r="C294" s="10">
        <f>IF($A294="","",Ремонты!D43)</f>
        <v/>
      </c>
      <c r="D294" s="10">
        <f>IF($A294="","",Ремонты!E43)</f>
        <v/>
      </c>
      <c r="E294" s="10">
        <f>IF($A294="","","Входной контроль")</f>
        <v/>
      </c>
      <c r="F294" s="10">
        <f>IF($A294="","",Ремонты!T43)</f>
        <v/>
      </c>
      <c r="G294" s="10">
        <f>IF($A294="","","Автозапись из листа Ремонты")</f>
        <v/>
      </c>
    </row>
    <row r="295">
      <c r="A295" s="12">
        <f>IF(Ремонты!S43="","",Ремонты!S43)</f>
        <v/>
      </c>
      <c r="B295" s="10">
        <f>IF($A295="","",Ремонты!A43)</f>
        <v/>
      </c>
      <c r="C295" s="10">
        <f>IF($A295="","",Ремонты!D43)</f>
        <v/>
      </c>
      <c r="D295" s="10">
        <f>IF($A295="","",Ремонты!E43)</f>
        <v/>
      </c>
      <c r="E295" s="10">
        <f>IF($A295="","","Оплата")</f>
        <v/>
      </c>
      <c r="F295" s="10">
        <f>IF($A295="","",Ремонты!T43)</f>
        <v/>
      </c>
      <c r="G295" s="10">
        <f>IF($A295="","","Автозапись из листа Ремонты")</f>
        <v/>
      </c>
    </row>
    <row r="296">
      <c r="A296" s="12">
        <f>IF(Ремонты!G44="","",Ремонты!G44)</f>
        <v/>
      </c>
      <c r="B296" s="10">
        <f>IF($A296="","",Ремонты!A44)</f>
        <v/>
      </c>
      <c r="C296" s="10">
        <f>IF($A296="","",Ремонты!D44)</f>
        <v/>
      </c>
      <c r="D296" s="10">
        <f>IF($A296="","",Ремонты!E44)</f>
        <v/>
      </c>
      <c r="E296" s="10">
        <f>IF($A296="","","Отправка в ремонт")</f>
        <v/>
      </c>
      <c r="F296" s="10">
        <f>IF($A296="","",Ремонты!T44)</f>
        <v/>
      </c>
      <c r="G296" s="10">
        <f>IF($A296="","","Автозапись из листа Ремонты")</f>
        <v/>
      </c>
    </row>
    <row r="297">
      <c r="A297" s="12">
        <f>IF(Ремонты!I44="","",Ремонты!I44)</f>
        <v/>
      </c>
      <c r="B297" s="10">
        <f>IF($A297="","",Ремонты!A44)</f>
        <v/>
      </c>
      <c r="C297" s="10">
        <f>IF($A297="","",Ремонты!D44)</f>
        <v/>
      </c>
      <c r="D297" s="10">
        <f>IF($A297="","",Ремонты!E44)</f>
        <v/>
      </c>
      <c r="E297" s="10">
        <f>IF($A297="","","Отправка из ремонта")</f>
        <v/>
      </c>
      <c r="F297" s="10">
        <f>IF($A297="","",Ремонты!T44)</f>
        <v/>
      </c>
      <c r="G297" s="10">
        <f>IF($A297="","","Автозапись из листа Ремонты")</f>
        <v/>
      </c>
    </row>
    <row r="298">
      <c r="A298" s="12">
        <f>IF(Ремонты!J44="","",Ремонты!J44)</f>
        <v/>
      </c>
      <c r="B298" s="10">
        <f>IF($A298="","",Ремонты!A44)</f>
        <v/>
      </c>
      <c r="C298" s="10">
        <f>IF($A298="","",Ремонты!D44)</f>
        <v/>
      </c>
      <c r="D298" s="10">
        <f>IF($A298="","",Ремонты!E44)</f>
        <v/>
      </c>
      <c r="E298" s="10">
        <f>IF($A298="","","Отправка из Иркутска")</f>
        <v/>
      </c>
      <c r="F298" s="10">
        <f>IF($A298="","",Ремонты!T44)</f>
        <v/>
      </c>
      <c r="G298" s="10">
        <f>IF($A298="","","Автозапись из листа Ремонты")</f>
        <v/>
      </c>
    </row>
    <row r="299">
      <c r="A299" s="12">
        <f>IF(Ремонты!K44="","",Ремонты!K44)</f>
        <v/>
      </c>
      <c r="B299" s="10">
        <f>IF($A299="","",Ремонты!A44)</f>
        <v/>
      </c>
      <c r="C299" s="10">
        <f>IF($A299="","",Ремонты!D44)</f>
        <v/>
      </c>
      <c r="D299" s="10">
        <f>IF($A299="","",Ремонты!E44)</f>
        <v/>
      </c>
      <c r="E299" s="10">
        <f>IF($A299="","","Прибытие в Ленск")</f>
        <v/>
      </c>
      <c r="F299" s="10">
        <f>IF($A299="","",Ремонты!T44)</f>
        <v/>
      </c>
      <c r="G299" s="10">
        <f>IF($A299="","","Автозапись из листа Ремонты")</f>
        <v/>
      </c>
    </row>
    <row r="300">
      <c r="A300" s="12">
        <f>IF(Ремонты!M44="","",Ремонты!M44)</f>
        <v/>
      </c>
      <c r="B300" s="10">
        <f>IF($A300="","",Ремонты!A44)</f>
        <v/>
      </c>
      <c r="C300" s="10">
        <f>IF($A300="","",Ремонты!D44)</f>
        <v/>
      </c>
      <c r="D300" s="10">
        <f>IF($A300="","",Ремонты!E44)</f>
        <v/>
      </c>
      <c r="E300" s="10">
        <f>IF($A300="","","Фактическое получение")</f>
        <v/>
      </c>
      <c r="F300" s="10">
        <f>IF($A300="","",Ремонты!T44)</f>
        <v/>
      </c>
      <c r="G300" s="10">
        <f>IF($A300="","","Автозапись из листа Ремонты")</f>
        <v/>
      </c>
    </row>
    <row r="301">
      <c r="A301" s="12">
        <f>IF(Ремонты!P44="","",Ремонты!P44)</f>
        <v/>
      </c>
      <c r="B301" s="10">
        <f>IF($A301="","",Ремонты!A44)</f>
        <v/>
      </c>
      <c r="C301" s="10">
        <f>IF($A301="","",Ремонты!D44)</f>
        <v/>
      </c>
      <c r="D301" s="10">
        <f>IF($A301="","",Ремонты!E44)</f>
        <v/>
      </c>
      <c r="E301" s="10">
        <f>IF($A301="","","Входной контроль")</f>
        <v/>
      </c>
      <c r="F301" s="10">
        <f>IF($A301="","",Ремонты!T44)</f>
        <v/>
      </c>
      <c r="G301" s="10">
        <f>IF($A301="","","Автозапись из листа Ремонты")</f>
        <v/>
      </c>
    </row>
    <row r="302">
      <c r="A302" s="12">
        <f>IF(Ремонты!S44="","",Ремонты!S44)</f>
        <v/>
      </c>
      <c r="B302" s="10">
        <f>IF($A302="","",Ремонты!A44)</f>
        <v/>
      </c>
      <c r="C302" s="10">
        <f>IF($A302="","",Ремонты!D44)</f>
        <v/>
      </c>
      <c r="D302" s="10">
        <f>IF($A302="","",Ремонты!E44)</f>
        <v/>
      </c>
      <c r="E302" s="10">
        <f>IF($A302="","","Оплата")</f>
        <v/>
      </c>
      <c r="F302" s="10">
        <f>IF($A302="","",Ремонты!T44)</f>
        <v/>
      </c>
      <c r="G302" s="10">
        <f>IF($A302="","","Автозапись из листа Ремонты")</f>
        <v/>
      </c>
    </row>
    <row r="303">
      <c r="A303" s="12">
        <f>IF(Ремонты!G45="","",Ремонты!G45)</f>
        <v/>
      </c>
      <c r="B303" s="10">
        <f>IF($A303="","",Ремонты!A45)</f>
        <v/>
      </c>
      <c r="C303" s="10">
        <f>IF($A303="","",Ремонты!D45)</f>
        <v/>
      </c>
      <c r="D303" s="10">
        <f>IF($A303="","",Ремонты!E45)</f>
        <v/>
      </c>
      <c r="E303" s="10">
        <f>IF($A303="","","Отправка в ремонт")</f>
        <v/>
      </c>
      <c r="F303" s="10">
        <f>IF($A303="","",Ремонты!T45)</f>
        <v/>
      </c>
      <c r="G303" s="10">
        <f>IF($A303="","","Автозапись из листа Ремонты")</f>
        <v/>
      </c>
    </row>
    <row r="304">
      <c r="A304" s="12">
        <f>IF(Ремонты!I45="","",Ремонты!I45)</f>
        <v/>
      </c>
      <c r="B304" s="10">
        <f>IF($A304="","",Ремонты!A45)</f>
        <v/>
      </c>
      <c r="C304" s="10">
        <f>IF($A304="","",Ремонты!D45)</f>
        <v/>
      </c>
      <c r="D304" s="10">
        <f>IF($A304="","",Ремонты!E45)</f>
        <v/>
      </c>
      <c r="E304" s="10">
        <f>IF($A304="","","Отправка из ремонта")</f>
        <v/>
      </c>
      <c r="F304" s="10">
        <f>IF($A304="","",Ремонты!T45)</f>
        <v/>
      </c>
      <c r="G304" s="10">
        <f>IF($A304="","","Автозапись из листа Ремонты")</f>
        <v/>
      </c>
    </row>
    <row r="305">
      <c r="A305" s="12">
        <f>IF(Ремонты!J45="","",Ремонты!J45)</f>
        <v/>
      </c>
      <c r="B305" s="10">
        <f>IF($A305="","",Ремонты!A45)</f>
        <v/>
      </c>
      <c r="C305" s="10">
        <f>IF($A305="","",Ремонты!D45)</f>
        <v/>
      </c>
      <c r="D305" s="10">
        <f>IF($A305="","",Ремонты!E45)</f>
        <v/>
      </c>
      <c r="E305" s="10">
        <f>IF($A305="","","Отправка из Иркутска")</f>
        <v/>
      </c>
      <c r="F305" s="10">
        <f>IF($A305="","",Ремонты!T45)</f>
        <v/>
      </c>
      <c r="G305" s="10">
        <f>IF($A305="","","Автозапись из листа Ремонты")</f>
        <v/>
      </c>
    </row>
    <row r="306">
      <c r="A306" s="12">
        <f>IF(Ремонты!K45="","",Ремонты!K45)</f>
        <v/>
      </c>
      <c r="B306" s="10">
        <f>IF($A306="","",Ремонты!A45)</f>
        <v/>
      </c>
      <c r="C306" s="10">
        <f>IF($A306="","",Ремонты!D45)</f>
        <v/>
      </c>
      <c r="D306" s="10">
        <f>IF($A306="","",Ремонты!E45)</f>
        <v/>
      </c>
      <c r="E306" s="10">
        <f>IF($A306="","","Прибытие в Ленск")</f>
        <v/>
      </c>
      <c r="F306" s="10">
        <f>IF($A306="","",Ремонты!T45)</f>
        <v/>
      </c>
      <c r="G306" s="10">
        <f>IF($A306="","","Автозапись из листа Ремонты")</f>
        <v/>
      </c>
    </row>
    <row r="307">
      <c r="A307" s="12">
        <f>IF(Ремонты!M45="","",Ремонты!M45)</f>
        <v/>
      </c>
      <c r="B307" s="10">
        <f>IF($A307="","",Ремонты!A45)</f>
        <v/>
      </c>
      <c r="C307" s="10">
        <f>IF($A307="","",Ремонты!D45)</f>
        <v/>
      </c>
      <c r="D307" s="10">
        <f>IF($A307="","",Ремонты!E45)</f>
        <v/>
      </c>
      <c r="E307" s="10">
        <f>IF($A307="","","Фактическое получение")</f>
        <v/>
      </c>
      <c r="F307" s="10">
        <f>IF($A307="","",Ремонты!T45)</f>
        <v/>
      </c>
      <c r="G307" s="10">
        <f>IF($A307="","","Автозапись из листа Ремонты")</f>
        <v/>
      </c>
    </row>
    <row r="308">
      <c r="A308" s="12">
        <f>IF(Ремонты!P45="","",Ремонты!P45)</f>
        <v/>
      </c>
      <c r="B308" s="10">
        <f>IF($A308="","",Ремонты!A45)</f>
        <v/>
      </c>
      <c r="C308" s="10">
        <f>IF($A308="","",Ремонты!D45)</f>
        <v/>
      </c>
      <c r="D308" s="10">
        <f>IF($A308="","",Ремонты!E45)</f>
        <v/>
      </c>
      <c r="E308" s="10">
        <f>IF($A308="","","Входной контроль")</f>
        <v/>
      </c>
      <c r="F308" s="10">
        <f>IF($A308="","",Ремонты!T45)</f>
        <v/>
      </c>
      <c r="G308" s="10">
        <f>IF($A308="","","Автозапись из листа Ремонты")</f>
        <v/>
      </c>
    </row>
    <row r="309">
      <c r="A309" s="12">
        <f>IF(Ремонты!S45="","",Ремонты!S45)</f>
        <v/>
      </c>
      <c r="B309" s="10">
        <f>IF($A309="","",Ремонты!A45)</f>
        <v/>
      </c>
      <c r="C309" s="10">
        <f>IF($A309="","",Ремонты!D45)</f>
        <v/>
      </c>
      <c r="D309" s="10">
        <f>IF($A309="","",Ремонты!E45)</f>
        <v/>
      </c>
      <c r="E309" s="10">
        <f>IF($A309="","","Оплата")</f>
        <v/>
      </c>
      <c r="F309" s="10">
        <f>IF($A309="","",Ремонты!T45)</f>
        <v/>
      </c>
      <c r="G309" s="10">
        <f>IF($A309="","","Автозапись из листа Ремонты")</f>
        <v/>
      </c>
    </row>
    <row r="310">
      <c r="A310" s="12">
        <f>IF(Ремонты!G46="","",Ремонты!G46)</f>
        <v/>
      </c>
      <c r="B310" s="10">
        <f>IF($A310="","",Ремонты!A46)</f>
        <v/>
      </c>
      <c r="C310" s="10">
        <f>IF($A310="","",Ремонты!D46)</f>
        <v/>
      </c>
      <c r="D310" s="10">
        <f>IF($A310="","",Ремонты!E46)</f>
        <v/>
      </c>
      <c r="E310" s="10">
        <f>IF($A310="","","Отправка в ремонт")</f>
        <v/>
      </c>
      <c r="F310" s="10">
        <f>IF($A310="","",Ремонты!T46)</f>
        <v/>
      </c>
      <c r="G310" s="10">
        <f>IF($A310="","","Автозапись из листа Ремонты")</f>
        <v/>
      </c>
    </row>
    <row r="311">
      <c r="A311" s="12">
        <f>IF(Ремонты!I46="","",Ремонты!I46)</f>
        <v/>
      </c>
      <c r="B311" s="10">
        <f>IF($A311="","",Ремонты!A46)</f>
        <v/>
      </c>
      <c r="C311" s="10">
        <f>IF($A311="","",Ремонты!D46)</f>
        <v/>
      </c>
      <c r="D311" s="10">
        <f>IF($A311="","",Ремонты!E46)</f>
        <v/>
      </c>
      <c r="E311" s="10">
        <f>IF($A311="","","Отправка из ремонта")</f>
        <v/>
      </c>
      <c r="F311" s="10">
        <f>IF($A311="","",Ремонты!T46)</f>
        <v/>
      </c>
      <c r="G311" s="10">
        <f>IF($A311="","","Автозапись из листа Ремонты")</f>
        <v/>
      </c>
    </row>
    <row r="312">
      <c r="A312" s="12">
        <f>IF(Ремонты!J46="","",Ремонты!J46)</f>
        <v/>
      </c>
      <c r="B312" s="10">
        <f>IF($A312="","",Ремонты!A46)</f>
        <v/>
      </c>
      <c r="C312" s="10">
        <f>IF($A312="","",Ремонты!D46)</f>
        <v/>
      </c>
      <c r="D312" s="10">
        <f>IF($A312="","",Ремонты!E46)</f>
        <v/>
      </c>
      <c r="E312" s="10">
        <f>IF($A312="","","Отправка из Иркутска")</f>
        <v/>
      </c>
      <c r="F312" s="10">
        <f>IF($A312="","",Ремонты!T46)</f>
        <v/>
      </c>
      <c r="G312" s="10">
        <f>IF($A312="","","Автозапись из листа Ремонты")</f>
        <v/>
      </c>
    </row>
    <row r="313">
      <c r="A313" s="12">
        <f>IF(Ремонты!K46="","",Ремонты!K46)</f>
        <v/>
      </c>
      <c r="B313" s="10">
        <f>IF($A313="","",Ремонты!A46)</f>
        <v/>
      </c>
      <c r="C313" s="10">
        <f>IF($A313="","",Ремонты!D46)</f>
        <v/>
      </c>
      <c r="D313" s="10">
        <f>IF($A313="","",Ремонты!E46)</f>
        <v/>
      </c>
      <c r="E313" s="10">
        <f>IF($A313="","","Прибытие в Ленск")</f>
        <v/>
      </c>
      <c r="F313" s="10">
        <f>IF($A313="","",Ремонты!T46)</f>
        <v/>
      </c>
      <c r="G313" s="10">
        <f>IF($A313="","","Автозапись из листа Ремонты")</f>
        <v/>
      </c>
    </row>
    <row r="314">
      <c r="A314" s="12">
        <f>IF(Ремонты!M46="","",Ремонты!M46)</f>
        <v/>
      </c>
      <c r="B314" s="10">
        <f>IF($A314="","",Ремонты!A46)</f>
        <v/>
      </c>
      <c r="C314" s="10">
        <f>IF($A314="","",Ремонты!D46)</f>
        <v/>
      </c>
      <c r="D314" s="10">
        <f>IF($A314="","",Ремонты!E46)</f>
        <v/>
      </c>
      <c r="E314" s="10">
        <f>IF($A314="","","Фактическое получение")</f>
        <v/>
      </c>
      <c r="F314" s="10">
        <f>IF($A314="","",Ремонты!T46)</f>
        <v/>
      </c>
      <c r="G314" s="10">
        <f>IF($A314="","","Автозапись из листа Ремонты")</f>
        <v/>
      </c>
    </row>
    <row r="315">
      <c r="A315" s="12">
        <f>IF(Ремонты!P46="","",Ремонты!P46)</f>
        <v/>
      </c>
      <c r="B315" s="10">
        <f>IF($A315="","",Ремонты!A46)</f>
        <v/>
      </c>
      <c r="C315" s="10">
        <f>IF($A315="","",Ремонты!D46)</f>
        <v/>
      </c>
      <c r="D315" s="10">
        <f>IF($A315="","",Ремонты!E46)</f>
        <v/>
      </c>
      <c r="E315" s="10">
        <f>IF($A315="","","Входной контроль")</f>
        <v/>
      </c>
      <c r="F315" s="10">
        <f>IF($A315="","",Ремонты!T46)</f>
        <v/>
      </c>
      <c r="G315" s="10">
        <f>IF($A315="","","Автозапись из листа Ремонты")</f>
        <v/>
      </c>
    </row>
    <row r="316">
      <c r="A316" s="12">
        <f>IF(Ремонты!S46="","",Ремонты!S46)</f>
        <v/>
      </c>
      <c r="B316" s="10">
        <f>IF($A316="","",Ремонты!A46)</f>
        <v/>
      </c>
      <c r="C316" s="10">
        <f>IF($A316="","",Ремонты!D46)</f>
        <v/>
      </c>
      <c r="D316" s="10">
        <f>IF($A316="","",Ремонты!E46)</f>
        <v/>
      </c>
      <c r="E316" s="10">
        <f>IF($A316="","","Оплата")</f>
        <v/>
      </c>
      <c r="F316" s="10">
        <f>IF($A316="","",Ремонты!T46)</f>
        <v/>
      </c>
      <c r="G316" s="10">
        <f>IF($A316="","","Автозапись из листа Ремонты")</f>
        <v/>
      </c>
    </row>
    <row r="317">
      <c r="A317" s="12">
        <f>IF(Ремонты!G47="","",Ремонты!G47)</f>
        <v/>
      </c>
      <c r="B317" s="10">
        <f>IF($A317="","",Ремонты!A47)</f>
        <v/>
      </c>
      <c r="C317" s="10">
        <f>IF($A317="","",Ремонты!D47)</f>
        <v/>
      </c>
      <c r="D317" s="10">
        <f>IF($A317="","",Ремонты!E47)</f>
        <v/>
      </c>
      <c r="E317" s="10">
        <f>IF($A317="","","Отправка в ремонт")</f>
        <v/>
      </c>
      <c r="F317" s="10">
        <f>IF($A317="","",Ремонты!T47)</f>
        <v/>
      </c>
      <c r="G317" s="10">
        <f>IF($A317="","","Автозапись из листа Ремонты")</f>
        <v/>
      </c>
    </row>
    <row r="318">
      <c r="A318" s="12">
        <f>IF(Ремонты!I47="","",Ремонты!I47)</f>
        <v/>
      </c>
      <c r="B318" s="10">
        <f>IF($A318="","",Ремонты!A47)</f>
        <v/>
      </c>
      <c r="C318" s="10">
        <f>IF($A318="","",Ремонты!D47)</f>
        <v/>
      </c>
      <c r="D318" s="10">
        <f>IF($A318="","",Ремонты!E47)</f>
        <v/>
      </c>
      <c r="E318" s="10">
        <f>IF($A318="","","Отправка из ремонта")</f>
        <v/>
      </c>
      <c r="F318" s="10">
        <f>IF($A318="","",Ремонты!T47)</f>
        <v/>
      </c>
      <c r="G318" s="10">
        <f>IF($A318="","","Автозапись из листа Ремонты")</f>
        <v/>
      </c>
    </row>
    <row r="319">
      <c r="A319" s="12">
        <f>IF(Ремонты!J47="","",Ремонты!J47)</f>
        <v/>
      </c>
      <c r="B319" s="10">
        <f>IF($A319="","",Ремонты!A47)</f>
        <v/>
      </c>
      <c r="C319" s="10">
        <f>IF($A319="","",Ремонты!D47)</f>
        <v/>
      </c>
      <c r="D319" s="10">
        <f>IF($A319="","",Ремонты!E47)</f>
        <v/>
      </c>
      <c r="E319" s="10">
        <f>IF($A319="","","Отправка из Иркутска")</f>
        <v/>
      </c>
      <c r="F319" s="10">
        <f>IF($A319="","",Ремонты!T47)</f>
        <v/>
      </c>
      <c r="G319" s="10">
        <f>IF($A319="","","Автозапись из листа Ремонты")</f>
        <v/>
      </c>
    </row>
    <row r="320">
      <c r="A320" s="12">
        <f>IF(Ремонты!K47="","",Ремонты!K47)</f>
        <v/>
      </c>
      <c r="B320" s="10">
        <f>IF($A320="","",Ремонты!A47)</f>
        <v/>
      </c>
      <c r="C320" s="10">
        <f>IF($A320="","",Ремонты!D47)</f>
        <v/>
      </c>
      <c r="D320" s="10">
        <f>IF($A320="","",Ремонты!E47)</f>
        <v/>
      </c>
      <c r="E320" s="10">
        <f>IF($A320="","","Прибытие в Ленск")</f>
        <v/>
      </c>
      <c r="F320" s="10">
        <f>IF($A320="","",Ремонты!T47)</f>
        <v/>
      </c>
      <c r="G320" s="10">
        <f>IF($A320="","","Автозапись из листа Ремонты")</f>
        <v/>
      </c>
    </row>
    <row r="321">
      <c r="A321" s="12">
        <f>IF(Ремонты!M47="","",Ремонты!M47)</f>
        <v/>
      </c>
      <c r="B321" s="10">
        <f>IF($A321="","",Ремонты!A47)</f>
        <v/>
      </c>
      <c r="C321" s="10">
        <f>IF($A321="","",Ремонты!D47)</f>
        <v/>
      </c>
      <c r="D321" s="10">
        <f>IF($A321="","",Ремонты!E47)</f>
        <v/>
      </c>
      <c r="E321" s="10">
        <f>IF($A321="","","Фактическое получение")</f>
        <v/>
      </c>
      <c r="F321" s="10">
        <f>IF($A321="","",Ремонты!T47)</f>
        <v/>
      </c>
      <c r="G321" s="10">
        <f>IF($A321="","","Автозапись из листа Ремонты")</f>
        <v/>
      </c>
    </row>
    <row r="322">
      <c r="A322" s="12">
        <f>IF(Ремонты!P47="","",Ремонты!P47)</f>
        <v/>
      </c>
      <c r="B322" s="10">
        <f>IF($A322="","",Ремонты!A47)</f>
        <v/>
      </c>
      <c r="C322" s="10">
        <f>IF($A322="","",Ремонты!D47)</f>
        <v/>
      </c>
      <c r="D322" s="10">
        <f>IF($A322="","",Ремонты!E47)</f>
        <v/>
      </c>
      <c r="E322" s="10">
        <f>IF($A322="","","Входной контроль")</f>
        <v/>
      </c>
      <c r="F322" s="10">
        <f>IF($A322="","",Ремонты!T47)</f>
        <v/>
      </c>
      <c r="G322" s="10">
        <f>IF($A322="","","Автозапись из листа Ремонты")</f>
        <v/>
      </c>
    </row>
    <row r="323">
      <c r="A323" s="12">
        <f>IF(Ремонты!S47="","",Ремонты!S47)</f>
        <v/>
      </c>
      <c r="B323" s="10">
        <f>IF($A323="","",Ремонты!A47)</f>
        <v/>
      </c>
      <c r="C323" s="10">
        <f>IF($A323="","",Ремонты!D47)</f>
        <v/>
      </c>
      <c r="D323" s="10">
        <f>IF($A323="","",Ремонты!E47)</f>
        <v/>
      </c>
      <c r="E323" s="10">
        <f>IF($A323="","","Оплата")</f>
        <v/>
      </c>
      <c r="F323" s="10">
        <f>IF($A323="","",Ремонты!T47)</f>
        <v/>
      </c>
      <c r="G323" s="10">
        <f>IF($A323="","","Автозапись из листа Ремонты")</f>
        <v/>
      </c>
    </row>
    <row r="324">
      <c r="A324" s="12">
        <f>IF(Ремонты!G48="","",Ремонты!G48)</f>
        <v/>
      </c>
      <c r="B324" s="10">
        <f>IF($A324="","",Ремонты!A48)</f>
        <v/>
      </c>
      <c r="C324" s="10">
        <f>IF($A324="","",Ремонты!D48)</f>
        <v/>
      </c>
      <c r="D324" s="10">
        <f>IF($A324="","",Ремонты!E48)</f>
        <v/>
      </c>
      <c r="E324" s="10">
        <f>IF($A324="","","Отправка в ремонт")</f>
        <v/>
      </c>
      <c r="F324" s="10">
        <f>IF($A324="","",Ремонты!T48)</f>
        <v/>
      </c>
      <c r="G324" s="10">
        <f>IF($A324="","","Автозапись из листа Ремонты")</f>
        <v/>
      </c>
    </row>
    <row r="325">
      <c r="A325" s="12">
        <f>IF(Ремонты!I48="","",Ремонты!I48)</f>
        <v/>
      </c>
      <c r="B325" s="10">
        <f>IF($A325="","",Ремонты!A48)</f>
        <v/>
      </c>
      <c r="C325" s="10">
        <f>IF($A325="","",Ремонты!D48)</f>
        <v/>
      </c>
      <c r="D325" s="10">
        <f>IF($A325="","",Ремонты!E48)</f>
        <v/>
      </c>
      <c r="E325" s="10">
        <f>IF($A325="","","Отправка из ремонта")</f>
        <v/>
      </c>
      <c r="F325" s="10">
        <f>IF($A325="","",Ремонты!T48)</f>
        <v/>
      </c>
      <c r="G325" s="10">
        <f>IF($A325="","","Автозапись из листа Ремонты")</f>
        <v/>
      </c>
    </row>
    <row r="326">
      <c r="A326" s="12">
        <f>IF(Ремонты!J48="","",Ремонты!J48)</f>
        <v/>
      </c>
      <c r="B326" s="10">
        <f>IF($A326="","",Ремонты!A48)</f>
        <v/>
      </c>
      <c r="C326" s="10">
        <f>IF($A326="","",Ремонты!D48)</f>
        <v/>
      </c>
      <c r="D326" s="10">
        <f>IF($A326="","",Ремонты!E48)</f>
        <v/>
      </c>
      <c r="E326" s="10">
        <f>IF($A326="","","Отправка из Иркутска")</f>
        <v/>
      </c>
      <c r="F326" s="10">
        <f>IF($A326="","",Ремонты!T48)</f>
        <v/>
      </c>
      <c r="G326" s="10">
        <f>IF($A326="","","Автозапись из листа Ремонты")</f>
        <v/>
      </c>
    </row>
    <row r="327">
      <c r="A327" s="12">
        <f>IF(Ремонты!K48="","",Ремонты!K48)</f>
        <v/>
      </c>
      <c r="B327" s="10">
        <f>IF($A327="","",Ремонты!A48)</f>
        <v/>
      </c>
      <c r="C327" s="10">
        <f>IF($A327="","",Ремонты!D48)</f>
        <v/>
      </c>
      <c r="D327" s="10">
        <f>IF($A327="","",Ремонты!E48)</f>
        <v/>
      </c>
      <c r="E327" s="10">
        <f>IF($A327="","","Прибытие в Ленск")</f>
        <v/>
      </c>
      <c r="F327" s="10">
        <f>IF($A327="","",Ремонты!T48)</f>
        <v/>
      </c>
      <c r="G327" s="10">
        <f>IF($A327="","","Автозапись из листа Ремонты")</f>
        <v/>
      </c>
    </row>
    <row r="328">
      <c r="A328" s="12">
        <f>IF(Ремонты!M48="","",Ремонты!M48)</f>
        <v/>
      </c>
      <c r="B328" s="10">
        <f>IF($A328="","",Ремонты!A48)</f>
        <v/>
      </c>
      <c r="C328" s="10">
        <f>IF($A328="","",Ремонты!D48)</f>
        <v/>
      </c>
      <c r="D328" s="10">
        <f>IF($A328="","",Ремонты!E48)</f>
        <v/>
      </c>
      <c r="E328" s="10">
        <f>IF($A328="","","Фактическое получение")</f>
        <v/>
      </c>
      <c r="F328" s="10">
        <f>IF($A328="","",Ремонты!T48)</f>
        <v/>
      </c>
      <c r="G328" s="10">
        <f>IF($A328="","","Автозапись из листа Ремонты")</f>
        <v/>
      </c>
    </row>
    <row r="329">
      <c r="A329" s="12">
        <f>IF(Ремонты!P48="","",Ремонты!P48)</f>
        <v/>
      </c>
      <c r="B329" s="10">
        <f>IF($A329="","",Ремонты!A48)</f>
        <v/>
      </c>
      <c r="C329" s="10">
        <f>IF($A329="","",Ремонты!D48)</f>
        <v/>
      </c>
      <c r="D329" s="10">
        <f>IF($A329="","",Ремонты!E48)</f>
        <v/>
      </c>
      <c r="E329" s="10">
        <f>IF($A329="","","Входной контроль")</f>
        <v/>
      </c>
      <c r="F329" s="10">
        <f>IF($A329="","",Ремонты!T48)</f>
        <v/>
      </c>
      <c r="G329" s="10">
        <f>IF($A329="","","Автозапись из листа Ремонты")</f>
        <v/>
      </c>
    </row>
    <row r="330">
      <c r="A330" s="12">
        <f>IF(Ремонты!S48="","",Ремонты!S48)</f>
        <v/>
      </c>
      <c r="B330" s="10">
        <f>IF($A330="","",Ремонты!A48)</f>
        <v/>
      </c>
      <c r="C330" s="10">
        <f>IF($A330="","",Ремонты!D48)</f>
        <v/>
      </c>
      <c r="D330" s="10">
        <f>IF($A330="","",Ремонты!E48)</f>
        <v/>
      </c>
      <c r="E330" s="10">
        <f>IF($A330="","","Оплата")</f>
        <v/>
      </c>
      <c r="F330" s="10">
        <f>IF($A330="","",Ремонты!T48)</f>
        <v/>
      </c>
      <c r="G330" s="10">
        <f>IF($A330="","","Автозапись из листа Ремонты")</f>
        <v/>
      </c>
    </row>
    <row r="331">
      <c r="A331" s="12">
        <f>IF(Ремонты!G49="","",Ремонты!G49)</f>
        <v/>
      </c>
      <c r="B331" s="10">
        <f>IF($A331="","",Ремонты!A49)</f>
        <v/>
      </c>
      <c r="C331" s="10">
        <f>IF($A331="","",Ремонты!D49)</f>
        <v/>
      </c>
      <c r="D331" s="10">
        <f>IF($A331="","",Ремонты!E49)</f>
        <v/>
      </c>
      <c r="E331" s="10">
        <f>IF($A331="","","Отправка в ремонт")</f>
        <v/>
      </c>
      <c r="F331" s="10">
        <f>IF($A331="","",Ремонты!T49)</f>
        <v/>
      </c>
      <c r="G331" s="10">
        <f>IF($A331="","","Автозапись из листа Ремонты")</f>
        <v/>
      </c>
    </row>
    <row r="332">
      <c r="A332" s="12">
        <f>IF(Ремонты!I49="","",Ремонты!I49)</f>
        <v/>
      </c>
      <c r="B332" s="10">
        <f>IF($A332="","",Ремонты!A49)</f>
        <v/>
      </c>
      <c r="C332" s="10">
        <f>IF($A332="","",Ремонты!D49)</f>
        <v/>
      </c>
      <c r="D332" s="10">
        <f>IF($A332="","",Ремонты!E49)</f>
        <v/>
      </c>
      <c r="E332" s="10">
        <f>IF($A332="","","Отправка из ремонта")</f>
        <v/>
      </c>
      <c r="F332" s="10">
        <f>IF($A332="","",Ремонты!T49)</f>
        <v/>
      </c>
      <c r="G332" s="10">
        <f>IF($A332="","","Автозапись из листа Ремонты")</f>
        <v/>
      </c>
    </row>
    <row r="333">
      <c r="A333" s="12">
        <f>IF(Ремонты!J49="","",Ремонты!J49)</f>
        <v/>
      </c>
      <c r="B333" s="10">
        <f>IF($A333="","",Ремонты!A49)</f>
        <v/>
      </c>
      <c r="C333" s="10">
        <f>IF($A333="","",Ремонты!D49)</f>
        <v/>
      </c>
      <c r="D333" s="10">
        <f>IF($A333="","",Ремонты!E49)</f>
        <v/>
      </c>
      <c r="E333" s="10">
        <f>IF($A333="","","Отправка из Иркутска")</f>
        <v/>
      </c>
      <c r="F333" s="10">
        <f>IF($A333="","",Ремонты!T49)</f>
        <v/>
      </c>
      <c r="G333" s="10">
        <f>IF($A333="","","Автозапись из листа Ремонты")</f>
        <v/>
      </c>
    </row>
    <row r="334">
      <c r="A334" s="12">
        <f>IF(Ремонты!K49="","",Ремонты!K49)</f>
        <v/>
      </c>
      <c r="B334" s="10">
        <f>IF($A334="","",Ремонты!A49)</f>
        <v/>
      </c>
      <c r="C334" s="10">
        <f>IF($A334="","",Ремонты!D49)</f>
        <v/>
      </c>
      <c r="D334" s="10">
        <f>IF($A334="","",Ремонты!E49)</f>
        <v/>
      </c>
      <c r="E334" s="10">
        <f>IF($A334="","","Прибытие в Ленск")</f>
        <v/>
      </c>
      <c r="F334" s="10">
        <f>IF($A334="","",Ремонты!T49)</f>
        <v/>
      </c>
      <c r="G334" s="10">
        <f>IF($A334="","","Автозапись из листа Ремонты")</f>
        <v/>
      </c>
    </row>
    <row r="335">
      <c r="A335" s="12">
        <f>IF(Ремонты!M49="","",Ремонты!M49)</f>
        <v/>
      </c>
      <c r="B335" s="10">
        <f>IF($A335="","",Ремонты!A49)</f>
        <v/>
      </c>
      <c r="C335" s="10">
        <f>IF($A335="","",Ремонты!D49)</f>
        <v/>
      </c>
      <c r="D335" s="10">
        <f>IF($A335="","",Ремонты!E49)</f>
        <v/>
      </c>
      <c r="E335" s="10">
        <f>IF($A335="","","Фактическое получение")</f>
        <v/>
      </c>
      <c r="F335" s="10">
        <f>IF($A335="","",Ремонты!T49)</f>
        <v/>
      </c>
      <c r="G335" s="10">
        <f>IF($A335="","","Автозапись из листа Ремонты")</f>
        <v/>
      </c>
    </row>
    <row r="336">
      <c r="A336" s="12">
        <f>IF(Ремонты!P49="","",Ремонты!P49)</f>
        <v/>
      </c>
      <c r="B336" s="10">
        <f>IF($A336="","",Ремонты!A49)</f>
        <v/>
      </c>
      <c r="C336" s="10">
        <f>IF($A336="","",Ремонты!D49)</f>
        <v/>
      </c>
      <c r="D336" s="10">
        <f>IF($A336="","",Ремонты!E49)</f>
        <v/>
      </c>
      <c r="E336" s="10">
        <f>IF($A336="","","Входной контроль")</f>
        <v/>
      </c>
      <c r="F336" s="10">
        <f>IF($A336="","",Ремонты!T49)</f>
        <v/>
      </c>
      <c r="G336" s="10">
        <f>IF($A336="","","Автозапись из листа Ремонты")</f>
        <v/>
      </c>
    </row>
    <row r="337">
      <c r="A337" s="12">
        <f>IF(Ремонты!S49="","",Ремонты!S49)</f>
        <v/>
      </c>
      <c r="B337" s="10">
        <f>IF($A337="","",Ремонты!A49)</f>
        <v/>
      </c>
      <c r="C337" s="10">
        <f>IF($A337="","",Ремонты!D49)</f>
        <v/>
      </c>
      <c r="D337" s="10">
        <f>IF($A337="","",Ремонты!E49)</f>
        <v/>
      </c>
      <c r="E337" s="10">
        <f>IF($A337="","","Оплата")</f>
        <v/>
      </c>
      <c r="F337" s="10">
        <f>IF($A337="","",Ремонты!T49)</f>
        <v/>
      </c>
      <c r="G337" s="10">
        <f>IF($A337="","","Автозапись из листа Ремонты")</f>
        <v/>
      </c>
    </row>
    <row r="338">
      <c r="A338" s="12">
        <f>IF(Ремонты!G50="","",Ремонты!G50)</f>
        <v/>
      </c>
      <c r="B338" s="10">
        <f>IF($A338="","",Ремонты!A50)</f>
        <v/>
      </c>
      <c r="C338" s="10">
        <f>IF($A338="","",Ремонты!D50)</f>
        <v/>
      </c>
      <c r="D338" s="10">
        <f>IF($A338="","",Ремонты!E50)</f>
        <v/>
      </c>
      <c r="E338" s="10">
        <f>IF($A338="","","Отправка в ремонт")</f>
        <v/>
      </c>
      <c r="F338" s="10">
        <f>IF($A338="","",Ремонты!T50)</f>
        <v/>
      </c>
      <c r="G338" s="10">
        <f>IF($A338="","","Автозапись из листа Ремонты")</f>
        <v/>
      </c>
    </row>
    <row r="339">
      <c r="A339" s="12">
        <f>IF(Ремонты!I50="","",Ремонты!I50)</f>
        <v/>
      </c>
      <c r="B339" s="10">
        <f>IF($A339="","",Ремонты!A50)</f>
        <v/>
      </c>
      <c r="C339" s="10">
        <f>IF($A339="","",Ремонты!D50)</f>
        <v/>
      </c>
      <c r="D339" s="10">
        <f>IF($A339="","",Ремонты!E50)</f>
        <v/>
      </c>
      <c r="E339" s="10">
        <f>IF($A339="","","Отправка из ремонта")</f>
        <v/>
      </c>
      <c r="F339" s="10">
        <f>IF($A339="","",Ремонты!T50)</f>
        <v/>
      </c>
      <c r="G339" s="10">
        <f>IF($A339="","","Автозапись из листа Ремонты")</f>
        <v/>
      </c>
    </row>
    <row r="340">
      <c r="A340" s="12">
        <f>IF(Ремонты!J50="","",Ремонты!J50)</f>
        <v/>
      </c>
      <c r="B340" s="10">
        <f>IF($A340="","",Ремонты!A50)</f>
        <v/>
      </c>
      <c r="C340" s="10">
        <f>IF($A340="","",Ремонты!D50)</f>
        <v/>
      </c>
      <c r="D340" s="10">
        <f>IF($A340="","",Ремонты!E50)</f>
        <v/>
      </c>
      <c r="E340" s="10">
        <f>IF($A340="","","Отправка из Иркутска")</f>
        <v/>
      </c>
      <c r="F340" s="10">
        <f>IF($A340="","",Ремонты!T50)</f>
        <v/>
      </c>
      <c r="G340" s="10">
        <f>IF($A340="","","Автозапись из листа Ремонты")</f>
        <v/>
      </c>
    </row>
    <row r="341">
      <c r="A341" s="12">
        <f>IF(Ремонты!K50="","",Ремонты!K50)</f>
        <v/>
      </c>
      <c r="B341" s="10">
        <f>IF($A341="","",Ремонты!A50)</f>
        <v/>
      </c>
      <c r="C341" s="10">
        <f>IF($A341="","",Ремонты!D50)</f>
        <v/>
      </c>
      <c r="D341" s="10">
        <f>IF($A341="","",Ремонты!E50)</f>
        <v/>
      </c>
      <c r="E341" s="10">
        <f>IF($A341="","","Прибытие в Ленск")</f>
        <v/>
      </c>
      <c r="F341" s="10">
        <f>IF($A341="","",Ремонты!T50)</f>
        <v/>
      </c>
      <c r="G341" s="10">
        <f>IF($A341="","","Автозапись из листа Ремонты")</f>
        <v/>
      </c>
    </row>
    <row r="342">
      <c r="A342" s="12">
        <f>IF(Ремонты!M50="","",Ремонты!M50)</f>
        <v/>
      </c>
      <c r="B342" s="10">
        <f>IF($A342="","",Ремонты!A50)</f>
        <v/>
      </c>
      <c r="C342" s="10">
        <f>IF($A342="","",Ремонты!D50)</f>
        <v/>
      </c>
      <c r="D342" s="10">
        <f>IF($A342="","",Ремонты!E50)</f>
        <v/>
      </c>
      <c r="E342" s="10">
        <f>IF($A342="","","Фактическое получение")</f>
        <v/>
      </c>
      <c r="F342" s="10">
        <f>IF($A342="","",Ремонты!T50)</f>
        <v/>
      </c>
      <c r="G342" s="10">
        <f>IF($A342="","","Автозапись из листа Ремонты")</f>
        <v/>
      </c>
    </row>
    <row r="343">
      <c r="A343" s="12">
        <f>IF(Ремонты!P50="","",Ремонты!P50)</f>
        <v/>
      </c>
      <c r="B343" s="10">
        <f>IF($A343="","",Ремонты!A50)</f>
        <v/>
      </c>
      <c r="C343" s="10">
        <f>IF($A343="","",Ремонты!D50)</f>
        <v/>
      </c>
      <c r="D343" s="10">
        <f>IF($A343="","",Ремонты!E50)</f>
        <v/>
      </c>
      <c r="E343" s="10">
        <f>IF($A343="","","Входной контроль")</f>
        <v/>
      </c>
      <c r="F343" s="10">
        <f>IF($A343="","",Ремонты!T50)</f>
        <v/>
      </c>
      <c r="G343" s="10">
        <f>IF($A343="","","Автозапись из листа Ремонты")</f>
        <v/>
      </c>
    </row>
    <row r="344">
      <c r="A344" s="12">
        <f>IF(Ремонты!S50="","",Ремонты!S50)</f>
        <v/>
      </c>
      <c r="B344" s="10">
        <f>IF($A344="","",Ремонты!A50)</f>
        <v/>
      </c>
      <c r="C344" s="10">
        <f>IF($A344="","",Ремонты!D50)</f>
        <v/>
      </c>
      <c r="D344" s="10">
        <f>IF($A344="","",Ремонты!E50)</f>
        <v/>
      </c>
      <c r="E344" s="10">
        <f>IF($A344="","","Оплата")</f>
        <v/>
      </c>
      <c r="F344" s="10">
        <f>IF($A344="","",Ремонты!T50)</f>
        <v/>
      </c>
      <c r="G344" s="10">
        <f>IF($A344="","","Автозапись из листа Ремонты")</f>
        <v/>
      </c>
    </row>
    <row r="345">
      <c r="A345" s="12">
        <f>IF(Ремонты!G51="","",Ремонты!G51)</f>
        <v/>
      </c>
      <c r="B345" s="10">
        <f>IF($A345="","",Ремонты!A51)</f>
        <v/>
      </c>
      <c r="C345" s="10">
        <f>IF($A345="","",Ремонты!D51)</f>
        <v/>
      </c>
      <c r="D345" s="10">
        <f>IF($A345="","",Ремонты!E51)</f>
        <v/>
      </c>
      <c r="E345" s="10">
        <f>IF($A345="","","Отправка в ремонт")</f>
        <v/>
      </c>
      <c r="F345" s="10">
        <f>IF($A345="","",Ремонты!T51)</f>
        <v/>
      </c>
      <c r="G345" s="10">
        <f>IF($A345="","","Автозапись из листа Ремонты")</f>
        <v/>
      </c>
    </row>
    <row r="346">
      <c r="A346" s="12">
        <f>IF(Ремонты!I51="","",Ремонты!I51)</f>
        <v/>
      </c>
      <c r="B346" s="10">
        <f>IF($A346="","",Ремонты!A51)</f>
        <v/>
      </c>
      <c r="C346" s="10">
        <f>IF($A346="","",Ремонты!D51)</f>
        <v/>
      </c>
      <c r="D346" s="10">
        <f>IF($A346="","",Ремонты!E51)</f>
        <v/>
      </c>
      <c r="E346" s="10">
        <f>IF($A346="","","Отправка из ремонта")</f>
        <v/>
      </c>
      <c r="F346" s="10">
        <f>IF($A346="","",Ремонты!T51)</f>
        <v/>
      </c>
      <c r="G346" s="10">
        <f>IF($A346="","","Автозапись из листа Ремонты")</f>
        <v/>
      </c>
    </row>
    <row r="347">
      <c r="A347" s="12">
        <f>IF(Ремонты!J51="","",Ремонты!J51)</f>
        <v/>
      </c>
      <c r="B347" s="10">
        <f>IF($A347="","",Ремонты!A51)</f>
        <v/>
      </c>
      <c r="C347" s="10">
        <f>IF($A347="","",Ремонты!D51)</f>
        <v/>
      </c>
      <c r="D347" s="10">
        <f>IF($A347="","",Ремонты!E51)</f>
        <v/>
      </c>
      <c r="E347" s="10">
        <f>IF($A347="","","Отправка из Иркутска")</f>
        <v/>
      </c>
      <c r="F347" s="10">
        <f>IF($A347="","",Ремонты!T51)</f>
        <v/>
      </c>
      <c r="G347" s="10">
        <f>IF($A347="","","Автозапись из листа Ремонты")</f>
        <v/>
      </c>
    </row>
    <row r="348">
      <c r="A348" s="12">
        <f>IF(Ремонты!K51="","",Ремонты!K51)</f>
        <v/>
      </c>
      <c r="B348" s="10">
        <f>IF($A348="","",Ремонты!A51)</f>
        <v/>
      </c>
      <c r="C348" s="10">
        <f>IF($A348="","",Ремонты!D51)</f>
        <v/>
      </c>
      <c r="D348" s="10">
        <f>IF($A348="","",Ремонты!E51)</f>
        <v/>
      </c>
      <c r="E348" s="10">
        <f>IF($A348="","","Прибытие в Ленск")</f>
        <v/>
      </c>
      <c r="F348" s="10">
        <f>IF($A348="","",Ремонты!T51)</f>
        <v/>
      </c>
      <c r="G348" s="10">
        <f>IF($A348="","","Автозапись из листа Ремонты")</f>
        <v/>
      </c>
    </row>
    <row r="349">
      <c r="A349" s="12">
        <f>IF(Ремонты!M51="","",Ремонты!M51)</f>
        <v/>
      </c>
      <c r="B349" s="10">
        <f>IF($A349="","",Ремонты!A51)</f>
        <v/>
      </c>
      <c r="C349" s="10">
        <f>IF($A349="","",Ремонты!D51)</f>
        <v/>
      </c>
      <c r="D349" s="10">
        <f>IF($A349="","",Ремонты!E51)</f>
        <v/>
      </c>
      <c r="E349" s="10">
        <f>IF($A349="","","Фактическое получение")</f>
        <v/>
      </c>
      <c r="F349" s="10">
        <f>IF($A349="","",Ремонты!T51)</f>
        <v/>
      </c>
      <c r="G349" s="10">
        <f>IF($A349="","","Автозапись из листа Ремонты")</f>
        <v/>
      </c>
    </row>
    <row r="350">
      <c r="A350" s="12">
        <f>IF(Ремонты!P51="","",Ремонты!P51)</f>
        <v/>
      </c>
      <c r="B350" s="10">
        <f>IF($A350="","",Ремонты!A51)</f>
        <v/>
      </c>
      <c r="C350" s="10">
        <f>IF($A350="","",Ремонты!D51)</f>
        <v/>
      </c>
      <c r="D350" s="10">
        <f>IF($A350="","",Ремонты!E51)</f>
        <v/>
      </c>
      <c r="E350" s="10">
        <f>IF($A350="","","Входной контроль")</f>
        <v/>
      </c>
      <c r="F350" s="10">
        <f>IF($A350="","",Ремонты!T51)</f>
        <v/>
      </c>
      <c r="G350" s="10">
        <f>IF($A350="","","Автозапись из листа Ремонты")</f>
        <v/>
      </c>
    </row>
    <row r="351">
      <c r="A351" s="12">
        <f>IF(Ремонты!S51="","",Ремонты!S51)</f>
        <v/>
      </c>
      <c r="B351" s="10">
        <f>IF($A351="","",Ремонты!A51)</f>
        <v/>
      </c>
      <c r="C351" s="10">
        <f>IF($A351="","",Ремонты!D51)</f>
        <v/>
      </c>
      <c r="D351" s="10">
        <f>IF($A351="","",Ремонты!E51)</f>
        <v/>
      </c>
      <c r="E351" s="10">
        <f>IF($A351="","","Оплата")</f>
        <v/>
      </c>
      <c r="F351" s="10">
        <f>IF($A351="","",Ремонты!T51)</f>
        <v/>
      </c>
      <c r="G351" s="10">
        <f>IF($A351="","","Автозапись из листа Ремонты")</f>
        <v/>
      </c>
    </row>
    <row r="352">
      <c r="A352" s="12">
        <f>IF(Ремонты!G52="","",Ремонты!G52)</f>
        <v/>
      </c>
      <c r="B352" s="10">
        <f>IF($A352="","",Ремонты!A52)</f>
        <v/>
      </c>
      <c r="C352" s="10">
        <f>IF($A352="","",Ремонты!D52)</f>
        <v/>
      </c>
      <c r="D352" s="10">
        <f>IF($A352="","",Ремонты!E52)</f>
        <v/>
      </c>
      <c r="E352" s="10">
        <f>IF($A352="","","Отправка в ремонт")</f>
        <v/>
      </c>
      <c r="F352" s="10">
        <f>IF($A352="","",Ремонты!T52)</f>
        <v/>
      </c>
      <c r="G352" s="10">
        <f>IF($A352="","","Автозапись из листа Ремонты")</f>
        <v/>
      </c>
    </row>
    <row r="353">
      <c r="A353" s="12">
        <f>IF(Ремонты!I52="","",Ремонты!I52)</f>
        <v/>
      </c>
      <c r="B353" s="10">
        <f>IF($A353="","",Ремонты!A52)</f>
        <v/>
      </c>
      <c r="C353" s="10">
        <f>IF($A353="","",Ремонты!D52)</f>
        <v/>
      </c>
      <c r="D353" s="10">
        <f>IF($A353="","",Ремонты!E52)</f>
        <v/>
      </c>
      <c r="E353" s="10">
        <f>IF($A353="","","Отправка из ремонта")</f>
        <v/>
      </c>
      <c r="F353" s="10">
        <f>IF($A353="","",Ремонты!T52)</f>
        <v/>
      </c>
      <c r="G353" s="10">
        <f>IF($A353="","","Автозапись из листа Ремонты")</f>
        <v/>
      </c>
    </row>
    <row r="354">
      <c r="A354" s="12">
        <f>IF(Ремонты!J52="","",Ремонты!J52)</f>
        <v/>
      </c>
      <c r="B354" s="10">
        <f>IF($A354="","",Ремонты!A52)</f>
        <v/>
      </c>
      <c r="C354" s="10">
        <f>IF($A354="","",Ремонты!D52)</f>
        <v/>
      </c>
      <c r="D354" s="10">
        <f>IF($A354="","",Ремонты!E52)</f>
        <v/>
      </c>
      <c r="E354" s="10">
        <f>IF($A354="","","Отправка из Иркутска")</f>
        <v/>
      </c>
      <c r="F354" s="10">
        <f>IF($A354="","",Ремонты!T52)</f>
        <v/>
      </c>
      <c r="G354" s="10">
        <f>IF($A354="","","Автозапись из листа Ремонты")</f>
        <v/>
      </c>
    </row>
    <row r="355">
      <c r="A355" s="12">
        <f>IF(Ремонты!K52="","",Ремонты!K52)</f>
        <v/>
      </c>
      <c r="B355" s="10">
        <f>IF($A355="","",Ремонты!A52)</f>
        <v/>
      </c>
      <c r="C355" s="10">
        <f>IF($A355="","",Ремонты!D52)</f>
        <v/>
      </c>
      <c r="D355" s="10">
        <f>IF($A355="","",Ремонты!E52)</f>
        <v/>
      </c>
      <c r="E355" s="10">
        <f>IF($A355="","","Прибытие в Ленск")</f>
        <v/>
      </c>
      <c r="F355" s="10">
        <f>IF($A355="","",Ремонты!T52)</f>
        <v/>
      </c>
      <c r="G355" s="10">
        <f>IF($A355="","","Автозапись из листа Ремонты")</f>
        <v/>
      </c>
    </row>
    <row r="356">
      <c r="A356" s="12">
        <f>IF(Ремонты!M52="","",Ремонты!M52)</f>
        <v/>
      </c>
      <c r="B356" s="10">
        <f>IF($A356="","",Ремонты!A52)</f>
        <v/>
      </c>
      <c r="C356" s="10">
        <f>IF($A356="","",Ремонты!D52)</f>
        <v/>
      </c>
      <c r="D356" s="10">
        <f>IF($A356="","",Ремонты!E52)</f>
        <v/>
      </c>
      <c r="E356" s="10">
        <f>IF($A356="","","Фактическое получение")</f>
        <v/>
      </c>
      <c r="F356" s="10">
        <f>IF($A356="","",Ремонты!T52)</f>
        <v/>
      </c>
      <c r="G356" s="10">
        <f>IF($A356="","","Автозапись из листа Ремонты")</f>
        <v/>
      </c>
    </row>
    <row r="357">
      <c r="A357" s="12">
        <f>IF(Ремонты!P52="","",Ремонты!P52)</f>
        <v/>
      </c>
      <c r="B357" s="10">
        <f>IF($A357="","",Ремонты!A52)</f>
        <v/>
      </c>
      <c r="C357" s="10">
        <f>IF($A357="","",Ремонты!D52)</f>
        <v/>
      </c>
      <c r="D357" s="10">
        <f>IF($A357="","",Ремонты!E52)</f>
        <v/>
      </c>
      <c r="E357" s="10">
        <f>IF($A357="","","Входной контроль")</f>
        <v/>
      </c>
      <c r="F357" s="10">
        <f>IF($A357="","",Ремонты!T52)</f>
        <v/>
      </c>
      <c r="G357" s="10">
        <f>IF($A357="","","Автозапись из листа Ремонты")</f>
        <v/>
      </c>
    </row>
    <row r="358">
      <c r="A358" s="12">
        <f>IF(Ремонты!S52="","",Ремонты!S52)</f>
        <v/>
      </c>
      <c r="B358" s="10">
        <f>IF($A358="","",Ремонты!A52)</f>
        <v/>
      </c>
      <c r="C358" s="10">
        <f>IF($A358="","",Ремонты!D52)</f>
        <v/>
      </c>
      <c r="D358" s="10">
        <f>IF($A358="","",Ремонты!E52)</f>
        <v/>
      </c>
      <c r="E358" s="10">
        <f>IF($A358="","","Оплата")</f>
        <v/>
      </c>
      <c r="F358" s="10">
        <f>IF($A358="","",Ремонты!T52)</f>
        <v/>
      </c>
      <c r="G358" s="10">
        <f>IF($A358="","","Автозапись из листа Ремонты")</f>
        <v/>
      </c>
    </row>
    <row r="359">
      <c r="A359" s="12">
        <f>IF(Ремонты!G53="","",Ремонты!G53)</f>
        <v/>
      </c>
      <c r="B359" s="10">
        <f>IF($A359="","",Ремонты!A53)</f>
        <v/>
      </c>
      <c r="C359" s="10">
        <f>IF($A359="","",Ремонты!D53)</f>
        <v/>
      </c>
      <c r="D359" s="10">
        <f>IF($A359="","",Ремонты!E53)</f>
        <v/>
      </c>
      <c r="E359" s="10">
        <f>IF($A359="","","Отправка в ремонт")</f>
        <v/>
      </c>
      <c r="F359" s="10">
        <f>IF($A359="","",Ремонты!T53)</f>
        <v/>
      </c>
      <c r="G359" s="10">
        <f>IF($A359="","","Автозапись из листа Ремонты")</f>
        <v/>
      </c>
    </row>
    <row r="360">
      <c r="A360" s="12">
        <f>IF(Ремонты!I53="","",Ремонты!I53)</f>
        <v/>
      </c>
      <c r="B360" s="10">
        <f>IF($A360="","",Ремонты!A53)</f>
        <v/>
      </c>
      <c r="C360" s="10">
        <f>IF($A360="","",Ремонты!D53)</f>
        <v/>
      </c>
      <c r="D360" s="10">
        <f>IF($A360="","",Ремонты!E53)</f>
        <v/>
      </c>
      <c r="E360" s="10">
        <f>IF($A360="","","Отправка из ремонта")</f>
        <v/>
      </c>
      <c r="F360" s="10">
        <f>IF($A360="","",Ремонты!T53)</f>
        <v/>
      </c>
      <c r="G360" s="10">
        <f>IF($A360="","","Автозапись из листа Ремонты")</f>
        <v/>
      </c>
    </row>
    <row r="361">
      <c r="A361" s="12">
        <f>IF(Ремонты!J53="","",Ремонты!J53)</f>
        <v/>
      </c>
      <c r="B361" s="10">
        <f>IF($A361="","",Ремонты!A53)</f>
        <v/>
      </c>
      <c r="C361" s="10">
        <f>IF($A361="","",Ремонты!D53)</f>
        <v/>
      </c>
      <c r="D361" s="10">
        <f>IF($A361="","",Ремонты!E53)</f>
        <v/>
      </c>
      <c r="E361" s="10">
        <f>IF($A361="","","Отправка из Иркутска")</f>
        <v/>
      </c>
      <c r="F361" s="10">
        <f>IF($A361="","",Ремонты!T53)</f>
        <v/>
      </c>
      <c r="G361" s="10">
        <f>IF($A361="","","Автозапись из листа Ремонты")</f>
        <v/>
      </c>
    </row>
    <row r="362">
      <c r="A362" s="12">
        <f>IF(Ремонты!K53="","",Ремонты!K53)</f>
        <v/>
      </c>
      <c r="B362" s="10">
        <f>IF($A362="","",Ремонты!A53)</f>
        <v/>
      </c>
      <c r="C362" s="10">
        <f>IF($A362="","",Ремонты!D53)</f>
        <v/>
      </c>
      <c r="D362" s="10">
        <f>IF($A362="","",Ремонты!E53)</f>
        <v/>
      </c>
      <c r="E362" s="10">
        <f>IF($A362="","","Прибытие в Ленск")</f>
        <v/>
      </c>
      <c r="F362" s="10">
        <f>IF($A362="","",Ремонты!T53)</f>
        <v/>
      </c>
      <c r="G362" s="10">
        <f>IF($A362="","","Автозапись из листа Ремонты")</f>
        <v/>
      </c>
    </row>
    <row r="363">
      <c r="A363" s="12">
        <f>IF(Ремонты!M53="","",Ремонты!M53)</f>
        <v/>
      </c>
      <c r="B363" s="10">
        <f>IF($A363="","",Ремонты!A53)</f>
        <v/>
      </c>
      <c r="C363" s="10">
        <f>IF($A363="","",Ремонты!D53)</f>
        <v/>
      </c>
      <c r="D363" s="10">
        <f>IF($A363="","",Ремонты!E53)</f>
        <v/>
      </c>
      <c r="E363" s="10">
        <f>IF($A363="","","Фактическое получение")</f>
        <v/>
      </c>
      <c r="F363" s="10">
        <f>IF($A363="","",Ремонты!T53)</f>
        <v/>
      </c>
      <c r="G363" s="10">
        <f>IF($A363="","","Автозапись из листа Ремонты")</f>
        <v/>
      </c>
    </row>
    <row r="364">
      <c r="A364" s="12">
        <f>IF(Ремонты!P53="","",Ремонты!P53)</f>
        <v/>
      </c>
      <c r="B364" s="10">
        <f>IF($A364="","",Ремонты!A53)</f>
        <v/>
      </c>
      <c r="C364" s="10">
        <f>IF($A364="","",Ремонты!D53)</f>
        <v/>
      </c>
      <c r="D364" s="10">
        <f>IF($A364="","",Ремонты!E53)</f>
        <v/>
      </c>
      <c r="E364" s="10">
        <f>IF($A364="","","Входной контроль")</f>
        <v/>
      </c>
      <c r="F364" s="10">
        <f>IF($A364="","",Ремонты!T53)</f>
        <v/>
      </c>
      <c r="G364" s="10">
        <f>IF($A364="","","Автозапись из листа Ремонты")</f>
        <v/>
      </c>
    </row>
    <row r="365">
      <c r="A365" s="12">
        <f>IF(Ремонты!S53="","",Ремонты!S53)</f>
        <v/>
      </c>
      <c r="B365" s="10">
        <f>IF($A365="","",Ремонты!A53)</f>
        <v/>
      </c>
      <c r="C365" s="10">
        <f>IF($A365="","",Ремонты!D53)</f>
        <v/>
      </c>
      <c r="D365" s="10">
        <f>IF($A365="","",Ремонты!E53)</f>
        <v/>
      </c>
      <c r="E365" s="10">
        <f>IF($A365="","","Оплата")</f>
        <v/>
      </c>
      <c r="F365" s="10">
        <f>IF($A365="","",Ремонты!T53)</f>
        <v/>
      </c>
      <c r="G365" s="10">
        <f>IF($A365="","","Автозапись из листа Ремонты")</f>
        <v/>
      </c>
    </row>
    <row r="366">
      <c r="A366" s="12">
        <f>IF(Ремонты!G54="","",Ремонты!G54)</f>
        <v/>
      </c>
      <c r="B366" s="10">
        <f>IF($A366="","",Ремонты!A54)</f>
        <v/>
      </c>
      <c r="C366" s="10">
        <f>IF($A366="","",Ремонты!D54)</f>
        <v/>
      </c>
      <c r="D366" s="10">
        <f>IF($A366="","",Ремонты!E54)</f>
        <v/>
      </c>
      <c r="E366" s="10">
        <f>IF($A366="","","Отправка в ремонт")</f>
        <v/>
      </c>
      <c r="F366" s="10">
        <f>IF($A366="","",Ремонты!T54)</f>
        <v/>
      </c>
      <c r="G366" s="10">
        <f>IF($A366="","","Автозапись из листа Ремонты")</f>
        <v/>
      </c>
    </row>
    <row r="367">
      <c r="A367" s="12">
        <f>IF(Ремонты!I54="","",Ремонты!I54)</f>
        <v/>
      </c>
      <c r="B367" s="10">
        <f>IF($A367="","",Ремонты!A54)</f>
        <v/>
      </c>
      <c r="C367" s="10">
        <f>IF($A367="","",Ремонты!D54)</f>
        <v/>
      </c>
      <c r="D367" s="10">
        <f>IF($A367="","",Ремонты!E54)</f>
        <v/>
      </c>
      <c r="E367" s="10">
        <f>IF($A367="","","Отправка из ремонта")</f>
        <v/>
      </c>
      <c r="F367" s="10">
        <f>IF($A367="","",Ремонты!T54)</f>
        <v/>
      </c>
      <c r="G367" s="10">
        <f>IF($A367="","","Автозапись из листа Ремонты")</f>
        <v/>
      </c>
    </row>
    <row r="368">
      <c r="A368" s="12">
        <f>IF(Ремонты!J54="","",Ремонты!J54)</f>
        <v/>
      </c>
      <c r="B368" s="10">
        <f>IF($A368="","",Ремонты!A54)</f>
        <v/>
      </c>
      <c r="C368" s="10">
        <f>IF($A368="","",Ремонты!D54)</f>
        <v/>
      </c>
      <c r="D368" s="10">
        <f>IF($A368="","",Ремонты!E54)</f>
        <v/>
      </c>
      <c r="E368" s="10">
        <f>IF($A368="","","Отправка из Иркутска")</f>
        <v/>
      </c>
      <c r="F368" s="10">
        <f>IF($A368="","",Ремонты!T54)</f>
        <v/>
      </c>
      <c r="G368" s="10">
        <f>IF($A368="","","Автозапись из листа Ремонты")</f>
        <v/>
      </c>
    </row>
    <row r="369">
      <c r="A369" s="12">
        <f>IF(Ремонты!K54="","",Ремонты!K54)</f>
        <v/>
      </c>
      <c r="B369" s="10">
        <f>IF($A369="","",Ремонты!A54)</f>
        <v/>
      </c>
      <c r="C369" s="10">
        <f>IF($A369="","",Ремонты!D54)</f>
        <v/>
      </c>
      <c r="D369" s="10">
        <f>IF($A369="","",Ремонты!E54)</f>
        <v/>
      </c>
      <c r="E369" s="10">
        <f>IF($A369="","","Прибытие в Ленск")</f>
        <v/>
      </c>
      <c r="F369" s="10">
        <f>IF($A369="","",Ремонты!T54)</f>
        <v/>
      </c>
      <c r="G369" s="10">
        <f>IF($A369="","","Автозапись из листа Ремонты")</f>
        <v/>
      </c>
    </row>
    <row r="370">
      <c r="A370" s="12">
        <f>IF(Ремонты!M54="","",Ремонты!M54)</f>
        <v/>
      </c>
      <c r="B370" s="10">
        <f>IF($A370="","",Ремонты!A54)</f>
        <v/>
      </c>
      <c r="C370" s="10">
        <f>IF($A370="","",Ремонты!D54)</f>
        <v/>
      </c>
      <c r="D370" s="10">
        <f>IF($A370="","",Ремонты!E54)</f>
        <v/>
      </c>
      <c r="E370" s="10">
        <f>IF($A370="","","Фактическое получение")</f>
        <v/>
      </c>
      <c r="F370" s="10">
        <f>IF($A370="","",Ремонты!T54)</f>
        <v/>
      </c>
      <c r="G370" s="10">
        <f>IF($A370="","","Автозапись из листа Ремонты")</f>
        <v/>
      </c>
    </row>
    <row r="371">
      <c r="A371" s="12">
        <f>IF(Ремонты!P54="","",Ремонты!P54)</f>
        <v/>
      </c>
      <c r="B371" s="10">
        <f>IF($A371="","",Ремонты!A54)</f>
        <v/>
      </c>
      <c r="C371" s="10">
        <f>IF($A371="","",Ремонты!D54)</f>
        <v/>
      </c>
      <c r="D371" s="10">
        <f>IF($A371="","",Ремонты!E54)</f>
        <v/>
      </c>
      <c r="E371" s="10">
        <f>IF($A371="","","Входной контроль")</f>
        <v/>
      </c>
      <c r="F371" s="10">
        <f>IF($A371="","",Ремонты!T54)</f>
        <v/>
      </c>
      <c r="G371" s="10">
        <f>IF($A371="","","Автозапись из листа Ремонты")</f>
        <v/>
      </c>
    </row>
    <row r="372">
      <c r="A372" s="12">
        <f>IF(Ремонты!S54="","",Ремонты!S54)</f>
        <v/>
      </c>
      <c r="B372" s="10">
        <f>IF($A372="","",Ремонты!A54)</f>
        <v/>
      </c>
      <c r="C372" s="10">
        <f>IF($A372="","",Ремонты!D54)</f>
        <v/>
      </c>
      <c r="D372" s="10">
        <f>IF($A372="","",Ремонты!E54)</f>
        <v/>
      </c>
      <c r="E372" s="10">
        <f>IF($A372="","","Оплата")</f>
        <v/>
      </c>
      <c r="F372" s="10">
        <f>IF($A372="","",Ремонты!T54)</f>
        <v/>
      </c>
      <c r="G372" s="10">
        <f>IF($A372="","","Автозапись из листа Ремонты")</f>
        <v/>
      </c>
    </row>
    <row r="373">
      <c r="A373" s="12">
        <f>IF(Ремонты!G55="","",Ремонты!G55)</f>
        <v/>
      </c>
      <c r="B373" s="10">
        <f>IF($A373="","",Ремонты!A55)</f>
        <v/>
      </c>
      <c r="C373" s="10">
        <f>IF($A373="","",Ремонты!D55)</f>
        <v/>
      </c>
      <c r="D373" s="10">
        <f>IF($A373="","",Ремонты!E55)</f>
        <v/>
      </c>
      <c r="E373" s="10">
        <f>IF($A373="","","Отправка в ремонт")</f>
        <v/>
      </c>
      <c r="F373" s="10">
        <f>IF($A373="","",Ремонты!T55)</f>
        <v/>
      </c>
      <c r="G373" s="10">
        <f>IF($A373="","","Автозапись из листа Ремонты")</f>
        <v/>
      </c>
    </row>
    <row r="374">
      <c r="A374" s="12">
        <f>IF(Ремонты!I55="","",Ремонты!I55)</f>
        <v/>
      </c>
      <c r="B374" s="10">
        <f>IF($A374="","",Ремонты!A55)</f>
        <v/>
      </c>
      <c r="C374" s="10">
        <f>IF($A374="","",Ремонты!D55)</f>
        <v/>
      </c>
      <c r="D374" s="10">
        <f>IF($A374="","",Ремонты!E55)</f>
        <v/>
      </c>
      <c r="E374" s="10">
        <f>IF($A374="","","Отправка из ремонта")</f>
        <v/>
      </c>
      <c r="F374" s="10">
        <f>IF($A374="","",Ремонты!T55)</f>
        <v/>
      </c>
      <c r="G374" s="10">
        <f>IF($A374="","","Автозапись из листа Ремонты")</f>
        <v/>
      </c>
    </row>
    <row r="375">
      <c r="A375" s="12">
        <f>IF(Ремонты!J55="","",Ремонты!J55)</f>
        <v/>
      </c>
      <c r="B375" s="10">
        <f>IF($A375="","",Ремонты!A55)</f>
        <v/>
      </c>
      <c r="C375" s="10">
        <f>IF($A375="","",Ремонты!D55)</f>
        <v/>
      </c>
      <c r="D375" s="10">
        <f>IF($A375="","",Ремонты!E55)</f>
        <v/>
      </c>
      <c r="E375" s="10">
        <f>IF($A375="","","Отправка из Иркутска")</f>
        <v/>
      </c>
      <c r="F375" s="10">
        <f>IF($A375="","",Ремонты!T55)</f>
        <v/>
      </c>
      <c r="G375" s="10">
        <f>IF($A375="","","Автозапись из листа Ремонты")</f>
        <v/>
      </c>
    </row>
    <row r="376">
      <c r="A376" s="12">
        <f>IF(Ремонты!K55="","",Ремонты!K55)</f>
        <v/>
      </c>
      <c r="B376" s="10">
        <f>IF($A376="","",Ремонты!A55)</f>
        <v/>
      </c>
      <c r="C376" s="10">
        <f>IF($A376="","",Ремонты!D55)</f>
        <v/>
      </c>
      <c r="D376" s="10">
        <f>IF($A376="","",Ремонты!E55)</f>
        <v/>
      </c>
      <c r="E376" s="10">
        <f>IF($A376="","","Прибытие в Ленск")</f>
        <v/>
      </c>
      <c r="F376" s="10">
        <f>IF($A376="","",Ремонты!T55)</f>
        <v/>
      </c>
      <c r="G376" s="10">
        <f>IF($A376="","","Автозапись из листа Ремонты")</f>
        <v/>
      </c>
    </row>
    <row r="377">
      <c r="A377" s="12">
        <f>IF(Ремонты!M55="","",Ремонты!M55)</f>
        <v/>
      </c>
      <c r="B377" s="10">
        <f>IF($A377="","",Ремонты!A55)</f>
        <v/>
      </c>
      <c r="C377" s="10">
        <f>IF($A377="","",Ремонты!D55)</f>
        <v/>
      </c>
      <c r="D377" s="10">
        <f>IF($A377="","",Ремонты!E55)</f>
        <v/>
      </c>
      <c r="E377" s="10">
        <f>IF($A377="","","Фактическое получение")</f>
        <v/>
      </c>
      <c r="F377" s="10">
        <f>IF($A377="","",Ремонты!T55)</f>
        <v/>
      </c>
      <c r="G377" s="10">
        <f>IF($A377="","","Автозапись из листа Ремонты")</f>
        <v/>
      </c>
    </row>
    <row r="378">
      <c r="A378" s="12">
        <f>IF(Ремонты!P55="","",Ремонты!P55)</f>
        <v/>
      </c>
      <c r="B378" s="10">
        <f>IF($A378="","",Ремонты!A55)</f>
        <v/>
      </c>
      <c r="C378" s="10">
        <f>IF($A378="","",Ремонты!D55)</f>
        <v/>
      </c>
      <c r="D378" s="10">
        <f>IF($A378="","",Ремонты!E55)</f>
        <v/>
      </c>
      <c r="E378" s="10">
        <f>IF($A378="","","Входной контроль")</f>
        <v/>
      </c>
      <c r="F378" s="10">
        <f>IF($A378="","",Ремонты!T55)</f>
        <v/>
      </c>
      <c r="G378" s="10">
        <f>IF($A378="","","Автозапись из листа Ремонты")</f>
        <v/>
      </c>
    </row>
    <row r="379">
      <c r="A379" s="12">
        <f>IF(Ремонты!S55="","",Ремонты!S55)</f>
        <v/>
      </c>
      <c r="B379" s="10">
        <f>IF($A379="","",Ремонты!A55)</f>
        <v/>
      </c>
      <c r="C379" s="10">
        <f>IF($A379="","",Ремонты!D55)</f>
        <v/>
      </c>
      <c r="D379" s="10">
        <f>IF($A379="","",Ремонты!E55)</f>
        <v/>
      </c>
      <c r="E379" s="10">
        <f>IF($A379="","","Оплата")</f>
        <v/>
      </c>
      <c r="F379" s="10">
        <f>IF($A379="","",Ремонты!T55)</f>
        <v/>
      </c>
      <c r="G379" s="10">
        <f>IF($A379="","","Автозапись из листа Ремонты")</f>
        <v/>
      </c>
    </row>
    <row r="380">
      <c r="A380" s="12">
        <f>IF(Ремонты!G56="","",Ремонты!G56)</f>
        <v/>
      </c>
      <c r="B380" s="10">
        <f>IF($A380="","",Ремонты!A56)</f>
        <v/>
      </c>
      <c r="C380" s="10">
        <f>IF($A380="","",Ремонты!D56)</f>
        <v/>
      </c>
      <c r="D380" s="10">
        <f>IF($A380="","",Ремонты!E56)</f>
        <v/>
      </c>
      <c r="E380" s="10">
        <f>IF($A380="","","Отправка в ремонт")</f>
        <v/>
      </c>
      <c r="F380" s="10">
        <f>IF($A380="","",Ремонты!T56)</f>
        <v/>
      </c>
      <c r="G380" s="10">
        <f>IF($A380="","","Автозапись из листа Ремонты")</f>
        <v/>
      </c>
    </row>
    <row r="381">
      <c r="A381" s="12">
        <f>IF(Ремонты!I56="","",Ремонты!I56)</f>
        <v/>
      </c>
      <c r="B381" s="10">
        <f>IF($A381="","",Ремонты!A56)</f>
        <v/>
      </c>
      <c r="C381" s="10">
        <f>IF($A381="","",Ремонты!D56)</f>
        <v/>
      </c>
      <c r="D381" s="10">
        <f>IF($A381="","",Ремонты!E56)</f>
        <v/>
      </c>
      <c r="E381" s="10">
        <f>IF($A381="","","Отправка из ремонта")</f>
        <v/>
      </c>
      <c r="F381" s="10">
        <f>IF($A381="","",Ремонты!T56)</f>
        <v/>
      </c>
      <c r="G381" s="10">
        <f>IF($A381="","","Автозапись из листа Ремонты")</f>
        <v/>
      </c>
    </row>
    <row r="382">
      <c r="A382" s="12">
        <f>IF(Ремонты!J56="","",Ремонты!J56)</f>
        <v/>
      </c>
      <c r="B382" s="10">
        <f>IF($A382="","",Ремонты!A56)</f>
        <v/>
      </c>
      <c r="C382" s="10">
        <f>IF($A382="","",Ремонты!D56)</f>
        <v/>
      </c>
      <c r="D382" s="10">
        <f>IF($A382="","",Ремонты!E56)</f>
        <v/>
      </c>
      <c r="E382" s="10">
        <f>IF($A382="","","Отправка из Иркутска")</f>
        <v/>
      </c>
      <c r="F382" s="10">
        <f>IF($A382="","",Ремонты!T56)</f>
        <v/>
      </c>
      <c r="G382" s="10">
        <f>IF($A382="","","Автозапись из листа Ремонты")</f>
        <v/>
      </c>
    </row>
    <row r="383">
      <c r="A383" s="12">
        <f>IF(Ремонты!K56="","",Ремонты!K56)</f>
        <v/>
      </c>
      <c r="B383" s="10">
        <f>IF($A383="","",Ремонты!A56)</f>
        <v/>
      </c>
      <c r="C383" s="10">
        <f>IF($A383="","",Ремонты!D56)</f>
        <v/>
      </c>
      <c r="D383" s="10">
        <f>IF($A383="","",Ремонты!E56)</f>
        <v/>
      </c>
      <c r="E383" s="10">
        <f>IF($A383="","","Прибытие в Ленск")</f>
        <v/>
      </c>
      <c r="F383" s="10">
        <f>IF($A383="","",Ремонты!T56)</f>
        <v/>
      </c>
      <c r="G383" s="10">
        <f>IF($A383="","","Автозапись из листа Ремонты")</f>
        <v/>
      </c>
    </row>
    <row r="384">
      <c r="A384" s="12">
        <f>IF(Ремонты!M56="","",Ремонты!M56)</f>
        <v/>
      </c>
      <c r="B384" s="10">
        <f>IF($A384="","",Ремонты!A56)</f>
        <v/>
      </c>
      <c r="C384" s="10">
        <f>IF($A384="","",Ремонты!D56)</f>
        <v/>
      </c>
      <c r="D384" s="10">
        <f>IF($A384="","",Ремонты!E56)</f>
        <v/>
      </c>
      <c r="E384" s="10">
        <f>IF($A384="","","Фактическое получение")</f>
        <v/>
      </c>
      <c r="F384" s="10">
        <f>IF($A384="","",Ремонты!T56)</f>
        <v/>
      </c>
      <c r="G384" s="10">
        <f>IF($A384="","","Автозапись из листа Ремонты")</f>
        <v/>
      </c>
    </row>
    <row r="385">
      <c r="A385" s="12">
        <f>IF(Ремонты!P56="","",Ремонты!P56)</f>
        <v/>
      </c>
      <c r="B385" s="10">
        <f>IF($A385="","",Ремонты!A56)</f>
        <v/>
      </c>
      <c r="C385" s="10">
        <f>IF($A385="","",Ремонты!D56)</f>
        <v/>
      </c>
      <c r="D385" s="10">
        <f>IF($A385="","",Ремонты!E56)</f>
        <v/>
      </c>
      <c r="E385" s="10">
        <f>IF($A385="","","Входной контроль")</f>
        <v/>
      </c>
      <c r="F385" s="10">
        <f>IF($A385="","",Ремонты!T56)</f>
        <v/>
      </c>
      <c r="G385" s="10">
        <f>IF($A385="","","Автозапись из листа Ремонты")</f>
        <v/>
      </c>
    </row>
    <row r="386">
      <c r="A386" s="12">
        <f>IF(Ремонты!S56="","",Ремонты!S56)</f>
        <v/>
      </c>
      <c r="B386" s="10">
        <f>IF($A386="","",Ремонты!A56)</f>
        <v/>
      </c>
      <c r="C386" s="10">
        <f>IF($A386="","",Ремонты!D56)</f>
        <v/>
      </c>
      <c r="D386" s="10">
        <f>IF($A386="","",Ремонты!E56)</f>
        <v/>
      </c>
      <c r="E386" s="10">
        <f>IF($A386="","","Оплата")</f>
        <v/>
      </c>
      <c r="F386" s="10">
        <f>IF($A386="","",Ремонты!T56)</f>
        <v/>
      </c>
      <c r="G386" s="10">
        <f>IF($A386="","","Автозапись из листа Ремонты")</f>
        <v/>
      </c>
    </row>
    <row r="387">
      <c r="A387" s="12">
        <f>IF(Ремонты!G57="","",Ремонты!G57)</f>
        <v/>
      </c>
      <c r="B387" s="10">
        <f>IF($A387="","",Ремонты!A57)</f>
        <v/>
      </c>
      <c r="C387" s="10">
        <f>IF($A387="","",Ремонты!D57)</f>
        <v/>
      </c>
      <c r="D387" s="10">
        <f>IF($A387="","",Ремонты!E57)</f>
        <v/>
      </c>
      <c r="E387" s="10">
        <f>IF($A387="","","Отправка в ремонт")</f>
        <v/>
      </c>
      <c r="F387" s="10">
        <f>IF($A387="","",Ремонты!T57)</f>
        <v/>
      </c>
      <c r="G387" s="10">
        <f>IF($A387="","","Автозапись из листа Ремонты")</f>
        <v/>
      </c>
    </row>
    <row r="388">
      <c r="A388" s="12">
        <f>IF(Ремонты!I57="","",Ремонты!I57)</f>
        <v/>
      </c>
      <c r="B388" s="10">
        <f>IF($A388="","",Ремонты!A57)</f>
        <v/>
      </c>
      <c r="C388" s="10">
        <f>IF($A388="","",Ремонты!D57)</f>
        <v/>
      </c>
      <c r="D388" s="10">
        <f>IF($A388="","",Ремонты!E57)</f>
        <v/>
      </c>
      <c r="E388" s="10">
        <f>IF($A388="","","Отправка из ремонта")</f>
        <v/>
      </c>
      <c r="F388" s="10">
        <f>IF($A388="","",Ремонты!T57)</f>
        <v/>
      </c>
      <c r="G388" s="10">
        <f>IF($A388="","","Автозапись из листа Ремонты")</f>
        <v/>
      </c>
    </row>
    <row r="389">
      <c r="A389" s="12">
        <f>IF(Ремонты!J57="","",Ремонты!J57)</f>
        <v/>
      </c>
      <c r="B389" s="10">
        <f>IF($A389="","",Ремонты!A57)</f>
        <v/>
      </c>
      <c r="C389" s="10">
        <f>IF($A389="","",Ремонты!D57)</f>
        <v/>
      </c>
      <c r="D389" s="10">
        <f>IF($A389="","",Ремонты!E57)</f>
        <v/>
      </c>
      <c r="E389" s="10">
        <f>IF($A389="","","Отправка из Иркутска")</f>
        <v/>
      </c>
      <c r="F389" s="10">
        <f>IF($A389="","",Ремонты!T57)</f>
        <v/>
      </c>
      <c r="G389" s="10">
        <f>IF($A389="","","Автозапись из листа Ремонты")</f>
        <v/>
      </c>
    </row>
    <row r="390">
      <c r="A390" s="12">
        <f>IF(Ремонты!K57="","",Ремонты!K57)</f>
        <v/>
      </c>
      <c r="B390" s="10">
        <f>IF($A390="","",Ремонты!A57)</f>
        <v/>
      </c>
      <c r="C390" s="10">
        <f>IF($A390="","",Ремонты!D57)</f>
        <v/>
      </c>
      <c r="D390" s="10">
        <f>IF($A390="","",Ремонты!E57)</f>
        <v/>
      </c>
      <c r="E390" s="10">
        <f>IF($A390="","","Прибытие в Ленск")</f>
        <v/>
      </c>
      <c r="F390" s="10">
        <f>IF($A390="","",Ремонты!T57)</f>
        <v/>
      </c>
      <c r="G390" s="10">
        <f>IF($A390="","","Автозапись из листа Ремонты")</f>
        <v/>
      </c>
    </row>
    <row r="391">
      <c r="A391" s="12">
        <f>IF(Ремонты!M57="","",Ремонты!M57)</f>
        <v/>
      </c>
      <c r="B391" s="10">
        <f>IF($A391="","",Ремонты!A57)</f>
        <v/>
      </c>
      <c r="C391" s="10">
        <f>IF($A391="","",Ремонты!D57)</f>
        <v/>
      </c>
      <c r="D391" s="10">
        <f>IF($A391="","",Ремонты!E57)</f>
        <v/>
      </c>
      <c r="E391" s="10">
        <f>IF($A391="","","Фактическое получение")</f>
        <v/>
      </c>
      <c r="F391" s="10">
        <f>IF($A391="","",Ремонты!T57)</f>
        <v/>
      </c>
      <c r="G391" s="10">
        <f>IF($A391="","","Автозапись из листа Ремонты")</f>
        <v/>
      </c>
    </row>
    <row r="392">
      <c r="A392" s="12">
        <f>IF(Ремонты!P57="","",Ремонты!P57)</f>
        <v/>
      </c>
      <c r="B392" s="10">
        <f>IF($A392="","",Ремонты!A57)</f>
        <v/>
      </c>
      <c r="C392" s="10">
        <f>IF($A392="","",Ремонты!D57)</f>
        <v/>
      </c>
      <c r="D392" s="10">
        <f>IF($A392="","",Ремонты!E57)</f>
        <v/>
      </c>
      <c r="E392" s="10">
        <f>IF($A392="","","Входной контроль")</f>
        <v/>
      </c>
      <c r="F392" s="10">
        <f>IF($A392="","",Ремонты!T57)</f>
        <v/>
      </c>
      <c r="G392" s="10">
        <f>IF($A392="","","Автозапись из листа Ремонты")</f>
        <v/>
      </c>
    </row>
    <row r="393">
      <c r="A393" s="12">
        <f>IF(Ремонты!S57="","",Ремонты!S57)</f>
        <v/>
      </c>
      <c r="B393" s="10">
        <f>IF($A393="","",Ремонты!A57)</f>
        <v/>
      </c>
      <c r="C393" s="10">
        <f>IF($A393="","",Ремонты!D57)</f>
        <v/>
      </c>
      <c r="D393" s="10">
        <f>IF($A393="","",Ремонты!E57)</f>
        <v/>
      </c>
      <c r="E393" s="10">
        <f>IF($A393="","","Оплата")</f>
        <v/>
      </c>
      <c r="F393" s="10">
        <f>IF($A393="","",Ремонты!T57)</f>
        <v/>
      </c>
      <c r="G393" s="10">
        <f>IF($A393="","","Автозапись из листа Ремонты")</f>
        <v/>
      </c>
    </row>
    <row r="394">
      <c r="A394" s="12">
        <f>IF(Ремонты!G58="","",Ремонты!G58)</f>
        <v/>
      </c>
      <c r="B394" s="10">
        <f>IF($A394="","",Ремонты!A58)</f>
        <v/>
      </c>
      <c r="C394" s="10">
        <f>IF($A394="","",Ремонты!D58)</f>
        <v/>
      </c>
      <c r="D394" s="10">
        <f>IF($A394="","",Ремонты!E58)</f>
        <v/>
      </c>
      <c r="E394" s="10">
        <f>IF($A394="","","Отправка в ремонт")</f>
        <v/>
      </c>
      <c r="F394" s="10">
        <f>IF($A394="","",Ремонты!T58)</f>
        <v/>
      </c>
      <c r="G394" s="10">
        <f>IF($A394="","","Автозапись из листа Ремонты")</f>
        <v/>
      </c>
    </row>
    <row r="395">
      <c r="A395" s="12">
        <f>IF(Ремонты!I58="","",Ремонты!I58)</f>
        <v/>
      </c>
      <c r="B395" s="10">
        <f>IF($A395="","",Ремонты!A58)</f>
        <v/>
      </c>
      <c r="C395" s="10">
        <f>IF($A395="","",Ремонты!D58)</f>
        <v/>
      </c>
      <c r="D395" s="10">
        <f>IF($A395="","",Ремонты!E58)</f>
        <v/>
      </c>
      <c r="E395" s="10">
        <f>IF($A395="","","Отправка из ремонта")</f>
        <v/>
      </c>
      <c r="F395" s="10">
        <f>IF($A395="","",Ремонты!T58)</f>
        <v/>
      </c>
      <c r="G395" s="10">
        <f>IF($A395="","","Автозапись из листа Ремонты")</f>
        <v/>
      </c>
    </row>
    <row r="396">
      <c r="A396" s="12">
        <f>IF(Ремонты!J58="","",Ремонты!J58)</f>
        <v/>
      </c>
      <c r="B396" s="10">
        <f>IF($A396="","",Ремонты!A58)</f>
        <v/>
      </c>
      <c r="C396" s="10">
        <f>IF($A396="","",Ремонты!D58)</f>
        <v/>
      </c>
      <c r="D396" s="10">
        <f>IF($A396="","",Ремонты!E58)</f>
        <v/>
      </c>
      <c r="E396" s="10">
        <f>IF($A396="","","Отправка из Иркутска")</f>
        <v/>
      </c>
      <c r="F396" s="10">
        <f>IF($A396="","",Ремонты!T58)</f>
        <v/>
      </c>
      <c r="G396" s="10">
        <f>IF($A396="","","Автозапись из листа Ремонты")</f>
        <v/>
      </c>
    </row>
    <row r="397">
      <c r="A397" s="12">
        <f>IF(Ремонты!K58="","",Ремонты!K58)</f>
        <v/>
      </c>
      <c r="B397" s="10">
        <f>IF($A397="","",Ремонты!A58)</f>
        <v/>
      </c>
      <c r="C397" s="10">
        <f>IF($A397="","",Ремонты!D58)</f>
        <v/>
      </c>
      <c r="D397" s="10">
        <f>IF($A397="","",Ремонты!E58)</f>
        <v/>
      </c>
      <c r="E397" s="10">
        <f>IF($A397="","","Прибытие в Ленск")</f>
        <v/>
      </c>
      <c r="F397" s="10">
        <f>IF($A397="","",Ремонты!T58)</f>
        <v/>
      </c>
      <c r="G397" s="10">
        <f>IF($A397="","","Автозапись из листа Ремонты")</f>
        <v/>
      </c>
    </row>
    <row r="398">
      <c r="A398" s="12">
        <f>IF(Ремонты!M58="","",Ремонты!M58)</f>
        <v/>
      </c>
      <c r="B398" s="10">
        <f>IF($A398="","",Ремонты!A58)</f>
        <v/>
      </c>
      <c r="C398" s="10">
        <f>IF($A398="","",Ремонты!D58)</f>
        <v/>
      </c>
      <c r="D398" s="10">
        <f>IF($A398="","",Ремонты!E58)</f>
        <v/>
      </c>
      <c r="E398" s="10">
        <f>IF($A398="","","Фактическое получение")</f>
        <v/>
      </c>
      <c r="F398" s="10">
        <f>IF($A398="","",Ремонты!T58)</f>
        <v/>
      </c>
      <c r="G398" s="10">
        <f>IF($A398="","","Автозапись из листа Ремонты")</f>
        <v/>
      </c>
    </row>
    <row r="399">
      <c r="A399" s="12">
        <f>IF(Ремонты!P58="","",Ремонты!P58)</f>
        <v/>
      </c>
      <c r="B399" s="10">
        <f>IF($A399="","",Ремонты!A58)</f>
        <v/>
      </c>
      <c r="C399" s="10">
        <f>IF($A399="","",Ремонты!D58)</f>
        <v/>
      </c>
      <c r="D399" s="10">
        <f>IF($A399="","",Ремонты!E58)</f>
        <v/>
      </c>
      <c r="E399" s="10">
        <f>IF($A399="","","Входной контроль")</f>
        <v/>
      </c>
      <c r="F399" s="10">
        <f>IF($A399="","",Ремонты!T58)</f>
        <v/>
      </c>
      <c r="G399" s="10">
        <f>IF($A399="","","Автозапись из листа Ремонты")</f>
        <v/>
      </c>
    </row>
    <row r="400">
      <c r="A400" s="12">
        <f>IF(Ремонты!S58="","",Ремонты!S58)</f>
        <v/>
      </c>
      <c r="B400" s="10">
        <f>IF($A400="","",Ремонты!A58)</f>
        <v/>
      </c>
      <c r="C400" s="10">
        <f>IF($A400="","",Ремонты!D58)</f>
        <v/>
      </c>
      <c r="D400" s="10">
        <f>IF($A400="","",Ремонты!E58)</f>
        <v/>
      </c>
      <c r="E400" s="10">
        <f>IF($A400="","","Оплата")</f>
        <v/>
      </c>
      <c r="F400" s="10">
        <f>IF($A400="","",Ремонты!T58)</f>
        <v/>
      </c>
      <c r="G400" s="10">
        <f>IF($A400="","","Автозапись из листа Ремонты")</f>
        <v/>
      </c>
    </row>
    <row r="401">
      <c r="A401" s="12">
        <f>IF(Ремонты!G59="","",Ремонты!G59)</f>
        <v/>
      </c>
      <c r="B401" s="10">
        <f>IF($A401="","",Ремонты!A59)</f>
        <v/>
      </c>
      <c r="C401" s="10">
        <f>IF($A401="","",Ремонты!D59)</f>
        <v/>
      </c>
      <c r="D401" s="10">
        <f>IF($A401="","",Ремонты!E59)</f>
        <v/>
      </c>
      <c r="E401" s="10">
        <f>IF($A401="","","Отправка в ремонт")</f>
        <v/>
      </c>
      <c r="F401" s="10">
        <f>IF($A401="","",Ремонты!T59)</f>
        <v/>
      </c>
      <c r="G401" s="10">
        <f>IF($A401="","","Автозапись из листа Ремонты")</f>
        <v/>
      </c>
    </row>
    <row r="402">
      <c r="A402" s="12">
        <f>IF(Ремонты!I59="","",Ремонты!I59)</f>
        <v/>
      </c>
      <c r="B402" s="10">
        <f>IF($A402="","",Ремонты!A59)</f>
        <v/>
      </c>
      <c r="C402" s="10">
        <f>IF($A402="","",Ремонты!D59)</f>
        <v/>
      </c>
      <c r="D402" s="10">
        <f>IF($A402="","",Ремонты!E59)</f>
        <v/>
      </c>
      <c r="E402" s="10">
        <f>IF($A402="","","Отправка из ремонта")</f>
        <v/>
      </c>
      <c r="F402" s="10">
        <f>IF($A402="","",Ремонты!T59)</f>
        <v/>
      </c>
      <c r="G402" s="10">
        <f>IF($A402="","","Автозапись из листа Ремонты")</f>
        <v/>
      </c>
    </row>
    <row r="403">
      <c r="A403" s="12">
        <f>IF(Ремонты!J59="","",Ремонты!J59)</f>
        <v/>
      </c>
      <c r="B403" s="10">
        <f>IF($A403="","",Ремонты!A59)</f>
        <v/>
      </c>
      <c r="C403" s="10">
        <f>IF($A403="","",Ремонты!D59)</f>
        <v/>
      </c>
      <c r="D403" s="10">
        <f>IF($A403="","",Ремонты!E59)</f>
        <v/>
      </c>
      <c r="E403" s="10">
        <f>IF($A403="","","Отправка из Иркутска")</f>
        <v/>
      </c>
      <c r="F403" s="10">
        <f>IF($A403="","",Ремонты!T59)</f>
        <v/>
      </c>
      <c r="G403" s="10">
        <f>IF($A403="","","Автозапись из листа Ремонты")</f>
        <v/>
      </c>
    </row>
    <row r="404">
      <c r="A404" s="12">
        <f>IF(Ремонты!K59="","",Ремонты!K59)</f>
        <v/>
      </c>
      <c r="B404" s="10">
        <f>IF($A404="","",Ремонты!A59)</f>
        <v/>
      </c>
      <c r="C404" s="10">
        <f>IF($A404="","",Ремонты!D59)</f>
        <v/>
      </c>
      <c r="D404" s="10">
        <f>IF($A404="","",Ремонты!E59)</f>
        <v/>
      </c>
      <c r="E404" s="10">
        <f>IF($A404="","","Прибытие в Ленск")</f>
        <v/>
      </c>
      <c r="F404" s="10">
        <f>IF($A404="","",Ремонты!T59)</f>
        <v/>
      </c>
      <c r="G404" s="10">
        <f>IF($A404="","","Автозапись из листа Ремонты")</f>
        <v/>
      </c>
    </row>
    <row r="405">
      <c r="A405" s="12">
        <f>IF(Ремонты!M59="","",Ремонты!M59)</f>
        <v/>
      </c>
      <c r="B405" s="10">
        <f>IF($A405="","",Ремонты!A59)</f>
        <v/>
      </c>
      <c r="C405" s="10">
        <f>IF($A405="","",Ремонты!D59)</f>
        <v/>
      </c>
      <c r="D405" s="10">
        <f>IF($A405="","",Ремонты!E59)</f>
        <v/>
      </c>
      <c r="E405" s="10">
        <f>IF($A405="","","Фактическое получение")</f>
        <v/>
      </c>
      <c r="F405" s="10">
        <f>IF($A405="","",Ремонты!T59)</f>
        <v/>
      </c>
      <c r="G405" s="10">
        <f>IF($A405="","","Автозапись из листа Ремонты")</f>
        <v/>
      </c>
    </row>
    <row r="406">
      <c r="A406" s="12">
        <f>IF(Ремонты!P59="","",Ремонты!P59)</f>
        <v/>
      </c>
      <c r="B406" s="10">
        <f>IF($A406="","",Ремонты!A59)</f>
        <v/>
      </c>
      <c r="C406" s="10">
        <f>IF($A406="","",Ремонты!D59)</f>
        <v/>
      </c>
      <c r="D406" s="10">
        <f>IF($A406="","",Ремонты!E59)</f>
        <v/>
      </c>
      <c r="E406" s="10">
        <f>IF($A406="","","Входной контроль")</f>
        <v/>
      </c>
      <c r="F406" s="10">
        <f>IF($A406="","",Ремонты!T59)</f>
        <v/>
      </c>
      <c r="G406" s="10">
        <f>IF($A406="","","Автозапись из листа Ремонты")</f>
        <v/>
      </c>
    </row>
    <row r="407">
      <c r="A407" s="12">
        <f>IF(Ремонты!S59="","",Ремонты!S59)</f>
        <v/>
      </c>
      <c r="B407" s="10">
        <f>IF($A407="","",Ремонты!A59)</f>
        <v/>
      </c>
      <c r="C407" s="10">
        <f>IF($A407="","",Ремонты!D59)</f>
        <v/>
      </c>
      <c r="D407" s="10">
        <f>IF($A407="","",Ремонты!E59)</f>
        <v/>
      </c>
      <c r="E407" s="10">
        <f>IF($A407="","","Оплата")</f>
        <v/>
      </c>
      <c r="F407" s="10">
        <f>IF($A407="","",Ремонты!T59)</f>
        <v/>
      </c>
      <c r="G407" s="10">
        <f>IF($A407="","","Автозапись из листа Ремонты")</f>
        <v/>
      </c>
    </row>
    <row r="408">
      <c r="A408" s="12">
        <f>IF(Ремонты!G60="","",Ремонты!G60)</f>
        <v/>
      </c>
      <c r="B408" s="10">
        <f>IF($A408="","",Ремонты!A60)</f>
        <v/>
      </c>
      <c r="C408" s="10">
        <f>IF($A408="","",Ремонты!D60)</f>
        <v/>
      </c>
      <c r="D408" s="10">
        <f>IF($A408="","",Ремонты!E60)</f>
        <v/>
      </c>
      <c r="E408" s="10">
        <f>IF($A408="","","Отправка в ремонт")</f>
        <v/>
      </c>
      <c r="F408" s="10">
        <f>IF($A408="","",Ремонты!T60)</f>
        <v/>
      </c>
      <c r="G408" s="10">
        <f>IF($A408="","","Автозапись из листа Ремонты")</f>
        <v/>
      </c>
    </row>
    <row r="409">
      <c r="A409" s="12">
        <f>IF(Ремонты!I60="","",Ремонты!I60)</f>
        <v/>
      </c>
      <c r="B409" s="10">
        <f>IF($A409="","",Ремонты!A60)</f>
        <v/>
      </c>
      <c r="C409" s="10">
        <f>IF($A409="","",Ремонты!D60)</f>
        <v/>
      </c>
      <c r="D409" s="10">
        <f>IF($A409="","",Ремонты!E60)</f>
        <v/>
      </c>
      <c r="E409" s="10">
        <f>IF($A409="","","Отправка из ремонта")</f>
        <v/>
      </c>
      <c r="F409" s="10">
        <f>IF($A409="","",Ремонты!T60)</f>
        <v/>
      </c>
      <c r="G409" s="10">
        <f>IF($A409="","","Автозапись из листа Ремонты")</f>
        <v/>
      </c>
    </row>
    <row r="410">
      <c r="A410" s="12">
        <f>IF(Ремонты!J60="","",Ремонты!J60)</f>
        <v/>
      </c>
      <c r="B410" s="10">
        <f>IF($A410="","",Ремонты!A60)</f>
        <v/>
      </c>
      <c r="C410" s="10">
        <f>IF($A410="","",Ремонты!D60)</f>
        <v/>
      </c>
      <c r="D410" s="10">
        <f>IF($A410="","",Ремонты!E60)</f>
        <v/>
      </c>
      <c r="E410" s="10">
        <f>IF($A410="","","Отправка из Иркутска")</f>
        <v/>
      </c>
      <c r="F410" s="10">
        <f>IF($A410="","",Ремонты!T60)</f>
        <v/>
      </c>
      <c r="G410" s="10">
        <f>IF($A410="","","Автозапись из листа Ремонты")</f>
        <v/>
      </c>
    </row>
    <row r="411">
      <c r="A411" s="12">
        <f>IF(Ремонты!K60="","",Ремонты!K60)</f>
        <v/>
      </c>
      <c r="B411" s="10">
        <f>IF($A411="","",Ремонты!A60)</f>
        <v/>
      </c>
      <c r="C411" s="10">
        <f>IF($A411="","",Ремонты!D60)</f>
        <v/>
      </c>
      <c r="D411" s="10">
        <f>IF($A411="","",Ремонты!E60)</f>
        <v/>
      </c>
      <c r="E411" s="10">
        <f>IF($A411="","","Прибытие в Ленск")</f>
        <v/>
      </c>
      <c r="F411" s="10">
        <f>IF($A411="","",Ремонты!T60)</f>
        <v/>
      </c>
      <c r="G411" s="10">
        <f>IF($A411="","","Автозапись из листа Ремонты")</f>
        <v/>
      </c>
    </row>
    <row r="412">
      <c r="A412" s="12">
        <f>IF(Ремонты!M60="","",Ремонты!M60)</f>
        <v/>
      </c>
      <c r="B412" s="10">
        <f>IF($A412="","",Ремонты!A60)</f>
        <v/>
      </c>
      <c r="C412" s="10">
        <f>IF($A412="","",Ремонты!D60)</f>
        <v/>
      </c>
      <c r="D412" s="10">
        <f>IF($A412="","",Ремонты!E60)</f>
        <v/>
      </c>
      <c r="E412" s="10">
        <f>IF($A412="","","Фактическое получение")</f>
        <v/>
      </c>
      <c r="F412" s="10">
        <f>IF($A412="","",Ремонты!T60)</f>
        <v/>
      </c>
      <c r="G412" s="10">
        <f>IF($A412="","","Автозапись из листа Ремонты")</f>
        <v/>
      </c>
    </row>
    <row r="413">
      <c r="A413" s="12">
        <f>IF(Ремонты!P60="","",Ремонты!P60)</f>
        <v/>
      </c>
      <c r="B413" s="10">
        <f>IF($A413="","",Ремонты!A60)</f>
        <v/>
      </c>
      <c r="C413" s="10">
        <f>IF($A413="","",Ремонты!D60)</f>
        <v/>
      </c>
      <c r="D413" s="10">
        <f>IF($A413="","",Ремонты!E60)</f>
        <v/>
      </c>
      <c r="E413" s="10">
        <f>IF($A413="","","Входной контроль")</f>
        <v/>
      </c>
      <c r="F413" s="10">
        <f>IF($A413="","",Ремонты!T60)</f>
        <v/>
      </c>
      <c r="G413" s="10">
        <f>IF($A413="","","Автозапись из листа Ремонты")</f>
        <v/>
      </c>
    </row>
    <row r="414">
      <c r="A414" s="12">
        <f>IF(Ремонты!S60="","",Ремонты!S60)</f>
        <v/>
      </c>
      <c r="B414" s="10">
        <f>IF($A414="","",Ремонты!A60)</f>
        <v/>
      </c>
      <c r="C414" s="10">
        <f>IF($A414="","",Ремонты!D60)</f>
        <v/>
      </c>
      <c r="D414" s="10">
        <f>IF($A414="","",Ремонты!E60)</f>
        <v/>
      </c>
      <c r="E414" s="10">
        <f>IF($A414="","","Оплата")</f>
        <v/>
      </c>
      <c r="F414" s="10">
        <f>IF($A414="","",Ремонты!T60)</f>
        <v/>
      </c>
      <c r="G414" s="10">
        <f>IF($A414="","","Автозапись из листа Ремонты")</f>
        <v/>
      </c>
    </row>
    <row r="415">
      <c r="A415" s="12">
        <f>IF(Ремонты!G61="","",Ремонты!G61)</f>
        <v/>
      </c>
      <c r="B415" s="10">
        <f>IF($A415="","",Ремонты!A61)</f>
        <v/>
      </c>
      <c r="C415" s="10">
        <f>IF($A415="","",Ремонты!D61)</f>
        <v/>
      </c>
      <c r="D415" s="10">
        <f>IF($A415="","",Ремонты!E61)</f>
        <v/>
      </c>
      <c r="E415" s="10">
        <f>IF($A415="","","Отправка в ремонт")</f>
        <v/>
      </c>
      <c r="F415" s="10">
        <f>IF($A415="","",Ремонты!T61)</f>
        <v/>
      </c>
      <c r="G415" s="10">
        <f>IF($A415="","","Автозапись из листа Ремонты")</f>
        <v/>
      </c>
    </row>
    <row r="416">
      <c r="A416" s="12">
        <f>IF(Ремонты!I61="","",Ремонты!I61)</f>
        <v/>
      </c>
      <c r="B416" s="10">
        <f>IF($A416="","",Ремонты!A61)</f>
        <v/>
      </c>
      <c r="C416" s="10">
        <f>IF($A416="","",Ремонты!D61)</f>
        <v/>
      </c>
      <c r="D416" s="10">
        <f>IF($A416="","",Ремонты!E61)</f>
        <v/>
      </c>
      <c r="E416" s="10">
        <f>IF($A416="","","Отправка из ремонта")</f>
        <v/>
      </c>
      <c r="F416" s="10">
        <f>IF($A416="","",Ремонты!T61)</f>
        <v/>
      </c>
      <c r="G416" s="10">
        <f>IF($A416="","","Автозапись из листа Ремонты")</f>
        <v/>
      </c>
    </row>
    <row r="417">
      <c r="A417" s="12">
        <f>IF(Ремонты!J61="","",Ремонты!J61)</f>
        <v/>
      </c>
      <c r="B417" s="10">
        <f>IF($A417="","",Ремонты!A61)</f>
        <v/>
      </c>
      <c r="C417" s="10">
        <f>IF($A417="","",Ремонты!D61)</f>
        <v/>
      </c>
      <c r="D417" s="10">
        <f>IF($A417="","",Ремонты!E61)</f>
        <v/>
      </c>
      <c r="E417" s="10">
        <f>IF($A417="","","Отправка из Иркутска")</f>
        <v/>
      </c>
      <c r="F417" s="10">
        <f>IF($A417="","",Ремонты!T61)</f>
        <v/>
      </c>
      <c r="G417" s="10">
        <f>IF($A417="","","Автозапись из листа Ремонты")</f>
        <v/>
      </c>
    </row>
    <row r="418">
      <c r="A418" s="12">
        <f>IF(Ремонты!K61="","",Ремонты!K61)</f>
        <v/>
      </c>
      <c r="B418" s="10">
        <f>IF($A418="","",Ремонты!A61)</f>
        <v/>
      </c>
      <c r="C418" s="10">
        <f>IF($A418="","",Ремонты!D61)</f>
        <v/>
      </c>
      <c r="D418" s="10">
        <f>IF($A418="","",Ремонты!E61)</f>
        <v/>
      </c>
      <c r="E418" s="10">
        <f>IF($A418="","","Прибытие в Ленск")</f>
        <v/>
      </c>
      <c r="F418" s="10">
        <f>IF($A418="","",Ремонты!T61)</f>
        <v/>
      </c>
      <c r="G418" s="10">
        <f>IF($A418="","","Автозапись из листа Ремонты")</f>
        <v/>
      </c>
    </row>
    <row r="419">
      <c r="A419" s="12">
        <f>IF(Ремонты!M61="","",Ремонты!M61)</f>
        <v/>
      </c>
      <c r="B419" s="10">
        <f>IF($A419="","",Ремонты!A61)</f>
        <v/>
      </c>
      <c r="C419" s="10">
        <f>IF($A419="","",Ремонты!D61)</f>
        <v/>
      </c>
      <c r="D419" s="10">
        <f>IF($A419="","",Ремонты!E61)</f>
        <v/>
      </c>
      <c r="E419" s="10">
        <f>IF($A419="","","Фактическое получение")</f>
        <v/>
      </c>
      <c r="F419" s="10">
        <f>IF($A419="","",Ремонты!T61)</f>
        <v/>
      </c>
      <c r="G419" s="10">
        <f>IF($A419="","","Автозапись из листа Ремонты")</f>
        <v/>
      </c>
    </row>
    <row r="420">
      <c r="A420" s="12">
        <f>IF(Ремонты!P61="","",Ремонты!P61)</f>
        <v/>
      </c>
      <c r="B420" s="10">
        <f>IF($A420="","",Ремонты!A61)</f>
        <v/>
      </c>
      <c r="C420" s="10">
        <f>IF($A420="","",Ремонты!D61)</f>
        <v/>
      </c>
      <c r="D420" s="10">
        <f>IF($A420="","",Ремонты!E61)</f>
        <v/>
      </c>
      <c r="E420" s="10">
        <f>IF($A420="","","Входной контроль")</f>
        <v/>
      </c>
      <c r="F420" s="10">
        <f>IF($A420="","",Ремонты!T61)</f>
        <v/>
      </c>
      <c r="G420" s="10">
        <f>IF($A420="","","Автозапись из листа Ремонты")</f>
        <v/>
      </c>
    </row>
    <row r="421">
      <c r="A421" s="12">
        <f>IF(Ремонты!S61="","",Ремонты!S61)</f>
        <v/>
      </c>
      <c r="B421" s="10">
        <f>IF($A421="","",Ремонты!A61)</f>
        <v/>
      </c>
      <c r="C421" s="10">
        <f>IF($A421="","",Ремонты!D61)</f>
        <v/>
      </c>
      <c r="D421" s="10">
        <f>IF($A421="","",Ремонты!E61)</f>
        <v/>
      </c>
      <c r="E421" s="10">
        <f>IF($A421="","","Оплата")</f>
        <v/>
      </c>
      <c r="F421" s="10">
        <f>IF($A421="","",Ремонты!T61)</f>
        <v/>
      </c>
      <c r="G421" s="10">
        <f>IF($A421="","","Автозапись из листа Ремонты")</f>
        <v/>
      </c>
    </row>
    <row r="422">
      <c r="A422" s="12">
        <f>IF(Ремонты!G62="","",Ремонты!G62)</f>
        <v/>
      </c>
      <c r="B422" s="10">
        <f>IF($A422="","",Ремонты!A62)</f>
        <v/>
      </c>
      <c r="C422" s="10">
        <f>IF($A422="","",Ремонты!D62)</f>
        <v/>
      </c>
      <c r="D422" s="10">
        <f>IF($A422="","",Ремонты!E62)</f>
        <v/>
      </c>
      <c r="E422" s="10">
        <f>IF($A422="","","Отправка в ремонт")</f>
        <v/>
      </c>
      <c r="F422" s="10">
        <f>IF($A422="","",Ремонты!T62)</f>
        <v/>
      </c>
      <c r="G422" s="10">
        <f>IF($A422="","","Автозапись из листа Ремонты")</f>
        <v/>
      </c>
    </row>
    <row r="423">
      <c r="A423" s="12">
        <f>IF(Ремонты!I62="","",Ремонты!I62)</f>
        <v/>
      </c>
      <c r="B423" s="10">
        <f>IF($A423="","",Ремонты!A62)</f>
        <v/>
      </c>
      <c r="C423" s="10">
        <f>IF($A423="","",Ремонты!D62)</f>
        <v/>
      </c>
      <c r="D423" s="10">
        <f>IF($A423="","",Ремонты!E62)</f>
        <v/>
      </c>
      <c r="E423" s="10">
        <f>IF($A423="","","Отправка из ремонта")</f>
        <v/>
      </c>
      <c r="F423" s="10">
        <f>IF($A423="","",Ремонты!T62)</f>
        <v/>
      </c>
      <c r="G423" s="10">
        <f>IF($A423="","","Автозапись из листа Ремонты")</f>
        <v/>
      </c>
    </row>
    <row r="424">
      <c r="A424" s="12">
        <f>IF(Ремонты!J62="","",Ремонты!J62)</f>
        <v/>
      </c>
      <c r="B424" s="10">
        <f>IF($A424="","",Ремонты!A62)</f>
        <v/>
      </c>
      <c r="C424" s="10">
        <f>IF($A424="","",Ремонты!D62)</f>
        <v/>
      </c>
      <c r="D424" s="10">
        <f>IF($A424="","",Ремонты!E62)</f>
        <v/>
      </c>
      <c r="E424" s="10">
        <f>IF($A424="","","Отправка из Иркутска")</f>
        <v/>
      </c>
      <c r="F424" s="10">
        <f>IF($A424="","",Ремонты!T62)</f>
        <v/>
      </c>
      <c r="G424" s="10">
        <f>IF($A424="","","Автозапись из листа Ремонты")</f>
        <v/>
      </c>
    </row>
    <row r="425">
      <c r="A425" s="12">
        <f>IF(Ремонты!K62="","",Ремонты!K62)</f>
        <v/>
      </c>
      <c r="B425" s="10">
        <f>IF($A425="","",Ремонты!A62)</f>
        <v/>
      </c>
      <c r="C425" s="10">
        <f>IF($A425="","",Ремонты!D62)</f>
        <v/>
      </c>
      <c r="D425" s="10">
        <f>IF($A425="","",Ремонты!E62)</f>
        <v/>
      </c>
      <c r="E425" s="10">
        <f>IF($A425="","","Прибытие в Ленск")</f>
        <v/>
      </c>
      <c r="F425" s="10">
        <f>IF($A425="","",Ремонты!T62)</f>
        <v/>
      </c>
      <c r="G425" s="10">
        <f>IF($A425="","","Автозапись из листа Ремонты")</f>
        <v/>
      </c>
    </row>
    <row r="426">
      <c r="A426" s="12">
        <f>IF(Ремонты!M62="","",Ремонты!M62)</f>
        <v/>
      </c>
      <c r="B426" s="10">
        <f>IF($A426="","",Ремонты!A62)</f>
        <v/>
      </c>
      <c r="C426" s="10">
        <f>IF($A426="","",Ремонты!D62)</f>
        <v/>
      </c>
      <c r="D426" s="10">
        <f>IF($A426="","",Ремонты!E62)</f>
        <v/>
      </c>
      <c r="E426" s="10">
        <f>IF($A426="","","Фактическое получение")</f>
        <v/>
      </c>
      <c r="F426" s="10">
        <f>IF($A426="","",Ремонты!T62)</f>
        <v/>
      </c>
      <c r="G426" s="10">
        <f>IF($A426="","","Автозапись из листа Ремонты")</f>
        <v/>
      </c>
    </row>
    <row r="427">
      <c r="A427" s="12">
        <f>IF(Ремонты!P62="","",Ремонты!P62)</f>
        <v/>
      </c>
      <c r="B427" s="10">
        <f>IF($A427="","",Ремонты!A62)</f>
        <v/>
      </c>
      <c r="C427" s="10">
        <f>IF($A427="","",Ремонты!D62)</f>
        <v/>
      </c>
      <c r="D427" s="10">
        <f>IF($A427="","",Ремонты!E62)</f>
        <v/>
      </c>
      <c r="E427" s="10">
        <f>IF($A427="","","Входной контроль")</f>
        <v/>
      </c>
      <c r="F427" s="10">
        <f>IF($A427="","",Ремонты!T62)</f>
        <v/>
      </c>
      <c r="G427" s="10">
        <f>IF($A427="","","Автозапись из листа Ремонты")</f>
        <v/>
      </c>
    </row>
    <row r="428">
      <c r="A428" s="12">
        <f>IF(Ремонты!S62="","",Ремонты!S62)</f>
        <v/>
      </c>
      <c r="B428" s="10">
        <f>IF($A428="","",Ремонты!A62)</f>
        <v/>
      </c>
      <c r="C428" s="10">
        <f>IF($A428="","",Ремонты!D62)</f>
        <v/>
      </c>
      <c r="D428" s="10">
        <f>IF($A428="","",Ремонты!E62)</f>
        <v/>
      </c>
      <c r="E428" s="10">
        <f>IF($A428="","","Оплата")</f>
        <v/>
      </c>
      <c r="F428" s="10">
        <f>IF($A428="","",Ремонты!T62)</f>
        <v/>
      </c>
      <c r="G428" s="10">
        <f>IF($A428="","","Автозапись из листа Ремонты")</f>
        <v/>
      </c>
    </row>
    <row r="429">
      <c r="A429" s="12">
        <f>IF(Ремонты!G63="","",Ремонты!G63)</f>
        <v/>
      </c>
      <c r="B429" s="10">
        <f>IF($A429="","",Ремонты!A63)</f>
        <v/>
      </c>
      <c r="C429" s="10">
        <f>IF($A429="","",Ремонты!D63)</f>
        <v/>
      </c>
      <c r="D429" s="10">
        <f>IF($A429="","",Ремонты!E63)</f>
        <v/>
      </c>
      <c r="E429" s="10">
        <f>IF($A429="","","Отправка в ремонт")</f>
        <v/>
      </c>
      <c r="F429" s="10">
        <f>IF($A429="","",Ремонты!T63)</f>
        <v/>
      </c>
      <c r="G429" s="10">
        <f>IF($A429="","","Автозапись из листа Ремонты")</f>
        <v/>
      </c>
    </row>
    <row r="430">
      <c r="A430" s="12">
        <f>IF(Ремонты!I63="","",Ремонты!I63)</f>
        <v/>
      </c>
      <c r="B430" s="10">
        <f>IF($A430="","",Ремонты!A63)</f>
        <v/>
      </c>
      <c r="C430" s="10">
        <f>IF($A430="","",Ремонты!D63)</f>
        <v/>
      </c>
      <c r="D430" s="10">
        <f>IF($A430="","",Ремонты!E63)</f>
        <v/>
      </c>
      <c r="E430" s="10">
        <f>IF($A430="","","Отправка из ремонта")</f>
        <v/>
      </c>
      <c r="F430" s="10">
        <f>IF($A430="","",Ремонты!T63)</f>
        <v/>
      </c>
      <c r="G430" s="10">
        <f>IF($A430="","","Автозапись из листа Ремонты")</f>
        <v/>
      </c>
    </row>
    <row r="431">
      <c r="A431" s="12">
        <f>IF(Ремонты!J63="","",Ремонты!J63)</f>
        <v/>
      </c>
      <c r="B431" s="10">
        <f>IF($A431="","",Ремонты!A63)</f>
        <v/>
      </c>
      <c r="C431" s="10">
        <f>IF($A431="","",Ремонты!D63)</f>
        <v/>
      </c>
      <c r="D431" s="10">
        <f>IF($A431="","",Ремонты!E63)</f>
        <v/>
      </c>
      <c r="E431" s="10">
        <f>IF($A431="","","Отправка из Иркутска")</f>
        <v/>
      </c>
      <c r="F431" s="10">
        <f>IF($A431="","",Ремонты!T63)</f>
        <v/>
      </c>
      <c r="G431" s="10">
        <f>IF($A431="","","Автозапись из листа Ремонты")</f>
        <v/>
      </c>
    </row>
    <row r="432">
      <c r="A432" s="12">
        <f>IF(Ремонты!K63="","",Ремонты!K63)</f>
        <v/>
      </c>
      <c r="B432" s="10">
        <f>IF($A432="","",Ремонты!A63)</f>
        <v/>
      </c>
      <c r="C432" s="10">
        <f>IF($A432="","",Ремонты!D63)</f>
        <v/>
      </c>
      <c r="D432" s="10">
        <f>IF($A432="","",Ремонты!E63)</f>
        <v/>
      </c>
      <c r="E432" s="10">
        <f>IF($A432="","","Прибытие в Ленск")</f>
        <v/>
      </c>
      <c r="F432" s="10">
        <f>IF($A432="","",Ремонты!T63)</f>
        <v/>
      </c>
      <c r="G432" s="10">
        <f>IF($A432="","","Автозапись из листа Ремонты")</f>
        <v/>
      </c>
    </row>
    <row r="433">
      <c r="A433" s="12">
        <f>IF(Ремонты!M63="","",Ремонты!M63)</f>
        <v/>
      </c>
      <c r="B433" s="10">
        <f>IF($A433="","",Ремонты!A63)</f>
        <v/>
      </c>
      <c r="C433" s="10">
        <f>IF($A433="","",Ремонты!D63)</f>
        <v/>
      </c>
      <c r="D433" s="10">
        <f>IF($A433="","",Ремонты!E63)</f>
        <v/>
      </c>
      <c r="E433" s="10">
        <f>IF($A433="","","Фактическое получение")</f>
        <v/>
      </c>
      <c r="F433" s="10">
        <f>IF($A433="","",Ремонты!T63)</f>
        <v/>
      </c>
      <c r="G433" s="10">
        <f>IF($A433="","","Автозапись из листа Ремонты")</f>
        <v/>
      </c>
    </row>
    <row r="434">
      <c r="A434" s="12">
        <f>IF(Ремонты!P63="","",Ремонты!P63)</f>
        <v/>
      </c>
      <c r="B434" s="10">
        <f>IF($A434="","",Ремонты!A63)</f>
        <v/>
      </c>
      <c r="C434" s="10">
        <f>IF($A434="","",Ремонты!D63)</f>
        <v/>
      </c>
      <c r="D434" s="10">
        <f>IF($A434="","",Ремонты!E63)</f>
        <v/>
      </c>
      <c r="E434" s="10">
        <f>IF($A434="","","Входной контроль")</f>
        <v/>
      </c>
      <c r="F434" s="10">
        <f>IF($A434="","",Ремонты!T63)</f>
        <v/>
      </c>
      <c r="G434" s="10">
        <f>IF($A434="","","Автозапись из листа Ремонты")</f>
        <v/>
      </c>
    </row>
    <row r="435">
      <c r="A435" s="12">
        <f>IF(Ремонты!S63="","",Ремонты!S63)</f>
        <v/>
      </c>
      <c r="B435" s="10">
        <f>IF($A435="","",Ремонты!A63)</f>
        <v/>
      </c>
      <c r="C435" s="10">
        <f>IF($A435="","",Ремонты!D63)</f>
        <v/>
      </c>
      <c r="D435" s="10">
        <f>IF($A435="","",Ремонты!E63)</f>
        <v/>
      </c>
      <c r="E435" s="10">
        <f>IF($A435="","","Оплата")</f>
        <v/>
      </c>
      <c r="F435" s="10">
        <f>IF($A435="","",Ремонты!T63)</f>
        <v/>
      </c>
      <c r="G435" s="10">
        <f>IF($A435="","","Автозапись из листа Ремонты")</f>
        <v/>
      </c>
    </row>
    <row r="436">
      <c r="A436" s="12">
        <f>IF(Ремонты!G64="","",Ремонты!G64)</f>
        <v/>
      </c>
      <c r="B436" s="10">
        <f>IF($A436="","",Ремонты!A64)</f>
        <v/>
      </c>
      <c r="C436" s="10">
        <f>IF($A436="","",Ремонты!D64)</f>
        <v/>
      </c>
      <c r="D436" s="10">
        <f>IF($A436="","",Ремонты!E64)</f>
        <v/>
      </c>
      <c r="E436" s="10">
        <f>IF($A436="","","Отправка в ремонт")</f>
        <v/>
      </c>
      <c r="F436" s="10">
        <f>IF($A436="","",Ремонты!T64)</f>
        <v/>
      </c>
      <c r="G436" s="10">
        <f>IF($A436="","","Автозапись из листа Ремонты")</f>
        <v/>
      </c>
    </row>
    <row r="437">
      <c r="A437" s="12">
        <f>IF(Ремонты!I64="","",Ремонты!I64)</f>
        <v/>
      </c>
      <c r="B437" s="10">
        <f>IF($A437="","",Ремонты!A64)</f>
        <v/>
      </c>
      <c r="C437" s="10">
        <f>IF($A437="","",Ремонты!D64)</f>
        <v/>
      </c>
      <c r="D437" s="10">
        <f>IF($A437="","",Ремонты!E64)</f>
        <v/>
      </c>
      <c r="E437" s="10">
        <f>IF($A437="","","Отправка из ремонта")</f>
        <v/>
      </c>
      <c r="F437" s="10">
        <f>IF($A437="","",Ремонты!T64)</f>
        <v/>
      </c>
      <c r="G437" s="10">
        <f>IF($A437="","","Автозапись из листа Ремонты")</f>
        <v/>
      </c>
    </row>
    <row r="438">
      <c r="A438" s="12">
        <f>IF(Ремонты!J64="","",Ремонты!J64)</f>
        <v/>
      </c>
      <c r="B438" s="10">
        <f>IF($A438="","",Ремонты!A64)</f>
        <v/>
      </c>
      <c r="C438" s="10">
        <f>IF($A438="","",Ремонты!D64)</f>
        <v/>
      </c>
      <c r="D438" s="10">
        <f>IF($A438="","",Ремонты!E64)</f>
        <v/>
      </c>
      <c r="E438" s="10">
        <f>IF($A438="","","Отправка из Иркутска")</f>
        <v/>
      </c>
      <c r="F438" s="10">
        <f>IF($A438="","",Ремонты!T64)</f>
        <v/>
      </c>
      <c r="G438" s="10">
        <f>IF($A438="","","Автозапись из листа Ремонты")</f>
        <v/>
      </c>
    </row>
    <row r="439">
      <c r="A439" s="12">
        <f>IF(Ремонты!K64="","",Ремонты!K64)</f>
        <v/>
      </c>
      <c r="B439" s="10">
        <f>IF($A439="","",Ремонты!A64)</f>
        <v/>
      </c>
      <c r="C439" s="10">
        <f>IF($A439="","",Ремонты!D64)</f>
        <v/>
      </c>
      <c r="D439" s="10">
        <f>IF($A439="","",Ремонты!E64)</f>
        <v/>
      </c>
      <c r="E439" s="10">
        <f>IF($A439="","","Прибытие в Ленск")</f>
        <v/>
      </c>
      <c r="F439" s="10">
        <f>IF($A439="","",Ремонты!T64)</f>
        <v/>
      </c>
      <c r="G439" s="10">
        <f>IF($A439="","","Автозапись из листа Ремонты")</f>
        <v/>
      </c>
    </row>
    <row r="440">
      <c r="A440" s="12">
        <f>IF(Ремонты!M64="","",Ремонты!M64)</f>
        <v/>
      </c>
      <c r="B440" s="10">
        <f>IF($A440="","",Ремонты!A64)</f>
        <v/>
      </c>
      <c r="C440" s="10">
        <f>IF($A440="","",Ремонты!D64)</f>
        <v/>
      </c>
      <c r="D440" s="10">
        <f>IF($A440="","",Ремонты!E64)</f>
        <v/>
      </c>
      <c r="E440" s="10">
        <f>IF($A440="","","Фактическое получение")</f>
        <v/>
      </c>
      <c r="F440" s="10">
        <f>IF($A440="","",Ремонты!T64)</f>
        <v/>
      </c>
      <c r="G440" s="10">
        <f>IF($A440="","","Автозапись из листа Ремонты")</f>
        <v/>
      </c>
    </row>
    <row r="441">
      <c r="A441" s="12">
        <f>IF(Ремонты!P64="","",Ремонты!P64)</f>
        <v/>
      </c>
      <c r="B441" s="10">
        <f>IF($A441="","",Ремонты!A64)</f>
        <v/>
      </c>
      <c r="C441" s="10">
        <f>IF($A441="","",Ремонты!D64)</f>
        <v/>
      </c>
      <c r="D441" s="10">
        <f>IF($A441="","",Ремонты!E64)</f>
        <v/>
      </c>
      <c r="E441" s="10">
        <f>IF($A441="","","Входной контроль")</f>
        <v/>
      </c>
      <c r="F441" s="10">
        <f>IF($A441="","",Ремонты!T64)</f>
        <v/>
      </c>
      <c r="G441" s="10">
        <f>IF($A441="","","Автозапись из листа Ремонты")</f>
        <v/>
      </c>
    </row>
    <row r="442">
      <c r="A442" s="12">
        <f>IF(Ремонты!S64="","",Ремонты!S64)</f>
        <v/>
      </c>
      <c r="B442" s="10">
        <f>IF($A442="","",Ремонты!A64)</f>
        <v/>
      </c>
      <c r="C442" s="10">
        <f>IF($A442="","",Ремонты!D64)</f>
        <v/>
      </c>
      <c r="D442" s="10">
        <f>IF($A442="","",Ремонты!E64)</f>
        <v/>
      </c>
      <c r="E442" s="10">
        <f>IF($A442="","","Оплата")</f>
        <v/>
      </c>
      <c r="F442" s="10">
        <f>IF($A442="","",Ремонты!T64)</f>
        <v/>
      </c>
      <c r="G442" s="10">
        <f>IF($A442="","","Автозапись из листа Ремонты")</f>
        <v/>
      </c>
    </row>
    <row r="443">
      <c r="A443" s="12">
        <f>IF(Ремонты!G65="","",Ремонты!G65)</f>
        <v/>
      </c>
      <c r="B443" s="10">
        <f>IF($A443="","",Ремонты!A65)</f>
        <v/>
      </c>
      <c r="C443" s="10">
        <f>IF($A443="","",Ремонты!D65)</f>
        <v/>
      </c>
      <c r="D443" s="10">
        <f>IF($A443="","",Ремонты!E65)</f>
        <v/>
      </c>
      <c r="E443" s="10">
        <f>IF($A443="","","Отправка в ремонт")</f>
        <v/>
      </c>
      <c r="F443" s="10">
        <f>IF($A443="","",Ремонты!T65)</f>
        <v/>
      </c>
      <c r="G443" s="10">
        <f>IF($A443="","","Автозапись из листа Ремонты")</f>
        <v/>
      </c>
    </row>
    <row r="444">
      <c r="A444" s="12">
        <f>IF(Ремонты!I65="","",Ремонты!I65)</f>
        <v/>
      </c>
      <c r="B444" s="10">
        <f>IF($A444="","",Ремонты!A65)</f>
        <v/>
      </c>
      <c r="C444" s="10">
        <f>IF($A444="","",Ремонты!D65)</f>
        <v/>
      </c>
      <c r="D444" s="10">
        <f>IF($A444="","",Ремонты!E65)</f>
        <v/>
      </c>
      <c r="E444" s="10">
        <f>IF($A444="","","Отправка из ремонта")</f>
        <v/>
      </c>
      <c r="F444" s="10">
        <f>IF($A444="","",Ремонты!T65)</f>
        <v/>
      </c>
      <c r="G444" s="10">
        <f>IF($A444="","","Автозапись из листа Ремонты")</f>
        <v/>
      </c>
    </row>
    <row r="445">
      <c r="A445" s="12">
        <f>IF(Ремонты!J65="","",Ремонты!J65)</f>
        <v/>
      </c>
      <c r="B445" s="10">
        <f>IF($A445="","",Ремонты!A65)</f>
        <v/>
      </c>
      <c r="C445" s="10">
        <f>IF($A445="","",Ремонты!D65)</f>
        <v/>
      </c>
      <c r="D445" s="10">
        <f>IF($A445="","",Ремонты!E65)</f>
        <v/>
      </c>
      <c r="E445" s="10">
        <f>IF($A445="","","Отправка из Иркутска")</f>
        <v/>
      </c>
      <c r="F445" s="10">
        <f>IF($A445="","",Ремонты!T65)</f>
        <v/>
      </c>
      <c r="G445" s="10">
        <f>IF($A445="","","Автозапись из листа Ремонты")</f>
        <v/>
      </c>
    </row>
    <row r="446">
      <c r="A446" s="12">
        <f>IF(Ремонты!K65="","",Ремонты!K65)</f>
        <v/>
      </c>
      <c r="B446" s="10">
        <f>IF($A446="","",Ремонты!A65)</f>
        <v/>
      </c>
      <c r="C446" s="10">
        <f>IF($A446="","",Ремонты!D65)</f>
        <v/>
      </c>
      <c r="D446" s="10">
        <f>IF($A446="","",Ремонты!E65)</f>
        <v/>
      </c>
      <c r="E446" s="10">
        <f>IF($A446="","","Прибытие в Ленск")</f>
        <v/>
      </c>
      <c r="F446" s="10">
        <f>IF($A446="","",Ремонты!T65)</f>
        <v/>
      </c>
      <c r="G446" s="10">
        <f>IF($A446="","","Автозапись из листа Ремонты")</f>
        <v/>
      </c>
    </row>
    <row r="447">
      <c r="A447" s="12">
        <f>IF(Ремонты!M65="","",Ремонты!M65)</f>
        <v/>
      </c>
      <c r="B447" s="10">
        <f>IF($A447="","",Ремонты!A65)</f>
        <v/>
      </c>
      <c r="C447" s="10">
        <f>IF($A447="","",Ремонты!D65)</f>
        <v/>
      </c>
      <c r="D447" s="10">
        <f>IF($A447="","",Ремонты!E65)</f>
        <v/>
      </c>
      <c r="E447" s="10">
        <f>IF($A447="","","Фактическое получение")</f>
        <v/>
      </c>
      <c r="F447" s="10">
        <f>IF($A447="","",Ремонты!T65)</f>
        <v/>
      </c>
      <c r="G447" s="10">
        <f>IF($A447="","","Автозапись из листа Ремонты")</f>
        <v/>
      </c>
    </row>
    <row r="448">
      <c r="A448" s="12">
        <f>IF(Ремонты!P65="","",Ремонты!P65)</f>
        <v/>
      </c>
      <c r="B448" s="10">
        <f>IF($A448="","",Ремонты!A65)</f>
        <v/>
      </c>
      <c r="C448" s="10">
        <f>IF($A448="","",Ремонты!D65)</f>
        <v/>
      </c>
      <c r="D448" s="10">
        <f>IF($A448="","",Ремонты!E65)</f>
        <v/>
      </c>
      <c r="E448" s="10">
        <f>IF($A448="","","Входной контроль")</f>
        <v/>
      </c>
      <c r="F448" s="10">
        <f>IF($A448="","",Ремонты!T65)</f>
        <v/>
      </c>
      <c r="G448" s="10">
        <f>IF($A448="","","Автозапись из листа Ремонты")</f>
        <v/>
      </c>
    </row>
    <row r="449">
      <c r="A449" s="12">
        <f>IF(Ремонты!S65="","",Ремонты!S65)</f>
        <v/>
      </c>
      <c r="B449" s="10">
        <f>IF($A449="","",Ремонты!A65)</f>
        <v/>
      </c>
      <c r="C449" s="10">
        <f>IF($A449="","",Ремонты!D65)</f>
        <v/>
      </c>
      <c r="D449" s="10">
        <f>IF($A449="","",Ремонты!E65)</f>
        <v/>
      </c>
      <c r="E449" s="10">
        <f>IF($A449="","","Оплата")</f>
        <v/>
      </c>
      <c r="F449" s="10">
        <f>IF($A449="","",Ремонты!T65)</f>
        <v/>
      </c>
      <c r="G449" s="10">
        <f>IF($A449="","","Автозапись из листа Ремонты")</f>
        <v/>
      </c>
    </row>
    <row r="450">
      <c r="A450" s="12">
        <f>IF(Ремонты!G66="","",Ремонты!G66)</f>
        <v/>
      </c>
      <c r="B450" s="10">
        <f>IF($A450="","",Ремонты!A66)</f>
        <v/>
      </c>
      <c r="C450" s="10">
        <f>IF($A450="","",Ремонты!D66)</f>
        <v/>
      </c>
      <c r="D450" s="10">
        <f>IF($A450="","",Ремонты!E66)</f>
        <v/>
      </c>
      <c r="E450" s="10">
        <f>IF($A450="","","Отправка в ремонт")</f>
        <v/>
      </c>
      <c r="F450" s="10">
        <f>IF($A450="","",Ремонты!T66)</f>
        <v/>
      </c>
      <c r="G450" s="10">
        <f>IF($A450="","","Автозапись из листа Ремонты")</f>
        <v/>
      </c>
    </row>
    <row r="451">
      <c r="A451" s="12">
        <f>IF(Ремонты!I66="","",Ремонты!I66)</f>
        <v/>
      </c>
      <c r="B451" s="10">
        <f>IF($A451="","",Ремонты!A66)</f>
        <v/>
      </c>
      <c r="C451" s="10">
        <f>IF($A451="","",Ремонты!D66)</f>
        <v/>
      </c>
      <c r="D451" s="10">
        <f>IF($A451="","",Ремонты!E66)</f>
        <v/>
      </c>
      <c r="E451" s="10">
        <f>IF($A451="","","Отправка из ремонта")</f>
        <v/>
      </c>
      <c r="F451" s="10">
        <f>IF($A451="","",Ремонты!T66)</f>
        <v/>
      </c>
      <c r="G451" s="10">
        <f>IF($A451="","","Автозапись из листа Ремонты")</f>
        <v/>
      </c>
    </row>
    <row r="452">
      <c r="A452" s="12">
        <f>IF(Ремонты!J66="","",Ремонты!J66)</f>
        <v/>
      </c>
      <c r="B452" s="10">
        <f>IF($A452="","",Ремонты!A66)</f>
        <v/>
      </c>
      <c r="C452" s="10">
        <f>IF($A452="","",Ремонты!D66)</f>
        <v/>
      </c>
      <c r="D452" s="10">
        <f>IF($A452="","",Ремонты!E66)</f>
        <v/>
      </c>
      <c r="E452" s="10">
        <f>IF($A452="","","Отправка из Иркутска")</f>
        <v/>
      </c>
      <c r="F452" s="10">
        <f>IF($A452="","",Ремонты!T66)</f>
        <v/>
      </c>
      <c r="G452" s="10">
        <f>IF($A452="","","Автозапись из листа Ремонты")</f>
        <v/>
      </c>
    </row>
    <row r="453">
      <c r="A453" s="12">
        <f>IF(Ремонты!K66="","",Ремонты!K66)</f>
        <v/>
      </c>
      <c r="B453" s="10">
        <f>IF($A453="","",Ремонты!A66)</f>
        <v/>
      </c>
      <c r="C453" s="10">
        <f>IF($A453="","",Ремонты!D66)</f>
        <v/>
      </c>
      <c r="D453" s="10">
        <f>IF($A453="","",Ремонты!E66)</f>
        <v/>
      </c>
      <c r="E453" s="10">
        <f>IF($A453="","","Прибытие в Ленск")</f>
        <v/>
      </c>
      <c r="F453" s="10">
        <f>IF($A453="","",Ремонты!T66)</f>
        <v/>
      </c>
      <c r="G453" s="10">
        <f>IF($A453="","","Автозапись из листа Ремонты")</f>
        <v/>
      </c>
    </row>
    <row r="454">
      <c r="A454" s="12">
        <f>IF(Ремонты!M66="","",Ремонты!M66)</f>
        <v/>
      </c>
      <c r="B454" s="10">
        <f>IF($A454="","",Ремонты!A66)</f>
        <v/>
      </c>
      <c r="C454" s="10">
        <f>IF($A454="","",Ремонты!D66)</f>
        <v/>
      </c>
      <c r="D454" s="10">
        <f>IF($A454="","",Ремонты!E66)</f>
        <v/>
      </c>
      <c r="E454" s="10">
        <f>IF($A454="","","Фактическое получение")</f>
        <v/>
      </c>
      <c r="F454" s="10">
        <f>IF($A454="","",Ремонты!T66)</f>
        <v/>
      </c>
      <c r="G454" s="10">
        <f>IF($A454="","","Автозапись из листа Ремонты")</f>
        <v/>
      </c>
    </row>
    <row r="455">
      <c r="A455" s="12">
        <f>IF(Ремонты!P66="","",Ремонты!P66)</f>
        <v/>
      </c>
      <c r="B455" s="10">
        <f>IF($A455="","",Ремонты!A66)</f>
        <v/>
      </c>
      <c r="C455" s="10">
        <f>IF($A455="","",Ремонты!D66)</f>
        <v/>
      </c>
      <c r="D455" s="10">
        <f>IF($A455="","",Ремонты!E66)</f>
        <v/>
      </c>
      <c r="E455" s="10">
        <f>IF($A455="","","Входной контроль")</f>
        <v/>
      </c>
      <c r="F455" s="10">
        <f>IF($A455="","",Ремонты!T66)</f>
        <v/>
      </c>
      <c r="G455" s="10">
        <f>IF($A455="","","Автозапись из листа Ремонты")</f>
        <v/>
      </c>
    </row>
    <row r="456">
      <c r="A456" s="12">
        <f>IF(Ремонты!S66="","",Ремонты!S66)</f>
        <v/>
      </c>
      <c r="B456" s="10">
        <f>IF($A456="","",Ремонты!A66)</f>
        <v/>
      </c>
      <c r="C456" s="10">
        <f>IF($A456="","",Ремонты!D66)</f>
        <v/>
      </c>
      <c r="D456" s="10">
        <f>IF($A456="","",Ремонты!E66)</f>
        <v/>
      </c>
      <c r="E456" s="10">
        <f>IF($A456="","","Оплата")</f>
        <v/>
      </c>
      <c r="F456" s="10">
        <f>IF($A456="","",Ремонты!T66)</f>
        <v/>
      </c>
      <c r="G456" s="10">
        <f>IF($A456="","","Автозапись из листа Ремонты")</f>
        <v/>
      </c>
    </row>
    <row r="457">
      <c r="A457" s="12">
        <f>IF(Ремонты!G67="","",Ремонты!G67)</f>
        <v/>
      </c>
      <c r="B457" s="10">
        <f>IF($A457="","",Ремонты!A67)</f>
        <v/>
      </c>
      <c r="C457" s="10">
        <f>IF($A457="","",Ремонты!D67)</f>
        <v/>
      </c>
      <c r="D457" s="10">
        <f>IF($A457="","",Ремонты!E67)</f>
        <v/>
      </c>
      <c r="E457" s="10">
        <f>IF($A457="","","Отправка в ремонт")</f>
        <v/>
      </c>
      <c r="F457" s="10">
        <f>IF($A457="","",Ремонты!T67)</f>
        <v/>
      </c>
      <c r="G457" s="10">
        <f>IF($A457="","","Автозапись из листа Ремонты")</f>
        <v/>
      </c>
    </row>
    <row r="458">
      <c r="A458" s="12">
        <f>IF(Ремонты!I67="","",Ремонты!I67)</f>
        <v/>
      </c>
      <c r="B458" s="10">
        <f>IF($A458="","",Ремонты!A67)</f>
        <v/>
      </c>
      <c r="C458" s="10">
        <f>IF($A458="","",Ремонты!D67)</f>
        <v/>
      </c>
      <c r="D458" s="10">
        <f>IF($A458="","",Ремонты!E67)</f>
        <v/>
      </c>
      <c r="E458" s="10">
        <f>IF($A458="","","Отправка из ремонта")</f>
        <v/>
      </c>
      <c r="F458" s="10">
        <f>IF($A458="","",Ремонты!T67)</f>
        <v/>
      </c>
      <c r="G458" s="10">
        <f>IF($A458="","","Автозапись из листа Ремонты")</f>
        <v/>
      </c>
    </row>
    <row r="459">
      <c r="A459" s="12">
        <f>IF(Ремонты!J67="","",Ремонты!J67)</f>
        <v/>
      </c>
      <c r="B459" s="10">
        <f>IF($A459="","",Ремонты!A67)</f>
        <v/>
      </c>
      <c r="C459" s="10">
        <f>IF($A459="","",Ремонты!D67)</f>
        <v/>
      </c>
      <c r="D459" s="10">
        <f>IF($A459="","",Ремонты!E67)</f>
        <v/>
      </c>
      <c r="E459" s="10">
        <f>IF($A459="","","Отправка из Иркутска")</f>
        <v/>
      </c>
      <c r="F459" s="10">
        <f>IF($A459="","",Ремонты!T67)</f>
        <v/>
      </c>
      <c r="G459" s="10">
        <f>IF($A459="","","Автозапись из листа Ремонты")</f>
        <v/>
      </c>
    </row>
    <row r="460">
      <c r="A460" s="12">
        <f>IF(Ремонты!K67="","",Ремонты!K67)</f>
        <v/>
      </c>
      <c r="B460" s="10">
        <f>IF($A460="","",Ремонты!A67)</f>
        <v/>
      </c>
      <c r="C460" s="10">
        <f>IF($A460="","",Ремонты!D67)</f>
        <v/>
      </c>
      <c r="D460" s="10">
        <f>IF($A460="","",Ремонты!E67)</f>
        <v/>
      </c>
      <c r="E460" s="10">
        <f>IF($A460="","","Прибытие в Ленск")</f>
        <v/>
      </c>
      <c r="F460" s="10">
        <f>IF($A460="","",Ремонты!T67)</f>
        <v/>
      </c>
      <c r="G460" s="10">
        <f>IF($A460="","","Автозапись из листа Ремонты")</f>
        <v/>
      </c>
    </row>
    <row r="461">
      <c r="A461" s="12">
        <f>IF(Ремонты!M67="","",Ремонты!M67)</f>
        <v/>
      </c>
      <c r="B461" s="10">
        <f>IF($A461="","",Ремонты!A67)</f>
        <v/>
      </c>
      <c r="C461" s="10">
        <f>IF($A461="","",Ремонты!D67)</f>
        <v/>
      </c>
      <c r="D461" s="10">
        <f>IF($A461="","",Ремонты!E67)</f>
        <v/>
      </c>
      <c r="E461" s="10">
        <f>IF($A461="","","Фактическое получение")</f>
        <v/>
      </c>
      <c r="F461" s="10">
        <f>IF($A461="","",Ремонты!T67)</f>
        <v/>
      </c>
      <c r="G461" s="10">
        <f>IF($A461="","","Автозапись из листа Ремонты")</f>
        <v/>
      </c>
    </row>
    <row r="462">
      <c r="A462" s="12">
        <f>IF(Ремонты!P67="","",Ремонты!P67)</f>
        <v/>
      </c>
      <c r="B462" s="10">
        <f>IF($A462="","",Ремонты!A67)</f>
        <v/>
      </c>
      <c r="C462" s="10">
        <f>IF($A462="","",Ремонты!D67)</f>
        <v/>
      </c>
      <c r="D462" s="10">
        <f>IF($A462="","",Ремонты!E67)</f>
        <v/>
      </c>
      <c r="E462" s="10">
        <f>IF($A462="","","Входной контроль")</f>
        <v/>
      </c>
      <c r="F462" s="10">
        <f>IF($A462="","",Ремонты!T67)</f>
        <v/>
      </c>
      <c r="G462" s="10">
        <f>IF($A462="","","Автозапись из листа Ремонты")</f>
        <v/>
      </c>
    </row>
    <row r="463">
      <c r="A463" s="12">
        <f>IF(Ремонты!S67="","",Ремонты!S67)</f>
        <v/>
      </c>
      <c r="B463" s="10">
        <f>IF($A463="","",Ремонты!A67)</f>
        <v/>
      </c>
      <c r="C463" s="10">
        <f>IF($A463="","",Ремонты!D67)</f>
        <v/>
      </c>
      <c r="D463" s="10">
        <f>IF($A463="","",Ремонты!E67)</f>
        <v/>
      </c>
      <c r="E463" s="10">
        <f>IF($A463="","","Оплата")</f>
        <v/>
      </c>
      <c r="F463" s="10">
        <f>IF($A463="","",Ремонты!T67)</f>
        <v/>
      </c>
      <c r="G463" s="10">
        <f>IF($A463="","","Автозапись из листа Ремонты")</f>
        <v/>
      </c>
    </row>
    <row r="464">
      <c r="A464" s="12">
        <f>IF(Ремонты!G68="","",Ремонты!G68)</f>
        <v/>
      </c>
      <c r="B464" s="10">
        <f>IF($A464="","",Ремонты!A68)</f>
        <v/>
      </c>
      <c r="C464" s="10">
        <f>IF($A464="","",Ремонты!D68)</f>
        <v/>
      </c>
      <c r="D464" s="10">
        <f>IF($A464="","",Ремонты!E68)</f>
        <v/>
      </c>
      <c r="E464" s="10">
        <f>IF($A464="","","Отправка в ремонт")</f>
        <v/>
      </c>
      <c r="F464" s="10">
        <f>IF($A464="","",Ремонты!T68)</f>
        <v/>
      </c>
      <c r="G464" s="10">
        <f>IF($A464="","","Автозапись из листа Ремонты")</f>
        <v/>
      </c>
    </row>
    <row r="465">
      <c r="A465" s="12">
        <f>IF(Ремонты!I68="","",Ремонты!I68)</f>
        <v/>
      </c>
      <c r="B465" s="10">
        <f>IF($A465="","",Ремонты!A68)</f>
        <v/>
      </c>
      <c r="C465" s="10">
        <f>IF($A465="","",Ремонты!D68)</f>
        <v/>
      </c>
      <c r="D465" s="10">
        <f>IF($A465="","",Ремонты!E68)</f>
        <v/>
      </c>
      <c r="E465" s="10">
        <f>IF($A465="","","Отправка из ремонта")</f>
        <v/>
      </c>
      <c r="F465" s="10">
        <f>IF($A465="","",Ремонты!T68)</f>
        <v/>
      </c>
      <c r="G465" s="10">
        <f>IF($A465="","","Автозапись из листа Ремонты")</f>
        <v/>
      </c>
    </row>
    <row r="466">
      <c r="A466" s="12">
        <f>IF(Ремонты!J68="","",Ремонты!J68)</f>
        <v/>
      </c>
      <c r="B466" s="10">
        <f>IF($A466="","",Ремонты!A68)</f>
        <v/>
      </c>
      <c r="C466" s="10">
        <f>IF($A466="","",Ремонты!D68)</f>
        <v/>
      </c>
      <c r="D466" s="10">
        <f>IF($A466="","",Ремонты!E68)</f>
        <v/>
      </c>
      <c r="E466" s="10">
        <f>IF($A466="","","Отправка из Иркутска")</f>
        <v/>
      </c>
      <c r="F466" s="10">
        <f>IF($A466="","",Ремонты!T68)</f>
        <v/>
      </c>
      <c r="G466" s="10">
        <f>IF($A466="","","Автозапись из листа Ремонты")</f>
        <v/>
      </c>
    </row>
    <row r="467">
      <c r="A467" s="12">
        <f>IF(Ремонты!K68="","",Ремонты!K68)</f>
        <v/>
      </c>
      <c r="B467" s="10">
        <f>IF($A467="","",Ремонты!A68)</f>
        <v/>
      </c>
      <c r="C467" s="10">
        <f>IF($A467="","",Ремонты!D68)</f>
        <v/>
      </c>
      <c r="D467" s="10">
        <f>IF($A467="","",Ремонты!E68)</f>
        <v/>
      </c>
      <c r="E467" s="10">
        <f>IF($A467="","","Прибытие в Ленск")</f>
        <v/>
      </c>
      <c r="F467" s="10">
        <f>IF($A467="","",Ремонты!T68)</f>
        <v/>
      </c>
      <c r="G467" s="10">
        <f>IF($A467="","","Автозапись из листа Ремонты")</f>
        <v/>
      </c>
    </row>
    <row r="468">
      <c r="A468" s="12">
        <f>IF(Ремонты!M68="","",Ремонты!M68)</f>
        <v/>
      </c>
      <c r="B468" s="10">
        <f>IF($A468="","",Ремонты!A68)</f>
        <v/>
      </c>
      <c r="C468" s="10">
        <f>IF($A468="","",Ремонты!D68)</f>
        <v/>
      </c>
      <c r="D468" s="10">
        <f>IF($A468="","",Ремонты!E68)</f>
        <v/>
      </c>
      <c r="E468" s="10">
        <f>IF($A468="","","Фактическое получение")</f>
        <v/>
      </c>
      <c r="F468" s="10">
        <f>IF($A468="","",Ремонты!T68)</f>
        <v/>
      </c>
      <c r="G468" s="10">
        <f>IF($A468="","","Автозапись из листа Ремонты")</f>
        <v/>
      </c>
    </row>
    <row r="469">
      <c r="A469" s="12">
        <f>IF(Ремонты!P68="","",Ремонты!P68)</f>
        <v/>
      </c>
      <c r="B469" s="10">
        <f>IF($A469="","",Ремонты!A68)</f>
        <v/>
      </c>
      <c r="C469" s="10">
        <f>IF($A469="","",Ремонты!D68)</f>
        <v/>
      </c>
      <c r="D469" s="10">
        <f>IF($A469="","",Ремонты!E68)</f>
        <v/>
      </c>
      <c r="E469" s="10">
        <f>IF($A469="","","Входной контроль")</f>
        <v/>
      </c>
      <c r="F469" s="10">
        <f>IF($A469="","",Ремонты!T68)</f>
        <v/>
      </c>
      <c r="G469" s="10">
        <f>IF($A469="","","Автозапись из листа Ремонты")</f>
        <v/>
      </c>
    </row>
    <row r="470">
      <c r="A470" s="12">
        <f>IF(Ремонты!S68="","",Ремонты!S68)</f>
        <v/>
      </c>
      <c r="B470" s="10">
        <f>IF($A470="","",Ремонты!A68)</f>
        <v/>
      </c>
      <c r="C470" s="10">
        <f>IF($A470="","",Ремонты!D68)</f>
        <v/>
      </c>
      <c r="D470" s="10">
        <f>IF($A470="","",Ремонты!E68)</f>
        <v/>
      </c>
      <c r="E470" s="10">
        <f>IF($A470="","","Оплата")</f>
        <v/>
      </c>
      <c r="F470" s="10">
        <f>IF($A470="","",Ремонты!T68)</f>
        <v/>
      </c>
      <c r="G470" s="10">
        <f>IF($A470="","","Автозапись из листа Ремонты")</f>
        <v/>
      </c>
    </row>
    <row r="471">
      <c r="A471" s="12">
        <f>IF(Ремонты!G69="","",Ремонты!G69)</f>
        <v/>
      </c>
      <c r="B471" s="10">
        <f>IF($A471="","",Ремонты!A69)</f>
        <v/>
      </c>
      <c r="C471" s="10">
        <f>IF($A471="","",Ремонты!D69)</f>
        <v/>
      </c>
      <c r="D471" s="10">
        <f>IF($A471="","",Ремонты!E69)</f>
        <v/>
      </c>
      <c r="E471" s="10">
        <f>IF($A471="","","Отправка в ремонт")</f>
        <v/>
      </c>
      <c r="F471" s="10">
        <f>IF($A471="","",Ремонты!T69)</f>
        <v/>
      </c>
      <c r="G471" s="10">
        <f>IF($A471="","","Автозапись из листа Ремонты")</f>
        <v/>
      </c>
    </row>
    <row r="472">
      <c r="A472" s="12">
        <f>IF(Ремонты!I69="","",Ремонты!I69)</f>
        <v/>
      </c>
      <c r="B472" s="10">
        <f>IF($A472="","",Ремонты!A69)</f>
        <v/>
      </c>
      <c r="C472" s="10">
        <f>IF($A472="","",Ремонты!D69)</f>
        <v/>
      </c>
      <c r="D472" s="10">
        <f>IF($A472="","",Ремонты!E69)</f>
        <v/>
      </c>
      <c r="E472" s="10">
        <f>IF($A472="","","Отправка из ремонта")</f>
        <v/>
      </c>
      <c r="F472" s="10">
        <f>IF($A472="","",Ремонты!T69)</f>
        <v/>
      </c>
      <c r="G472" s="10">
        <f>IF($A472="","","Автозапись из листа Ремонты")</f>
        <v/>
      </c>
    </row>
    <row r="473">
      <c r="A473" s="12">
        <f>IF(Ремонты!J69="","",Ремонты!J69)</f>
        <v/>
      </c>
      <c r="B473" s="10">
        <f>IF($A473="","",Ремонты!A69)</f>
        <v/>
      </c>
      <c r="C473" s="10">
        <f>IF($A473="","",Ремонты!D69)</f>
        <v/>
      </c>
      <c r="D473" s="10">
        <f>IF($A473="","",Ремонты!E69)</f>
        <v/>
      </c>
      <c r="E473" s="10">
        <f>IF($A473="","","Отправка из Иркутска")</f>
        <v/>
      </c>
      <c r="F473" s="10">
        <f>IF($A473="","",Ремонты!T69)</f>
        <v/>
      </c>
      <c r="G473" s="10">
        <f>IF($A473="","","Автозапись из листа Ремонты")</f>
        <v/>
      </c>
    </row>
    <row r="474">
      <c r="A474" s="12">
        <f>IF(Ремонты!K69="","",Ремонты!K69)</f>
        <v/>
      </c>
      <c r="B474" s="10">
        <f>IF($A474="","",Ремонты!A69)</f>
        <v/>
      </c>
      <c r="C474" s="10">
        <f>IF($A474="","",Ремонты!D69)</f>
        <v/>
      </c>
      <c r="D474" s="10">
        <f>IF($A474="","",Ремонты!E69)</f>
        <v/>
      </c>
      <c r="E474" s="10">
        <f>IF($A474="","","Прибытие в Ленск")</f>
        <v/>
      </c>
      <c r="F474" s="10">
        <f>IF($A474="","",Ремонты!T69)</f>
        <v/>
      </c>
      <c r="G474" s="10">
        <f>IF($A474="","","Автозапись из листа Ремонты")</f>
        <v/>
      </c>
    </row>
    <row r="475">
      <c r="A475" s="12">
        <f>IF(Ремонты!M69="","",Ремонты!M69)</f>
        <v/>
      </c>
      <c r="B475" s="10">
        <f>IF($A475="","",Ремонты!A69)</f>
        <v/>
      </c>
      <c r="C475" s="10">
        <f>IF($A475="","",Ремонты!D69)</f>
        <v/>
      </c>
      <c r="D475" s="10">
        <f>IF($A475="","",Ремонты!E69)</f>
        <v/>
      </c>
      <c r="E475" s="10">
        <f>IF($A475="","","Фактическое получение")</f>
        <v/>
      </c>
      <c r="F475" s="10">
        <f>IF($A475="","",Ремонты!T69)</f>
        <v/>
      </c>
      <c r="G475" s="10">
        <f>IF($A475="","","Автозапись из листа Ремонты")</f>
        <v/>
      </c>
    </row>
    <row r="476">
      <c r="A476" s="12">
        <f>IF(Ремонты!P69="","",Ремонты!P69)</f>
        <v/>
      </c>
      <c r="B476" s="10">
        <f>IF($A476="","",Ремонты!A69)</f>
        <v/>
      </c>
      <c r="C476" s="10">
        <f>IF($A476="","",Ремонты!D69)</f>
        <v/>
      </c>
      <c r="D476" s="10">
        <f>IF($A476="","",Ремонты!E69)</f>
        <v/>
      </c>
      <c r="E476" s="10">
        <f>IF($A476="","","Входной контроль")</f>
        <v/>
      </c>
      <c r="F476" s="10">
        <f>IF($A476="","",Ремонты!T69)</f>
        <v/>
      </c>
      <c r="G476" s="10">
        <f>IF($A476="","","Автозапись из листа Ремонты")</f>
        <v/>
      </c>
    </row>
    <row r="477">
      <c r="A477" s="12">
        <f>IF(Ремонты!S69="","",Ремонты!S69)</f>
        <v/>
      </c>
      <c r="B477" s="10">
        <f>IF($A477="","",Ремонты!A69)</f>
        <v/>
      </c>
      <c r="C477" s="10">
        <f>IF($A477="","",Ремонты!D69)</f>
        <v/>
      </c>
      <c r="D477" s="10">
        <f>IF($A477="","",Ремонты!E69)</f>
        <v/>
      </c>
      <c r="E477" s="10">
        <f>IF($A477="","","Оплата")</f>
        <v/>
      </c>
      <c r="F477" s="10">
        <f>IF($A477="","",Ремонты!T69)</f>
        <v/>
      </c>
      <c r="G477" s="10">
        <f>IF($A477="","","Автозапись из листа Ремонты")</f>
        <v/>
      </c>
    </row>
    <row r="478">
      <c r="A478" s="12">
        <f>IF(Ремонты!G70="","",Ремонты!G70)</f>
        <v/>
      </c>
      <c r="B478" s="10">
        <f>IF($A478="","",Ремонты!A70)</f>
        <v/>
      </c>
      <c r="C478" s="10">
        <f>IF($A478="","",Ремонты!D70)</f>
        <v/>
      </c>
      <c r="D478" s="10">
        <f>IF($A478="","",Ремонты!E70)</f>
        <v/>
      </c>
      <c r="E478" s="10">
        <f>IF($A478="","","Отправка в ремонт")</f>
        <v/>
      </c>
      <c r="F478" s="10">
        <f>IF($A478="","",Ремонты!T70)</f>
        <v/>
      </c>
      <c r="G478" s="10">
        <f>IF($A478="","","Автозапись из листа Ремонты")</f>
        <v/>
      </c>
    </row>
    <row r="479">
      <c r="A479" s="12">
        <f>IF(Ремонты!I70="","",Ремонты!I70)</f>
        <v/>
      </c>
      <c r="B479" s="10">
        <f>IF($A479="","",Ремонты!A70)</f>
        <v/>
      </c>
      <c r="C479" s="10">
        <f>IF($A479="","",Ремонты!D70)</f>
        <v/>
      </c>
      <c r="D479" s="10">
        <f>IF($A479="","",Ремонты!E70)</f>
        <v/>
      </c>
      <c r="E479" s="10">
        <f>IF($A479="","","Отправка из ремонта")</f>
        <v/>
      </c>
      <c r="F479" s="10">
        <f>IF($A479="","",Ремонты!T70)</f>
        <v/>
      </c>
      <c r="G479" s="10">
        <f>IF($A479="","","Автозапись из листа Ремонты")</f>
        <v/>
      </c>
    </row>
    <row r="480">
      <c r="A480" s="12">
        <f>IF(Ремонты!J70="","",Ремонты!J70)</f>
        <v/>
      </c>
      <c r="B480" s="10">
        <f>IF($A480="","",Ремонты!A70)</f>
        <v/>
      </c>
      <c r="C480" s="10">
        <f>IF($A480="","",Ремонты!D70)</f>
        <v/>
      </c>
      <c r="D480" s="10">
        <f>IF($A480="","",Ремонты!E70)</f>
        <v/>
      </c>
      <c r="E480" s="10">
        <f>IF($A480="","","Отправка из Иркутска")</f>
        <v/>
      </c>
      <c r="F480" s="10">
        <f>IF($A480="","",Ремонты!T70)</f>
        <v/>
      </c>
      <c r="G480" s="10">
        <f>IF($A480="","","Автозапись из листа Ремонты")</f>
        <v/>
      </c>
    </row>
    <row r="481">
      <c r="A481" s="12">
        <f>IF(Ремонты!K70="","",Ремонты!K70)</f>
        <v/>
      </c>
      <c r="B481" s="10">
        <f>IF($A481="","",Ремонты!A70)</f>
        <v/>
      </c>
      <c r="C481" s="10">
        <f>IF($A481="","",Ремонты!D70)</f>
        <v/>
      </c>
      <c r="D481" s="10">
        <f>IF($A481="","",Ремонты!E70)</f>
        <v/>
      </c>
      <c r="E481" s="10">
        <f>IF($A481="","","Прибытие в Ленск")</f>
        <v/>
      </c>
      <c r="F481" s="10">
        <f>IF($A481="","",Ремонты!T70)</f>
        <v/>
      </c>
      <c r="G481" s="10">
        <f>IF($A481="","","Автозапись из листа Ремонты")</f>
        <v/>
      </c>
    </row>
    <row r="482">
      <c r="A482" s="12">
        <f>IF(Ремонты!M70="","",Ремонты!M70)</f>
        <v/>
      </c>
      <c r="B482" s="10">
        <f>IF($A482="","",Ремонты!A70)</f>
        <v/>
      </c>
      <c r="C482" s="10">
        <f>IF($A482="","",Ремонты!D70)</f>
        <v/>
      </c>
      <c r="D482" s="10">
        <f>IF($A482="","",Ремонты!E70)</f>
        <v/>
      </c>
      <c r="E482" s="10">
        <f>IF($A482="","","Фактическое получение")</f>
        <v/>
      </c>
      <c r="F482" s="10">
        <f>IF($A482="","",Ремонты!T70)</f>
        <v/>
      </c>
      <c r="G482" s="10">
        <f>IF($A482="","","Автозапись из листа Ремонты")</f>
        <v/>
      </c>
    </row>
    <row r="483">
      <c r="A483" s="12">
        <f>IF(Ремонты!P70="","",Ремонты!P70)</f>
        <v/>
      </c>
      <c r="B483" s="10">
        <f>IF($A483="","",Ремонты!A70)</f>
        <v/>
      </c>
      <c r="C483" s="10">
        <f>IF($A483="","",Ремонты!D70)</f>
        <v/>
      </c>
      <c r="D483" s="10">
        <f>IF($A483="","",Ремонты!E70)</f>
        <v/>
      </c>
      <c r="E483" s="10">
        <f>IF($A483="","","Входной контроль")</f>
        <v/>
      </c>
      <c r="F483" s="10">
        <f>IF($A483="","",Ремонты!T70)</f>
        <v/>
      </c>
      <c r="G483" s="10">
        <f>IF($A483="","","Автозапись из листа Ремонты")</f>
        <v/>
      </c>
    </row>
    <row r="484">
      <c r="A484" s="12">
        <f>IF(Ремонты!S70="","",Ремонты!S70)</f>
        <v/>
      </c>
      <c r="B484" s="10">
        <f>IF($A484="","",Ремонты!A70)</f>
        <v/>
      </c>
      <c r="C484" s="10">
        <f>IF($A484="","",Ремонты!D70)</f>
        <v/>
      </c>
      <c r="D484" s="10">
        <f>IF($A484="","",Ремонты!E70)</f>
        <v/>
      </c>
      <c r="E484" s="10">
        <f>IF($A484="","","Оплата")</f>
        <v/>
      </c>
      <c r="F484" s="10">
        <f>IF($A484="","",Ремонты!T70)</f>
        <v/>
      </c>
      <c r="G484" s="10">
        <f>IF($A484="","","Автозапись из листа Ремонты")</f>
        <v/>
      </c>
    </row>
    <row r="485">
      <c r="A485" s="12">
        <f>IF(Ремонты!G71="","",Ремонты!G71)</f>
        <v/>
      </c>
      <c r="B485" s="10">
        <f>IF($A485="","",Ремонты!A71)</f>
        <v/>
      </c>
      <c r="C485" s="10">
        <f>IF($A485="","",Ремонты!D71)</f>
        <v/>
      </c>
      <c r="D485" s="10">
        <f>IF($A485="","",Ремонты!E71)</f>
        <v/>
      </c>
      <c r="E485" s="10">
        <f>IF($A485="","","Отправка в ремонт")</f>
        <v/>
      </c>
      <c r="F485" s="10">
        <f>IF($A485="","",Ремонты!T71)</f>
        <v/>
      </c>
      <c r="G485" s="10">
        <f>IF($A485="","","Автозапись из листа Ремонты")</f>
        <v/>
      </c>
    </row>
    <row r="486">
      <c r="A486" s="12">
        <f>IF(Ремонты!I71="","",Ремонты!I71)</f>
        <v/>
      </c>
      <c r="B486" s="10">
        <f>IF($A486="","",Ремонты!A71)</f>
        <v/>
      </c>
      <c r="C486" s="10">
        <f>IF($A486="","",Ремонты!D71)</f>
        <v/>
      </c>
      <c r="D486" s="10">
        <f>IF($A486="","",Ремонты!E71)</f>
        <v/>
      </c>
      <c r="E486" s="10">
        <f>IF($A486="","","Отправка из ремонта")</f>
        <v/>
      </c>
      <c r="F486" s="10">
        <f>IF($A486="","",Ремонты!T71)</f>
        <v/>
      </c>
      <c r="G486" s="10">
        <f>IF($A486="","","Автозапись из листа Ремонты")</f>
        <v/>
      </c>
    </row>
    <row r="487">
      <c r="A487" s="12">
        <f>IF(Ремонты!J71="","",Ремонты!J71)</f>
        <v/>
      </c>
      <c r="B487" s="10">
        <f>IF($A487="","",Ремонты!A71)</f>
        <v/>
      </c>
      <c r="C487" s="10">
        <f>IF($A487="","",Ремонты!D71)</f>
        <v/>
      </c>
      <c r="D487" s="10">
        <f>IF($A487="","",Ремонты!E71)</f>
        <v/>
      </c>
      <c r="E487" s="10">
        <f>IF($A487="","","Отправка из Иркутска")</f>
        <v/>
      </c>
      <c r="F487" s="10">
        <f>IF($A487="","",Ремонты!T71)</f>
        <v/>
      </c>
      <c r="G487" s="10">
        <f>IF($A487="","","Автозапись из листа Ремонты")</f>
        <v/>
      </c>
    </row>
    <row r="488">
      <c r="A488" s="12">
        <f>IF(Ремонты!K71="","",Ремонты!K71)</f>
        <v/>
      </c>
      <c r="B488" s="10">
        <f>IF($A488="","",Ремонты!A71)</f>
        <v/>
      </c>
      <c r="C488" s="10">
        <f>IF($A488="","",Ремонты!D71)</f>
        <v/>
      </c>
      <c r="D488" s="10">
        <f>IF($A488="","",Ремонты!E71)</f>
        <v/>
      </c>
      <c r="E488" s="10">
        <f>IF($A488="","","Прибытие в Ленск")</f>
        <v/>
      </c>
      <c r="F488" s="10">
        <f>IF($A488="","",Ремонты!T71)</f>
        <v/>
      </c>
      <c r="G488" s="10">
        <f>IF($A488="","","Автозапись из листа Ремонты")</f>
        <v/>
      </c>
    </row>
    <row r="489">
      <c r="A489" s="12">
        <f>IF(Ремонты!M71="","",Ремонты!M71)</f>
        <v/>
      </c>
      <c r="B489" s="10">
        <f>IF($A489="","",Ремонты!A71)</f>
        <v/>
      </c>
      <c r="C489" s="10">
        <f>IF($A489="","",Ремонты!D71)</f>
        <v/>
      </c>
      <c r="D489" s="10">
        <f>IF($A489="","",Ремонты!E71)</f>
        <v/>
      </c>
      <c r="E489" s="10">
        <f>IF($A489="","","Фактическое получение")</f>
        <v/>
      </c>
      <c r="F489" s="10">
        <f>IF($A489="","",Ремонты!T71)</f>
        <v/>
      </c>
      <c r="G489" s="10">
        <f>IF($A489="","","Автозапись из листа Ремонты")</f>
        <v/>
      </c>
    </row>
    <row r="490">
      <c r="A490" s="12">
        <f>IF(Ремонты!P71="","",Ремонты!P71)</f>
        <v/>
      </c>
      <c r="B490" s="10">
        <f>IF($A490="","",Ремонты!A71)</f>
        <v/>
      </c>
      <c r="C490" s="10">
        <f>IF($A490="","",Ремонты!D71)</f>
        <v/>
      </c>
      <c r="D490" s="10">
        <f>IF($A490="","",Ремонты!E71)</f>
        <v/>
      </c>
      <c r="E490" s="10">
        <f>IF($A490="","","Входной контроль")</f>
        <v/>
      </c>
      <c r="F490" s="10">
        <f>IF($A490="","",Ремонты!T71)</f>
        <v/>
      </c>
      <c r="G490" s="10">
        <f>IF($A490="","","Автозапись из листа Ремонты")</f>
        <v/>
      </c>
    </row>
    <row r="491">
      <c r="A491" s="12">
        <f>IF(Ремонты!S71="","",Ремонты!S71)</f>
        <v/>
      </c>
      <c r="B491" s="10">
        <f>IF($A491="","",Ремонты!A71)</f>
        <v/>
      </c>
      <c r="C491" s="10">
        <f>IF($A491="","",Ремонты!D71)</f>
        <v/>
      </c>
      <c r="D491" s="10">
        <f>IF($A491="","",Ремонты!E71)</f>
        <v/>
      </c>
      <c r="E491" s="10">
        <f>IF($A491="","","Оплата")</f>
        <v/>
      </c>
      <c r="F491" s="10">
        <f>IF($A491="","",Ремонты!T71)</f>
        <v/>
      </c>
      <c r="G491" s="10">
        <f>IF($A491="","","Автозапись из листа Ремонты")</f>
        <v/>
      </c>
    </row>
    <row r="492">
      <c r="A492" s="12">
        <f>IF(Ремонты!G72="","",Ремонты!G72)</f>
        <v/>
      </c>
      <c r="B492" s="10">
        <f>IF($A492="","",Ремонты!A72)</f>
        <v/>
      </c>
      <c r="C492" s="10">
        <f>IF($A492="","",Ремонты!D72)</f>
        <v/>
      </c>
      <c r="D492" s="10">
        <f>IF($A492="","",Ремонты!E72)</f>
        <v/>
      </c>
      <c r="E492" s="10">
        <f>IF($A492="","","Отправка в ремонт")</f>
        <v/>
      </c>
      <c r="F492" s="10">
        <f>IF($A492="","",Ремонты!T72)</f>
        <v/>
      </c>
      <c r="G492" s="10">
        <f>IF($A492="","","Автозапись из листа Ремонты")</f>
        <v/>
      </c>
    </row>
    <row r="493">
      <c r="A493" s="12">
        <f>IF(Ремонты!I72="","",Ремонты!I72)</f>
        <v/>
      </c>
      <c r="B493" s="10">
        <f>IF($A493="","",Ремонты!A72)</f>
        <v/>
      </c>
      <c r="C493" s="10">
        <f>IF($A493="","",Ремонты!D72)</f>
        <v/>
      </c>
      <c r="D493" s="10">
        <f>IF($A493="","",Ремонты!E72)</f>
        <v/>
      </c>
      <c r="E493" s="10">
        <f>IF($A493="","","Отправка из ремонта")</f>
        <v/>
      </c>
      <c r="F493" s="10">
        <f>IF($A493="","",Ремонты!T72)</f>
        <v/>
      </c>
      <c r="G493" s="10">
        <f>IF($A493="","","Автозапись из листа Ремонты")</f>
        <v/>
      </c>
    </row>
    <row r="494">
      <c r="A494" s="12">
        <f>IF(Ремонты!J72="","",Ремонты!J72)</f>
        <v/>
      </c>
      <c r="B494" s="10">
        <f>IF($A494="","",Ремонты!A72)</f>
        <v/>
      </c>
      <c r="C494" s="10">
        <f>IF($A494="","",Ремонты!D72)</f>
        <v/>
      </c>
      <c r="D494" s="10">
        <f>IF($A494="","",Ремонты!E72)</f>
        <v/>
      </c>
      <c r="E494" s="10">
        <f>IF($A494="","","Отправка из Иркутска")</f>
        <v/>
      </c>
      <c r="F494" s="10">
        <f>IF($A494="","",Ремонты!T72)</f>
        <v/>
      </c>
      <c r="G494" s="10">
        <f>IF($A494="","","Автозапись из листа Ремонты")</f>
        <v/>
      </c>
    </row>
    <row r="495">
      <c r="A495" s="12">
        <f>IF(Ремонты!K72="","",Ремонты!K72)</f>
        <v/>
      </c>
      <c r="B495" s="10">
        <f>IF($A495="","",Ремонты!A72)</f>
        <v/>
      </c>
      <c r="C495" s="10">
        <f>IF($A495="","",Ремонты!D72)</f>
        <v/>
      </c>
      <c r="D495" s="10">
        <f>IF($A495="","",Ремонты!E72)</f>
        <v/>
      </c>
      <c r="E495" s="10">
        <f>IF($A495="","","Прибытие в Ленск")</f>
        <v/>
      </c>
      <c r="F495" s="10">
        <f>IF($A495="","",Ремонты!T72)</f>
        <v/>
      </c>
      <c r="G495" s="10">
        <f>IF($A495="","","Автозапись из листа Ремонты")</f>
        <v/>
      </c>
    </row>
    <row r="496">
      <c r="A496" s="12">
        <f>IF(Ремонты!M72="","",Ремонты!M72)</f>
        <v/>
      </c>
      <c r="B496" s="10">
        <f>IF($A496="","",Ремонты!A72)</f>
        <v/>
      </c>
      <c r="C496" s="10">
        <f>IF($A496="","",Ремонты!D72)</f>
        <v/>
      </c>
      <c r="D496" s="10">
        <f>IF($A496="","",Ремонты!E72)</f>
        <v/>
      </c>
      <c r="E496" s="10">
        <f>IF($A496="","","Фактическое получение")</f>
        <v/>
      </c>
      <c r="F496" s="10">
        <f>IF($A496="","",Ремонты!T72)</f>
        <v/>
      </c>
      <c r="G496" s="10">
        <f>IF($A496="","","Автозапись из листа Ремонты")</f>
        <v/>
      </c>
    </row>
    <row r="497">
      <c r="A497" s="12">
        <f>IF(Ремонты!P72="","",Ремонты!P72)</f>
        <v/>
      </c>
      <c r="B497" s="10">
        <f>IF($A497="","",Ремонты!A72)</f>
        <v/>
      </c>
      <c r="C497" s="10">
        <f>IF($A497="","",Ремонты!D72)</f>
        <v/>
      </c>
      <c r="D497" s="10">
        <f>IF($A497="","",Ремонты!E72)</f>
        <v/>
      </c>
      <c r="E497" s="10">
        <f>IF($A497="","","Входной контроль")</f>
        <v/>
      </c>
      <c r="F497" s="10">
        <f>IF($A497="","",Ремонты!T72)</f>
        <v/>
      </c>
      <c r="G497" s="10">
        <f>IF($A497="","","Автозапись из листа Ремонты")</f>
        <v/>
      </c>
    </row>
    <row r="498">
      <c r="A498" s="12">
        <f>IF(Ремонты!S72="","",Ремонты!S72)</f>
        <v/>
      </c>
      <c r="B498" s="10">
        <f>IF($A498="","",Ремонты!A72)</f>
        <v/>
      </c>
      <c r="C498" s="10">
        <f>IF($A498="","",Ремонты!D72)</f>
        <v/>
      </c>
      <c r="D498" s="10">
        <f>IF($A498="","",Ремонты!E72)</f>
        <v/>
      </c>
      <c r="E498" s="10">
        <f>IF($A498="","","Оплата")</f>
        <v/>
      </c>
      <c r="F498" s="10">
        <f>IF($A498="","",Ремонты!T72)</f>
        <v/>
      </c>
      <c r="G498" s="10">
        <f>IF($A498="","","Автозапись из листа Ремонты")</f>
        <v/>
      </c>
    </row>
    <row r="499">
      <c r="A499" s="12">
        <f>IF(Ремонты!G73="","",Ремонты!G73)</f>
        <v/>
      </c>
      <c r="B499" s="10">
        <f>IF($A499="","",Ремонты!A73)</f>
        <v/>
      </c>
      <c r="C499" s="10">
        <f>IF($A499="","",Ремонты!D73)</f>
        <v/>
      </c>
      <c r="D499" s="10">
        <f>IF($A499="","",Ремонты!E73)</f>
        <v/>
      </c>
      <c r="E499" s="10">
        <f>IF($A499="","","Отправка в ремонт")</f>
        <v/>
      </c>
      <c r="F499" s="10">
        <f>IF($A499="","",Ремонты!T73)</f>
        <v/>
      </c>
      <c r="G499" s="10">
        <f>IF($A499="","","Автозапись из листа Ремонты")</f>
        <v/>
      </c>
    </row>
    <row r="500">
      <c r="A500" s="12">
        <f>IF(Ремонты!I73="","",Ремонты!I73)</f>
        <v/>
      </c>
      <c r="B500" s="10">
        <f>IF($A500="","",Ремонты!A73)</f>
        <v/>
      </c>
      <c r="C500" s="10">
        <f>IF($A500="","",Ремонты!D73)</f>
        <v/>
      </c>
      <c r="D500" s="10">
        <f>IF($A500="","",Ремонты!E73)</f>
        <v/>
      </c>
      <c r="E500" s="10">
        <f>IF($A500="","","Отправка из ремонта")</f>
        <v/>
      </c>
      <c r="F500" s="10">
        <f>IF($A500="","",Ремонты!T73)</f>
        <v/>
      </c>
      <c r="G500" s="10">
        <f>IF($A500="","","Автозапись из листа Ремонты")</f>
        <v/>
      </c>
    </row>
    <row r="501">
      <c r="A501" s="12">
        <f>IF(Ремонты!J73="","",Ремонты!J73)</f>
        <v/>
      </c>
      <c r="B501" s="10">
        <f>IF($A501="","",Ремонты!A73)</f>
        <v/>
      </c>
      <c r="C501" s="10">
        <f>IF($A501="","",Ремонты!D73)</f>
        <v/>
      </c>
      <c r="D501" s="10">
        <f>IF($A501="","",Ремонты!E73)</f>
        <v/>
      </c>
      <c r="E501" s="10">
        <f>IF($A501="","","Отправка из Иркутска")</f>
        <v/>
      </c>
      <c r="F501" s="10">
        <f>IF($A501="","",Ремонты!T73)</f>
        <v/>
      </c>
      <c r="G501" s="10">
        <f>IF($A501="","","Автозапись из листа Ремонты")</f>
        <v/>
      </c>
    </row>
    <row r="502">
      <c r="A502" s="12">
        <f>IF(Ремонты!K73="","",Ремонты!K73)</f>
        <v/>
      </c>
      <c r="B502" s="10">
        <f>IF($A502="","",Ремонты!A73)</f>
        <v/>
      </c>
      <c r="C502" s="10">
        <f>IF($A502="","",Ремонты!D73)</f>
        <v/>
      </c>
      <c r="D502" s="10">
        <f>IF($A502="","",Ремонты!E73)</f>
        <v/>
      </c>
      <c r="E502" s="10">
        <f>IF($A502="","","Прибытие в Ленск")</f>
        <v/>
      </c>
      <c r="F502" s="10">
        <f>IF($A502="","",Ремонты!T73)</f>
        <v/>
      </c>
      <c r="G502" s="10">
        <f>IF($A502="","","Автозапись из листа Ремонты")</f>
        <v/>
      </c>
    </row>
    <row r="503">
      <c r="A503" s="12">
        <f>IF(Ремонты!M73="","",Ремонты!M73)</f>
        <v/>
      </c>
      <c r="B503" s="10">
        <f>IF($A503="","",Ремонты!A73)</f>
        <v/>
      </c>
      <c r="C503" s="10">
        <f>IF($A503="","",Ремонты!D73)</f>
        <v/>
      </c>
      <c r="D503" s="10">
        <f>IF($A503="","",Ремонты!E73)</f>
        <v/>
      </c>
      <c r="E503" s="10">
        <f>IF($A503="","","Фактическое получение")</f>
        <v/>
      </c>
      <c r="F503" s="10">
        <f>IF($A503="","",Ремонты!T73)</f>
        <v/>
      </c>
      <c r="G503" s="10">
        <f>IF($A503="","","Автозапись из листа Ремонты")</f>
        <v/>
      </c>
    </row>
    <row r="504">
      <c r="A504" s="12">
        <f>IF(Ремонты!P73="","",Ремонты!P73)</f>
        <v/>
      </c>
      <c r="B504" s="10">
        <f>IF($A504="","",Ремонты!A73)</f>
        <v/>
      </c>
      <c r="C504" s="10">
        <f>IF($A504="","",Ремонты!D73)</f>
        <v/>
      </c>
      <c r="D504" s="10">
        <f>IF($A504="","",Ремонты!E73)</f>
        <v/>
      </c>
      <c r="E504" s="10">
        <f>IF($A504="","","Входной контроль")</f>
        <v/>
      </c>
      <c r="F504" s="10">
        <f>IF($A504="","",Ремонты!T73)</f>
        <v/>
      </c>
      <c r="G504" s="10">
        <f>IF($A504="","","Автозапись из листа Ремонты")</f>
        <v/>
      </c>
    </row>
    <row r="505">
      <c r="A505" s="12">
        <f>IF(Ремонты!S73="","",Ремонты!S73)</f>
        <v/>
      </c>
      <c r="B505" s="10">
        <f>IF($A505="","",Ремонты!A73)</f>
        <v/>
      </c>
      <c r="C505" s="10">
        <f>IF($A505="","",Ремонты!D73)</f>
        <v/>
      </c>
      <c r="D505" s="10">
        <f>IF($A505="","",Ремонты!E73)</f>
        <v/>
      </c>
      <c r="E505" s="10">
        <f>IF($A505="","","Оплата")</f>
        <v/>
      </c>
      <c r="F505" s="10">
        <f>IF($A505="","",Ремонты!T73)</f>
        <v/>
      </c>
      <c r="G505" s="10">
        <f>IF($A505="","","Автозапись из листа Ремонты")</f>
        <v/>
      </c>
    </row>
    <row r="506">
      <c r="A506" s="12">
        <f>IF(Ремонты!G74="","",Ремонты!G74)</f>
        <v/>
      </c>
      <c r="B506" s="10">
        <f>IF($A506="","",Ремонты!A74)</f>
        <v/>
      </c>
      <c r="C506" s="10">
        <f>IF($A506="","",Ремонты!D74)</f>
        <v/>
      </c>
      <c r="D506" s="10">
        <f>IF($A506="","",Ремонты!E74)</f>
        <v/>
      </c>
      <c r="E506" s="10">
        <f>IF($A506="","","Отправка в ремонт")</f>
        <v/>
      </c>
      <c r="F506" s="10">
        <f>IF($A506="","",Ремонты!T74)</f>
        <v/>
      </c>
      <c r="G506" s="10">
        <f>IF($A506="","","Автозапись из листа Ремонты")</f>
        <v/>
      </c>
    </row>
    <row r="507">
      <c r="A507" s="12">
        <f>IF(Ремонты!I74="","",Ремонты!I74)</f>
        <v/>
      </c>
      <c r="B507" s="10">
        <f>IF($A507="","",Ремонты!A74)</f>
        <v/>
      </c>
      <c r="C507" s="10">
        <f>IF($A507="","",Ремонты!D74)</f>
        <v/>
      </c>
      <c r="D507" s="10">
        <f>IF($A507="","",Ремонты!E74)</f>
        <v/>
      </c>
      <c r="E507" s="10">
        <f>IF($A507="","","Отправка из ремонта")</f>
        <v/>
      </c>
      <c r="F507" s="10">
        <f>IF($A507="","",Ремонты!T74)</f>
        <v/>
      </c>
      <c r="G507" s="10">
        <f>IF($A507="","","Автозапись из листа Ремонты")</f>
        <v/>
      </c>
    </row>
    <row r="508">
      <c r="A508" s="12">
        <f>IF(Ремонты!J74="","",Ремонты!J74)</f>
        <v/>
      </c>
      <c r="B508" s="10">
        <f>IF($A508="","",Ремонты!A74)</f>
        <v/>
      </c>
      <c r="C508" s="10">
        <f>IF($A508="","",Ремонты!D74)</f>
        <v/>
      </c>
      <c r="D508" s="10">
        <f>IF($A508="","",Ремонты!E74)</f>
        <v/>
      </c>
      <c r="E508" s="10">
        <f>IF($A508="","","Отправка из Иркутска")</f>
        <v/>
      </c>
      <c r="F508" s="10">
        <f>IF($A508="","",Ремонты!T74)</f>
        <v/>
      </c>
      <c r="G508" s="10">
        <f>IF($A508="","","Автозапись из листа Ремонты")</f>
        <v/>
      </c>
    </row>
    <row r="509">
      <c r="A509" s="12">
        <f>IF(Ремонты!K74="","",Ремонты!K74)</f>
        <v/>
      </c>
      <c r="B509" s="10">
        <f>IF($A509="","",Ремонты!A74)</f>
        <v/>
      </c>
      <c r="C509" s="10">
        <f>IF($A509="","",Ремонты!D74)</f>
        <v/>
      </c>
      <c r="D509" s="10">
        <f>IF($A509="","",Ремонты!E74)</f>
        <v/>
      </c>
      <c r="E509" s="10">
        <f>IF($A509="","","Прибытие в Ленск")</f>
        <v/>
      </c>
      <c r="F509" s="10">
        <f>IF($A509="","",Ремонты!T74)</f>
        <v/>
      </c>
      <c r="G509" s="10">
        <f>IF($A509="","","Автозапись из листа Ремонты")</f>
        <v/>
      </c>
    </row>
    <row r="510">
      <c r="A510" s="12">
        <f>IF(Ремонты!M74="","",Ремонты!M74)</f>
        <v/>
      </c>
      <c r="B510" s="10">
        <f>IF($A510="","",Ремонты!A74)</f>
        <v/>
      </c>
      <c r="C510" s="10">
        <f>IF($A510="","",Ремонты!D74)</f>
        <v/>
      </c>
      <c r="D510" s="10">
        <f>IF($A510="","",Ремонты!E74)</f>
        <v/>
      </c>
      <c r="E510" s="10">
        <f>IF($A510="","","Фактическое получение")</f>
        <v/>
      </c>
      <c r="F510" s="10">
        <f>IF($A510="","",Ремонты!T74)</f>
        <v/>
      </c>
      <c r="G510" s="10">
        <f>IF($A510="","","Автозапись из листа Ремонты")</f>
        <v/>
      </c>
    </row>
    <row r="511">
      <c r="A511" s="12">
        <f>IF(Ремонты!P74="","",Ремонты!P74)</f>
        <v/>
      </c>
      <c r="B511" s="10">
        <f>IF($A511="","",Ремонты!A74)</f>
        <v/>
      </c>
      <c r="C511" s="10">
        <f>IF($A511="","",Ремонты!D74)</f>
        <v/>
      </c>
      <c r="D511" s="10">
        <f>IF($A511="","",Ремонты!E74)</f>
        <v/>
      </c>
      <c r="E511" s="10">
        <f>IF($A511="","","Входной контроль")</f>
        <v/>
      </c>
      <c r="F511" s="10">
        <f>IF($A511="","",Ремонты!T74)</f>
        <v/>
      </c>
      <c r="G511" s="10">
        <f>IF($A511="","","Автозапись из листа Ремонты")</f>
        <v/>
      </c>
    </row>
    <row r="512">
      <c r="A512" s="12">
        <f>IF(Ремонты!S74="","",Ремонты!S74)</f>
        <v/>
      </c>
      <c r="B512" s="10">
        <f>IF($A512="","",Ремонты!A74)</f>
        <v/>
      </c>
      <c r="C512" s="10">
        <f>IF($A512="","",Ремонты!D74)</f>
        <v/>
      </c>
      <c r="D512" s="10">
        <f>IF($A512="","",Ремонты!E74)</f>
        <v/>
      </c>
      <c r="E512" s="10">
        <f>IF($A512="","","Оплата")</f>
        <v/>
      </c>
      <c r="F512" s="10">
        <f>IF($A512="","",Ремонты!T74)</f>
        <v/>
      </c>
      <c r="G512" s="10">
        <f>IF($A512="","","Автозапись из листа Ремонты")</f>
        <v/>
      </c>
    </row>
    <row r="513">
      <c r="A513" s="12">
        <f>IF(Ремонты!G75="","",Ремонты!G75)</f>
        <v/>
      </c>
      <c r="B513" s="10">
        <f>IF($A513="","",Ремонты!A75)</f>
        <v/>
      </c>
      <c r="C513" s="10">
        <f>IF($A513="","",Ремонты!D75)</f>
        <v/>
      </c>
      <c r="D513" s="10">
        <f>IF($A513="","",Ремонты!E75)</f>
        <v/>
      </c>
      <c r="E513" s="10">
        <f>IF($A513="","","Отправка в ремонт")</f>
        <v/>
      </c>
      <c r="F513" s="10">
        <f>IF($A513="","",Ремонты!T75)</f>
        <v/>
      </c>
      <c r="G513" s="10">
        <f>IF($A513="","","Автозапись из листа Ремонты")</f>
        <v/>
      </c>
    </row>
    <row r="514">
      <c r="A514" s="12">
        <f>IF(Ремонты!I75="","",Ремонты!I75)</f>
        <v/>
      </c>
      <c r="B514" s="10">
        <f>IF($A514="","",Ремонты!A75)</f>
        <v/>
      </c>
      <c r="C514" s="10">
        <f>IF($A514="","",Ремонты!D75)</f>
        <v/>
      </c>
      <c r="D514" s="10">
        <f>IF($A514="","",Ремонты!E75)</f>
        <v/>
      </c>
      <c r="E514" s="10">
        <f>IF($A514="","","Отправка из ремонта")</f>
        <v/>
      </c>
      <c r="F514" s="10">
        <f>IF($A514="","",Ремонты!T75)</f>
        <v/>
      </c>
      <c r="G514" s="10">
        <f>IF($A514="","","Автозапись из листа Ремонты")</f>
        <v/>
      </c>
    </row>
    <row r="515">
      <c r="A515" s="12">
        <f>IF(Ремонты!J75="","",Ремонты!J75)</f>
        <v/>
      </c>
      <c r="B515" s="10">
        <f>IF($A515="","",Ремонты!A75)</f>
        <v/>
      </c>
      <c r="C515" s="10">
        <f>IF($A515="","",Ремонты!D75)</f>
        <v/>
      </c>
      <c r="D515" s="10">
        <f>IF($A515="","",Ремонты!E75)</f>
        <v/>
      </c>
      <c r="E515" s="10">
        <f>IF($A515="","","Отправка из Иркутска")</f>
        <v/>
      </c>
      <c r="F515" s="10">
        <f>IF($A515="","",Ремонты!T75)</f>
        <v/>
      </c>
      <c r="G515" s="10">
        <f>IF($A515="","","Автозапись из листа Ремонты")</f>
        <v/>
      </c>
    </row>
    <row r="516">
      <c r="A516" s="12">
        <f>IF(Ремонты!K75="","",Ремонты!K75)</f>
        <v/>
      </c>
      <c r="B516" s="10">
        <f>IF($A516="","",Ремонты!A75)</f>
        <v/>
      </c>
      <c r="C516" s="10">
        <f>IF($A516="","",Ремонты!D75)</f>
        <v/>
      </c>
      <c r="D516" s="10">
        <f>IF($A516="","",Ремонты!E75)</f>
        <v/>
      </c>
      <c r="E516" s="10">
        <f>IF($A516="","","Прибытие в Ленск")</f>
        <v/>
      </c>
      <c r="F516" s="10">
        <f>IF($A516="","",Ремонты!T75)</f>
        <v/>
      </c>
      <c r="G516" s="10">
        <f>IF($A516="","","Автозапись из листа Ремонты")</f>
        <v/>
      </c>
    </row>
    <row r="517">
      <c r="A517" s="12">
        <f>IF(Ремонты!M75="","",Ремонты!M75)</f>
        <v/>
      </c>
      <c r="B517" s="10">
        <f>IF($A517="","",Ремонты!A75)</f>
        <v/>
      </c>
      <c r="C517" s="10">
        <f>IF($A517="","",Ремонты!D75)</f>
        <v/>
      </c>
      <c r="D517" s="10">
        <f>IF($A517="","",Ремонты!E75)</f>
        <v/>
      </c>
      <c r="E517" s="10">
        <f>IF($A517="","","Фактическое получение")</f>
        <v/>
      </c>
      <c r="F517" s="10">
        <f>IF($A517="","",Ремонты!T75)</f>
        <v/>
      </c>
      <c r="G517" s="10">
        <f>IF($A517="","","Автозапись из листа Ремонты")</f>
        <v/>
      </c>
    </row>
    <row r="518">
      <c r="A518" s="12">
        <f>IF(Ремонты!P75="","",Ремонты!P75)</f>
        <v/>
      </c>
      <c r="B518" s="10">
        <f>IF($A518="","",Ремонты!A75)</f>
        <v/>
      </c>
      <c r="C518" s="10">
        <f>IF($A518="","",Ремонты!D75)</f>
        <v/>
      </c>
      <c r="D518" s="10">
        <f>IF($A518="","",Ремонты!E75)</f>
        <v/>
      </c>
      <c r="E518" s="10">
        <f>IF($A518="","","Входной контроль")</f>
        <v/>
      </c>
      <c r="F518" s="10">
        <f>IF($A518="","",Ремонты!T75)</f>
        <v/>
      </c>
      <c r="G518" s="10">
        <f>IF($A518="","","Автозапись из листа Ремонты")</f>
        <v/>
      </c>
    </row>
    <row r="519">
      <c r="A519" s="12">
        <f>IF(Ремонты!S75="","",Ремонты!S75)</f>
        <v/>
      </c>
      <c r="B519" s="10">
        <f>IF($A519="","",Ремонты!A75)</f>
        <v/>
      </c>
      <c r="C519" s="10">
        <f>IF($A519="","",Ремонты!D75)</f>
        <v/>
      </c>
      <c r="D519" s="10">
        <f>IF($A519="","",Ремонты!E75)</f>
        <v/>
      </c>
      <c r="E519" s="10">
        <f>IF($A519="","","Оплата")</f>
        <v/>
      </c>
      <c r="F519" s="10">
        <f>IF($A519="","",Ремонты!T75)</f>
        <v/>
      </c>
      <c r="G519" s="10">
        <f>IF($A519="","","Автозапись из листа Ремонты")</f>
        <v/>
      </c>
    </row>
    <row r="520">
      <c r="A520" s="12">
        <f>IF(Ремонты!G76="","",Ремонты!G76)</f>
        <v/>
      </c>
      <c r="B520" s="10">
        <f>IF($A520="","",Ремонты!A76)</f>
        <v/>
      </c>
      <c r="C520" s="10">
        <f>IF($A520="","",Ремонты!D76)</f>
        <v/>
      </c>
      <c r="D520" s="10">
        <f>IF($A520="","",Ремонты!E76)</f>
        <v/>
      </c>
      <c r="E520" s="10">
        <f>IF($A520="","","Отправка в ремонт")</f>
        <v/>
      </c>
      <c r="F520" s="10">
        <f>IF($A520="","",Ремонты!T76)</f>
        <v/>
      </c>
      <c r="G520" s="10">
        <f>IF($A520="","","Автозапись из листа Ремонты")</f>
        <v/>
      </c>
    </row>
    <row r="521">
      <c r="A521" s="12">
        <f>IF(Ремонты!I76="","",Ремонты!I76)</f>
        <v/>
      </c>
      <c r="B521" s="10">
        <f>IF($A521="","",Ремонты!A76)</f>
        <v/>
      </c>
      <c r="C521" s="10">
        <f>IF($A521="","",Ремонты!D76)</f>
        <v/>
      </c>
      <c r="D521" s="10">
        <f>IF($A521="","",Ремонты!E76)</f>
        <v/>
      </c>
      <c r="E521" s="10">
        <f>IF($A521="","","Отправка из ремонта")</f>
        <v/>
      </c>
      <c r="F521" s="10">
        <f>IF($A521="","",Ремонты!T76)</f>
        <v/>
      </c>
      <c r="G521" s="10">
        <f>IF($A521="","","Автозапись из листа Ремонты")</f>
        <v/>
      </c>
    </row>
    <row r="522">
      <c r="A522" s="12">
        <f>IF(Ремонты!J76="","",Ремонты!J76)</f>
        <v/>
      </c>
      <c r="B522" s="10">
        <f>IF($A522="","",Ремонты!A76)</f>
        <v/>
      </c>
      <c r="C522" s="10">
        <f>IF($A522="","",Ремонты!D76)</f>
        <v/>
      </c>
      <c r="D522" s="10">
        <f>IF($A522="","",Ремонты!E76)</f>
        <v/>
      </c>
      <c r="E522" s="10">
        <f>IF($A522="","","Отправка из Иркутска")</f>
        <v/>
      </c>
      <c r="F522" s="10">
        <f>IF($A522="","",Ремонты!T76)</f>
        <v/>
      </c>
      <c r="G522" s="10">
        <f>IF($A522="","","Автозапись из листа Ремонты")</f>
        <v/>
      </c>
    </row>
    <row r="523">
      <c r="A523" s="12">
        <f>IF(Ремонты!K76="","",Ремонты!K76)</f>
        <v/>
      </c>
      <c r="B523" s="10">
        <f>IF($A523="","",Ремонты!A76)</f>
        <v/>
      </c>
      <c r="C523" s="10">
        <f>IF($A523="","",Ремонты!D76)</f>
        <v/>
      </c>
      <c r="D523" s="10">
        <f>IF($A523="","",Ремонты!E76)</f>
        <v/>
      </c>
      <c r="E523" s="10">
        <f>IF($A523="","","Прибытие в Ленск")</f>
        <v/>
      </c>
      <c r="F523" s="10">
        <f>IF($A523="","",Ремонты!T76)</f>
        <v/>
      </c>
      <c r="G523" s="10">
        <f>IF($A523="","","Автозапись из листа Ремонты")</f>
        <v/>
      </c>
    </row>
    <row r="524">
      <c r="A524" s="12">
        <f>IF(Ремонты!M76="","",Ремонты!M76)</f>
        <v/>
      </c>
      <c r="B524" s="10">
        <f>IF($A524="","",Ремонты!A76)</f>
        <v/>
      </c>
      <c r="C524" s="10">
        <f>IF($A524="","",Ремонты!D76)</f>
        <v/>
      </c>
      <c r="D524" s="10">
        <f>IF($A524="","",Ремонты!E76)</f>
        <v/>
      </c>
      <c r="E524" s="10">
        <f>IF($A524="","","Фактическое получение")</f>
        <v/>
      </c>
      <c r="F524" s="10">
        <f>IF($A524="","",Ремонты!T76)</f>
        <v/>
      </c>
      <c r="G524" s="10">
        <f>IF($A524="","","Автозапись из листа Ремонты")</f>
        <v/>
      </c>
    </row>
    <row r="525">
      <c r="A525" s="12">
        <f>IF(Ремонты!P76="","",Ремонты!P76)</f>
        <v/>
      </c>
      <c r="B525" s="10">
        <f>IF($A525="","",Ремонты!A76)</f>
        <v/>
      </c>
      <c r="C525" s="10">
        <f>IF($A525="","",Ремонты!D76)</f>
        <v/>
      </c>
      <c r="D525" s="10">
        <f>IF($A525="","",Ремонты!E76)</f>
        <v/>
      </c>
      <c r="E525" s="10">
        <f>IF($A525="","","Входной контроль")</f>
        <v/>
      </c>
      <c r="F525" s="10">
        <f>IF($A525="","",Ремонты!T76)</f>
        <v/>
      </c>
      <c r="G525" s="10">
        <f>IF($A525="","","Автозапись из листа Ремонты")</f>
        <v/>
      </c>
    </row>
    <row r="526">
      <c r="A526" s="12">
        <f>IF(Ремонты!S76="","",Ремонты!S76)</f>
        <v/>
      </c>
      <c r="B526" s="10">
        <f>IF($A526="","",Ремонты!A76)</f>
        <v/>
      </c>
      <c r="C526" s="10">
        <f>IF($A526="","",Ремонты!D76)</f>
        <v/>
      </c>
      <c r="D526" s="10">
        <f>IF($A526="","",Ремонты!E76)</f>
        <v/>
      </c>
      <c r="E526" s="10">
        <f>IF($A526="","","Оплата")</f>
        <v/>
      </c>
      <c r="F526" s="10">
        <f>IF($A526="","",Ремонты!T76)</f>
        <v/>
      </c>
      <c r="G526" s="10">
        <f>IF($A526="","","Автозапись из листа Ремонты")</f>
        <v/>
      </c>
    </row>
    <row r="527">
      <c r="A527" s="12">
        <f>IF(Ремонты!G77="","",Ремонты!G77)</f>
        <v/>
      </c>
      <c r="B527" s="10">
        <f>IF($A527="","",Ремонты!A77)</f>
        <v/>
      </c>
      <c r="C527" s="10">
        <f>IF($A527="","",Ремонты!D77)</f>
        <v/>
      </c>
      <c r="D527" s="10">
        <f>IF($A527="","",Ремонты!E77)</f>
        <v/>
      </c>
      <c r="E527" s="10">
        <f>IF($A527="","","Отправка в ремонт")</f>
        <v/>
      </c>
      <c r="F527" s="10">
        <f>IF($A527="","",Ремонты!T77)</f>
        <v/>
      </c>
      <c r="G527" s="10">
        <f>IF($A527="","","Автозапись из листа Ремонты")</f>
        <v/>
      </c>
    </row>
    <row r="528">
      <c r="A528" s="12">
        <f>IF(Ремонты!I77="","",Ремонты!I77)</f>
        <v/>
      </c>
      <c r="B528" s="10">
        <f>IF($A528="","",Ремонты!A77)</f>
        <v/>
      </c>
      <c r="C528" s="10">
        <f>IF($A528="","",Ремонты!D77)</f>
        <v/>
      </c>
      <c r="D528" s="10">
        <f>IF($A528="","",Ремонты!E77)</f>
        <v/>
      </c>
      <c r="E528" s="10">
        <f>IF($A528="","","Отправка из ремонта")</f>
        <v/>
      </c>
      <c r="F528" s="10">
        <f>IF($A528="","",Ремонты!T77)</f>
        <v/>
      </c>
      <c r="G528" s="10">
        <f>IF($A528="","","Автозапись из листа Ремонты")</f>
        <v/>
      </c>
    </row>
    <row r="529">
      <c r="A529" s="12">
        <f>IF(Ремонты!J77="","",Ремонты!J77)</f>
        <v/>
      </c>
      <c r="B529" s="10">
        <f>IF($A529="","",Ремонты!A77)</f>
        <v/>
      </c>
      <c r="C529" s="10">
        <f>IF($A529="","",Ремонты!D77)</f>
        <v/>
      </c>
      <c r="D529" s="10">
        <f>IF($A529="","",Ремонты!E77)</f>
        <v/>
      </c>
      <c r="E529" s="10">
        <f>IF($A529="","","Отправка из Иркутска")</f>
        <v/>
      </c>
      <c r="F529" s="10">
        <f>IF($A529="","",Ремонты!T77)</f>
        <v/>
      </c>
      <c r="G529" s="10">
        <f>IF($A529="","","Автозапись из листа Ремонты")</f>
        <v/>
      </c>
    </row>
    <row r="530">
      <c r="A530" s="12">
        <f>IF(Ремонты!K77="","",Ремонты!K77)</f>
        <v/>
      </c>
      <c r="B530" s="10">
        <f>IF($A530="","",Ремонты!A77)</f>
        <v/>
      </c>
      <c r="C530" s="10">
        <f>IF($A530="","",Ремонты!D77)</f>
        <v/>
      </c>
      <c r="D530" s="10">
        <f>IF($A530="","",Ремонты!E77)</f>
        <v/>
      </c>
      <c r="E530" s="10">
        <f>IF($A530="","","Прибытие в Ленск")</f>
        <v/>
      </c>
      <c r="F530" s="10">
        <f>IF($A530="","",Ремонты!T77)</f>
        <v/>
      </c>
      <c r="G530" s="10">
        <f>IF($A530="","","Автозапись из листа Ремонты")</f>
        <v/>
      </c>
    </row>
    <row r="531">
      <c r="A531" s="12">
        <f>IF(Ремонты!M77="","",Ремонты!M77)</f>
        <v/>
      </c>
      <c r="B531" s="10">
        <f>IF($A531="","",Ремонты!A77)</f>
        <v/>
      </c>
      <c r="C531" s="10">
        <f>IF($A531="","",Ремонты!D77)</f>
        <v/>
      </c>
      <c r="D531" s="10">
        <f>IF($A531="","",Ремонты!E77)</f>
        <v/>
      </c>
      <c r="E531" s="10">
        <f>IF($A531="","","Фактическое получение")</f>
        <v/>
      </c>
      <c r="F531" s="10">
        <f>IF($A531="","",Ремонты!T77)</f>
        <v/>
      </c>
      <c r="G531" s="10">
        <f>IF($A531="","","Автозапись из листа Ремонты")</f>
        <v/>
      </c>
    </row>
    <row r="532">
      <c r="A532" s="12">
        <f>IF(Ремонты!P77="","",Ремонты!P77)</f>
        <v/>
      </c>
      <c r="B532" s="10">
        <f>IF($A532="","",Ремонты!A77)</f>
        <v/>
      </c>
      <c r="C532" s="10">
        <f>IF($A532="","",Ремонты!D77)</f>
        <v/>
      </c>
      <c r="D532" s="10">
        <f>IF($A532="","",Ремонты!E77)</f>
        <v/>
      </c>
      <c r="E532" s="10">
        <f>IF($A532="","","Входной контроль")</f>
        <v/>
      </c>
      <c r="F532" s="10">
        <f>IF($A532="","",Ремонты!T77)</f>
        <v/>
      </c>
      <c r="G532" s="10">
        <f>IF($A532="","","Автозапись из листа Ремонты")</f>
        <v/>
      </c>
    </row>
    <row r="533">
      <c r="A533" s="12">
        <f>IF(Ремонты!S77="","",Ремонты!S77)</f>
        <v/>
      </c>
      <c r="B533" s="10">
        <f>IF($A533="","",Ремонты!A77)</f>
        <v/>
      </c>
      <c r="C533" s="10">
        <f>IF($A533="","",Ремонты!D77)</f>
        <v/>
      </c>
      <c r="D533" s="10">
        <f>IF($A533="","",Ремонты!E77)</f>
        <v/>
      </c>
      <c r="E533" s="10">
        <f>IF($A533="","","Оплата")</f>
        <v/>
      </c>
      <c r="F533" s="10">
        <f>IF($A533="","",Ремонты!T77)</f>
        <v/>
      </c>
      <c r="G533" s="10">
        <f>IF($A533="","","Автозапись из листа Ремонты")</f>
        <v/>
      </c>
    </row>
    <row r="534">
      <c r="A534" s="12">
        <f>IF(Ремонты!G78="","",Ремонты!G78)</f>
        <v/>
      </c>
      <c r="B534" s="10">
        <f>IF($A534="","",Ремонты!A78)</f>
        <v/>
      </c>
      <c r="C534" s="10">
        <f>IF($A534="","",Ремонты!D78)</f>
        <v/>
      </c>
      <c r="D534" s="10">
        <f>IF($A534="","",Ремонты!E78)</f>
        <v/>
      </c>
      <c r="E534" s="10">
        <f>IF($A534="","","Отправка в ремонт")</f>
        <v/>
      </c>
      <c r="F534" s="10">
        <f>IF($A534="","",Ремонты!T78)</f>
        <v/>
      </c>
      <c r="G534" s="10">
        <f>IF($A534="","","Автозапись из листа Ремонты")</f>
        <v/>
      </c>
    </row>
    <row r="535">
      <c r="A535" s="12">
        <f>IF(Ремонты!I78="","",Ремонты!I78)</f>
        <v/>
      </c>
      <c r="B535" s="10">
        <f>IF($A535="","",Ремонты!A78)</f>
        <v/>
      </c>
      <c r="C535" s="10">
        <f>IF($A535="","",Ремонты!D78)</f>
        <v/>
      </c>
      <c r="D535" s="10">
        <f>IF($A535="","",Ремонты!E78)</f>
        <v/>
      </c>
      <c r="E535" s="10">
        <f>IF($A535="","","Отправка из ремонта")</f>
        <v/>
      </c>
      <c r="F535" s="10">
        <f>IF($A535="","",Ремонты!T78)</f>
        <v/>
      </c>
      <c r="G535" s="10">
        <f>IF($A535="","","Автозапись из листа Ремонты")</f>
        <v/>
      </c>
    </row>
    <row r="536">
      <c r="A536" s="12">
        <f>IF(Ремонты!J78="","",Ремонты!J78)</f>
        <v/>
      </c>
      <c r="B536" s="10">
        <f>IF($A536="","",Ремонты!A78)</f>
        <v/>
      </c>
      <c r="C536" s="10">
        <f>IF($A536="","",Ремонты!D78)</f>
        <v/>
      </c>
      <c r="D536" s="10">
        <f>IF($A536="","",Ремонты!E78)</f>
        <v/>
      </c>
      <c r="E536" s="10">
        <f>IF($A536="","","Отправка из Иркутска")</f>
        <v/>
      </c>
      <c r="F536" s="10">
        <f>IF($A536="","",Ремонты!T78)</f>
        <v/>
      </c>
      <c r="G536" s="10">
        <f>IF($A536="","","Автозапись из листа Ремонты")</f>
        <v/>
      </c>
    </row>
    <row r="537">
      <c r="A537" s="12">
        <f>IF(Ремонты!K78="","",Ремонты!K78)</f>
        <v/>
      </c>
      <c r="B537" s="10">
        <f>IF($A537="","",Ремонты!A78)</f>
        <v/>
      </c>
      <c r="C537" s="10">
        <f>IF($A537="","",Ремонты!D78)</f>
        <v/>
      </c>
      <c r="D537" s="10">
        <f>IF($A537="","",Ремонты!E78)</f>
        <v/>
      </c>
      <c r="E537" s="10">
        <f>IF($A537="","","Прибытие в Ленск")</f>
        <v/>
      </c>
      <c r="F537" s="10">
        <f>IF($A537="","",Ремонты!T78)</f>
        <v/>
      </c>
      <c r="G537" s="10">
        <f>IF($A537="","","Автозапись из листа Ремонты")</f>
        <v/>
      </c>
    </row>
    <row r="538">
      <c r="A538" s="12">
        <f>IF(Ремонты!M78="","",Ремонты!M78)</f>
        <v/>
      </c>
      <c r="B538" s="10">
        <f>IF($A538="","",Ремонты!A78)</f>
        <v/>
      </c>
      <c r="C538" s="10">
        <f>IF($A538="","",Ремонты!D78)</f>
        <v/>
      </c>
      <c r="D538" s="10">
        <f>IF($A538="","",Ремонты!E78)</f>
        <v/>
      </c>
      <c r="E538" s="10">
        <f>IF($A538="","","Фактическое получение")</f>
        <v/>
      </c>
      <c r="F538" s="10">
        <f>IF($A538="","",Ремонты!T78)</f>
        <v/>
      </c>
      <c r="G538" s="10">
        <f>IF($A538="","","Автозапись из листа Ремонты")</f>
        <v/>
      </c>
    </row>
    <row r="539">
      <c r="A539" s="12">
        <f>IF(Ремонты!P78="","",Ремонты!P78)</f>
        <v/>
      </c>
      <c r="B539" s="10">
        <f>IF($A539="","",Ремонты!A78)</f>
        <v/>
      </c>
      <c r="C539" s="10">
        <f>IF($A539="","",Ремонты!D78)</f>
        <v/>
      </c>
      <c r="D539" s="10">
        <f>IF($A539="","",Ремонты!E78)</f>
        <v/>
      </c>
      <c r="E539" s="10">
        <f>IF($A539="","","Входной контроль")</f>
        <v/>
      </c>
      <c r="F539" s="10">
        <f>IF($A539="","",Ремонты!T78)</f>
        <v/>
      </c>
      <c r="G539" s="10">
        <f>IF($A539="","","Автозапись из листа Ремонты")</f>
        <v/>
      </c>
    </row>
    <row r="540">
      <c r="A540" s="12">
        <f>IF(Ремонты!S78="","",Ремонты!S78)</f>
        <v/>
      </c>
      <c r="B540" s="10">
        <f>IF($A540="","",Ремонты!A78)</f>
        <v/>
      </c>
      <c r="C540" s="10">
        <f>IF($A540="","",Ремонты!D78)</f>
        <v/>
      </c>
      <c r="D540" s="10">
        <f>IF($A540="","",Ремонты!E78)</f>
        <v/>
      </c>
      <c r="E540" s="10">
        <f>IF($A540="","","Оплата")</f>
        <v/>
      </c>
      <c r="F540" s="10">
        <f>IF($A540="","",Ремонты!T78)</f>
        <v/>
      </c>
      <c r="G540" s="10">
        <f>IF($A540="","","Автозапись из листа Ремонты")</f>
        <v/>
      </c>
    </row>
    <row r="541">
      <c r="A541" s="12">
        <f>IF(Ремонты!G79="","",Ремонты!G79)</f>
        <v/>
      </c>
      <c r="B541" s="10">
        <f>IF($A541="","",Ремонты!A79)</f>
        <v/>
      </c>
      <c r="C541" s="10">
        <f>IF($A541="","",Ремонты!D79)</f>
        <v/>
      </c>
      <c r="D541" s="10">
        <f>IF($A541="","",Ремонты!E79)</f>
        <v/>
      </c>
      <c r="E541" s="10">
        <f>IF($A541="","","Отправка в ремонт")</f>
        <v/>
      </c>
      <c r="F541" s="10">
        <f>IF($A541="","",Ремонты!T79)</f>
        <v/>
      </c>
      <c r="G541" s="10">
        <f>IF($A541="","","Автозапись из листа Ремонты")</f>
        <v/>
      </c>
    </row>
    <row r="542">
      <c r="A542" s="12">
        <f>IF(Ремонты!I79="","",Ремонты!I79)</f>
        <v/>
      </c>
      <c r="B542" s="10">
        <f>IF($A542="","",Ремонты!A79)</f>
        <v/>
      </c>
      <c r="C542" s="10">
        <f>IF($A542="","",Ремонты!D79)</f>
        <v/>
      </c>
      <c r="D542" s="10">
        <f>IF($A542="","",Ремонты!E79)</f>
        <v/>
      </c>
      <c r="E542" s="10">
        <f>IF($A542="","","Отправка из ремонта")</f>
        <v/>
      </c>
      <c r="F542" s="10">
        <f>IF($A542="","",Ремонты!T79)</f>
        <v/>
      </c>
      <c r="G542" s="10">
        <f>IF($A542="","","Автозапись из листа Ремонты")</f>
        <v/>
      </c>
    </row>
    <row r="543">
      <c r="A543" s="12">
        <f>IF(Ремонты!J79="","",Ремонты!J79)</f>
        <v/>
      </c>
      <c r="B543" s="10">
        <f>IF($A543="","",Ремонты!A79)</f>
        <v/>
      </c>
      <c r="C543" s="10">
        <f>IF($A543="","",Ремонты!D79)</f>
        <v/>
      </c>
      <c r="D543" s="10">
        <f>IF($A543="","",Ремонты!E79)</f>
        <v/>
      </c>
      <c r="E543" s="10">
        <f>IF($A543="","","Отправка из Иркутска")</f>
        <v/>
      </c>
      <c r="F543" s="10">
        <f>IF($A543="","",Ремонты!T79)</f>
        <v/>
      </c>
      <c r="G543" s="10">
        <f>IF($A543="","","Автозапись из листа Ремонты")</f>
        <v/>
      </c>
    </row>
    <row r="544">
      <c r="A544" s="12">
        <f>IF(Ремонты!K79="","",Ремонты!K79)</f>
        <v/>
      </c>
      <c r="B544" s="10">
        <f>IF($A544="","",Ремонты!A79)</f>
        <v/>
      </c>
      <c r="C544" s="10">
        <f>IF($A544="","",Ремонты!D79)</f>
        <v/>
      </c>
      <c r="D544" s="10">
        <f>IF($A544="","",Ремонты!E79)</f>
        <v/>
      </c>
      <c r="E544" s="10">
        <f>IF($A544="","","Прибытие в Ленск")</f>
        <v/>
      </c>
      <c r="F544" s="10">
        <f>IF($A544="","",Ремонты!T79)</f>
        <v/>
      </c>
      <c r="G544" s="10">
        <f>IF($A544="","","Автозапись из листа Ремонты")</f>
        <v/>
      </c>
    </row>
    <row r="545">
      <c r="A545" s="12">
        <f>IF(Ремонты!M79="","",Ремонты!M79)</f>
        <v/>
      </c>
      <c r="B545" s="10">
        <f>IF($A545="","",Ремонты!A79)</f>
        <v/>
      </c>
      <c r="C545" s="10">
        <f>IF($A545="","",Ремонты!D79)</f>
        <v/>
      </c>
      <c r="D545" s="10">
        <f>IF($A545="","",Ремонты!E79)</f>
        <v/>
      </c>
      <c r="E545" s="10">
        <f>IF($A545="","","Фактическое получение")</f>
        <v/>
      </c>
      <c r="F545" s="10">
        <f>IF($A545="","",Ремонты!T79)</f>
        <v/>
      </c>
      <c r="G545" s="10">
        <f>IF($A545="","","Автозапись из листа Ремонты")</f>
        <v/>
      </c>
    </row>
    <row r="546">
      <c r="A546" s="12">
        <f>IF(Ремонты!P79="","",Ремонты!P79)</f>
        <v/>
      </c>
      <c r="B546" s="10">
        <f>IF($A546="","",Ремонты!A79)</f>
        <v/>
      </c>
      <c r="C546" s="10">
        <f>IF($A546="","",Ремонты!D79)</f>
        <v/>
      </c>
      <c r="D546" s="10">
        <f>IF($A546="","",Ремонты!E79)</f>
        <v/>
      </c>
      <c r="E546" s="10">
        <f>IF($A546="","","Входной контроль")</f>
        <v/>
      </c>
      <c r="F546" s="10">
        <f>IF($A546="","",Ремонты!T79)</f>
        <v/>
      </c>
      <c r="G546" s="10">
        <f>IF($A546="","","Автозапись из листа Ремонты")</f>
        <v/>
      </c>
    </row>
    <row r="547">
      <c r="A547" s="12">
        <f>IF(Ремонты!S79="","",Ремонты!S79)</f>
        <v/>
      </c>
      <c r="B547" s="10">
        <f>IF($A547="","",Ремонты!A79)</f>
        <v/>
      </c>
      <c r="C547" s="10">
        <f>IF($A547="","",Ремонты!D79)</f>
        <v/>
      </c>
      <c r="D547" s="10">
        <f>IF($A547="","",Ремонты!E79)</f>
        <v/>
      </c>
      <c r="E547" s="10">
        <f>IF($A547="","","Оплата")</f>
        <v/>
      </c>
      <c r="F547" s="10">
        <f>IF($A547="","",Ремонты!T79)</f>
        <v/>
      </c>
      <c r="G547" s="10">
        <f>IF($A547="","","Автозапись из листа Ремонты")</f>
        <v/>
      </c>
    </row>
    <row r="548">
      <c r="A548" s="12">
        <f>IF(Ремонты!G80="","",Ремонты!G80)</f>
        <v/>
      </c>
      <c r="B548" s="10">
        <f>IF($A548="","",Ремонты!A80)</f>
        <v/>
      </c>
      <c r="C548" s="10">
        <f>IF($A548="","",Ремонты!D80)</f>
        <v/>
      </c>
      <c r="D548" s="10">
        <f>IF($A548="","",Ремонты!E80)</f>
        <v/>
      </c>
      <c r="E548" s="10">
        <f>IF($A548="","","Отправка в ремонт")</f>
        <v/>
      </c>
      <c r="F548" s="10">
        <f>IF($A548="","",Ремонты!T80)</f>
        <v/>
      </c>
      <c r="G548" s="10">
        <f>IF($A548="","","Автозапись из листа Ремонты")</f>
        <v/>
      </c>
    </row>
    <row r="549">
      <c r="A549" s="12">
        <f>IF(Ремонты!I80="","",Ремонты!I80)</f>
        <v/>
      </c>
      <c r="B549" s="10">
        <f>IF($A549="","",Ремонты!A80)</f>
        <v/>
      </c>
      <c r="C549" s="10">
        <f>IF($A549="","",Ремонты!D80)</f>
        <v/>
      </c>
      <c r="D549" s="10">
        <f>IF($A549="","",Ремонты!E80)</f>
        <v/>
      </c>
      <c r="E549" s="10">
        <f>IF($A549="","","Отправка из ремонта")</f>
        <v/>
      </c>
      <c r="F549" s="10">
        <f>IF($A549="","",Ремонты!T80)</f>
        <v/>
      </c>
      <c r="G549" s="10">
        <f>IF($A549="","","Автозапись из листа Ремонты")</f>
        <v/>
      </c>
    </row>
    <row r="550">
      <c r="A550" s="12">
        <f>IF(Ремонты!J80="","",Ремонты!J80)</f>
        <v/>
      </c>
      <c r="B550" s="10">
        <f>IF($A550="","",Ремонты!A80)</f>
        <v/>
      </c>
      <c r="C550" s="10">
        <f>IF($A550="","",Ремонты!D80)</f>
        <v/>
      </c>
      <c r="D550" s="10">
        <f>IF($A550="","",Ремонты!E80)</f>
        <v/>
      </c>
      <c r="E550" s="10">
        <f>IF($A550="","","Отправка из Иркутска")</f>
        <v/>
      </c>
      <c r="F550" s="10">
        <f>IF($A550="","",Ремонты!T80)</f>
        <v/>
      </c>
      <c r="G550" s="10">
        <f>IF($A550="","","Автозапись из листа Ремонты")</f>
        <v/>
      </c>
    </row>
    <row r="551">
      <c r="A551" s="12">
        <f>IF(Ремонты!K80="","",Ремонты!K80)</f>
        <v/>
      </c>
      <c r="B551" s="10">
        <f>IF($A551="","",Ремонты!A80)</f>
        <v/>
      </c>
      <c r="C551" s="10">
        <f>IF($A551="","",Ремонты!D80)</f>
        <v/>
      </c>
      <c r="D551" s="10">
        <f>IF($A551="","",Ремонты!E80)</f>
        <v/>
      </c>
      <c r="E551" s="10">
        <f>IF($A551="","","Прибытие в Ленск")</f>
        <v/>
      </c>
      <c r="F551" s="10">
        <f>IF($A551="","",Ремонты!T80)</f>
        <v/>
      </c>
      <c r="G551" s="10">
        <f>IF($A551="","","Автозапись из листа Ремонты")</f>
        <v/>
      </c>
    </row>
    <row r="552">
      <c r="A552" s="12">
        <f>IF(Ремонты!M80="","",Ремонты!M80)</f>
        <v/>
      </c>
      <c r="B552" s="10">
        <f>IF($A552="","",Ремонты!A80)</f>
        <v/>
      </c>
      <c r="C552" s="10">
        <f>IF($A552="","",Ремонты!D80)</f>
        <v/>
      </c>
      <c r="D552" s="10">
        <f>IF($A552="","",Ремонты!E80)</f>
        <v/>
      </c>
      <c r="E552" s="10">
        <f>IF($A552="","","Фактическое получение")</f>
        <v/>
      </c>
      <c r="F552" s="10">
        <f>IF($A552="","",Ремонты!T80)</f>
        <v/>
      </c>
      <c r="G552" s="10">
        <f>IF($A552="","","Автозапись из листа Ремонты")</f>
        <v/>
      </c>
    </row>
    <row r="553">
      <c r="A553" s="12">
        <f>IF(Ремонты!P80="","",Ремонты!P80)</f>
        <v/>
      </c>
      <c r="B553" s="10">
        <f>IF($A553="","",Ремонты!A80)</f>
        <v/>
      </c>
      <c r="C553" s="10">
        <f>IF($A553="","",Ремонты!D80)</f>
        <v/>
      </c>
      <c r="D553" s="10">
        <f>IF($A553="","",Ремонты!E80)</f>
        <v/>
      </c>
      <c r="E553" s="10">
        <f>IF($A553="","","Входной контроль")</f>
        <v/>
      </c>
      <c r="F553" s="10">
        <f>IF($A553="","",Ремонты!T80)</f>
        <v/>
      </c>
      <c r="G553" s="10">
        <f>IF($A553="","","Автозапись из листа Ремонты")</f>
        <v/>
      </c>
    </row>
    <row r="554">
      <c r="A554" s="12">
        <f>IF(Ремонты!S80="","",Ремонты!S80)</f>
        <v/>
      </c>
      <c r="B554" s="10">
        <f>IF($A554="","",Ремонты!A80)</f>
        <v/>
      </c>
      <c r="C554" s="10">
        <f>IF($A554="","",Ремонты!D80)</f>
        <v/>
      </c>
      <c r="D554" s="10">
        <f>IF($A554="","",Ремонты!E80)</f>
        <v/>
      </c>
      <c r="E554" s="10">
        <f>IF($A554="","","Оплата")</f>
        <v/>
      </c>
      <c r="F554" s="10">
        <f>IF($A554="","",Ремонты!T80)</f>
        <v/>
      </c>
      <c r="G554" s="10">
        <f>IF($A554="","","Автозапись из листа Ремонты")</f>
        <v/>
      </c>
    </row>
    <row r="555">
      <c r="A555" s="12">
        <f>IF(Ремонты!G81="","",Ремонты!G81)</f>
        <v/>
      </c>
      <c r="B555" s="10">
        <f>IF($A555="","",Ремонты!A81)</f>
        <v/>
      </c>
      <c r="C555" s="10">
        <f>IF($A555="","",Ремонты!D81)</f>
        <v/>
      </c>
      <c r="D555" s="10">
        <f>IF($A555="","",Ремонты!E81)</f>
        <v/>
      </c>
      <c r="E555" s="10">
        <f>IF($A555="","","Отправка в ремонт")</f>
        <v/>
      </c>
      <c r="F555" s="10">
        <f>IF($A555="","",Ремонты!T81)</f>
        <v/>
      </c>
      <c r="G555" s="10">
        <f>IF($A555="","","Автозапись из листа Ремонты")</f>
        <v/>
      </c>
    </row>
    <row r="556">
      <c r="A556" s="12">
        <f>IF(Ремонты!I81="","",Ремонты!I81)</f>
        <v/>
      </c>
      <c r="B556" s="10">
        <f>IF($A556="","",Ремонты!A81)</f>
        <v/>
      </c>
      <c r="C556" s="10">
        <f>IF($A556="","",Ремонты!D81)</f>
        <v/>
      </c>
      <c r="D556" s="10">
        <f>IF($A556="","",Ремонты!E81)</f>
        <v/>
      </c>
      <c r="E556" s="10">
        <f>IF($A556="","","Отправка из ремонта")</f>
        <v/>
      </c>
      <c r="F556" s="10">
        <f>IF($A556="","",Ремонты!T81)</f>
        <v/>
      </c>
      <c r="G556" s="10">
        <f>IF($A556="","","Автозапись из листа Ремонты")</f>
        <v/>
      </c>
    </row>
    <row r="557">
      <c r="A557" s="12">
        <f>IF(Ремонты!J81="","",Ремонты!J81)</f>
        <v/>
      </c>
      <c r="B557" s="10">
        <f>IF($A557="","",Ремонты!A81)</f>
        <v/>
      </c>
      <c r="C557" s="10">
        <f>IF($A557="","",Ремонты!D81)</f>
        <v/>
      </c>
      <c r="D557" s="10">
        <f>IF($A557="","",Ремонты!E81)</f>
        <v/>
      </c>
      <c r="E557" s="10">
        <f>IF($A557="","","Отправка из Иркутска")</f>
        <v/>
      </c>
      <c r="F557" s="10">
        <f>IF($A557="","",Ремонты!T81)</f>
        <v/>
      </c>
      <c r="G557" s="10">
        <f>IF($A557="","","Автозапись из листа Ремонты")</f>
        <v/>
      </c>
    </row>
    <row r="558">
      <c r="A558" s="12">
        <f>IF(Ремонты!K81="","",Ремонты!K81)</f>
        <v/>
      </c>
      <c r="B558" s="10">
        <f>IF($A558="","",Ремонты!A81)</f>
        <v/>
      </c>
      <c r="C558" s="10">
        <f>IF($A558="","",Ремонты!D81)</f>
        <v/>
      </c>
      <c r="D558" s="10">
        <f>IF($A558="","",Ремонты!E81)</f>
        <v/>
      </c>
      <c r="E558" s="10">
        <f>IF($A558="","","Прибытие в Ленск")</f>
        <v/>
      </c>
      <c r="F558" s="10">
        <f>IF($A558="","",Ремонты!T81)</f>
        <v/>
      </c>
      <c r="G558" s="10">
        <f>IF($A558="","","Автозапись из листа Ремонты")</f>
        <v/>
      </c>
    </row>
    <row r="559">
      <c r="A559" s="12">
        <f>IF(Ремонты!M81="","",Ремонты!M81)</f>
        <v/>
      </c>
      <c r="B559" s="10">
        <f>IF($A559="","",Ремонты!A81)</f>
        <v/>
      </c>
      <c r="C559" s="10">
        <f>IF($A559="","",Ремонты!D81)</f>
        <v/>
      </c>
      <c r="D559" s="10">
        <f>IF($A559="","",Ремонты!E81)</f>
        <v/>
      </c>
      <c r="E559" s="10">
        <f>IF($A559="","","Фактическое получение")</f>
        <v/>
      </c>
      <c r="F559" s="10">
        <f>IF($A559="","",Ремонты!T81)</f>
        <v/>
      </c>
      <c r="G559" s="10">
        <f>IF($A559="","","Автозапись из листа Ремонты")</f>
        <v/>
      </c>
    </row>
    <row r="560">
      <c r="A560" s="12">
        <f>IF(Ремонты!P81="","",Ремонты!P81)</f>
        <v/>
      </c>
      <c r="B560" s="10">
        <f>IF($A560="","",Ремонты!A81)</f>
        <v/>
      </c>
      <c r="C560" s="10">
        <f>IF($A560="","",Ремонты!D81)</f>
        <v/>
      </c>
      <c r="D560" s="10">
        <f>IF($A560="","",Ремонты!E81)</f>
        <v/>
      </c>
      <c r="E560" s="10">
        <f>IF($A560="","","Входной контроль")</f>
        <v/>
      </c>
      <c r="F560" s="10">
        <f>IF($A560="","",Ремонты!T81)</f>
        <v/>
      </c>
      <c r="G560" s="10">
        <f>IF($A560="","","Автозапись из листа Ремонты")</f>
        <v/>
      </c>
    </row>
    <row r="561">
      <c r="A561" s="12">
        <f>IF(Ремонты!S81="","",Ремонты!S81)</f>
        <v/>
      </c>
      <c r="B561" s="10">
        <f>IF($A561="","",Ремонты!A81)</f>
        <v/>
      </c>
      <c r="C561" s="10">
        <f>IF($A561="","",Ремонты!D81)</f>
        <v/>
      </c>
      <c r="D561" s="10">
        <f>IF($A561="","",Ремонты!E81)</f>
        <v/>
      </c>
      <c r="E561" s="10">
        <f>IF($A561="","","Оплата")</f>
        <v/>
      </c>
      <c r="F561" s="10">
        <f>IF($A561="","",Ремонты!T81)</f>
        <v/>
      </c>
      <c r="G561" s="10">
        <f>IF($A561="","","Автозапись из листа Ремонты")</f>
        <v/>
      </c>
    </row>
    <row r="562">
      <c r="A562" s="12">
        <f>IF(Ремонты!G82="","",Ремонты!G82)</f>
        <v/>
      </c>
      <c r="B562" s="10">
        <f>IF($A562="","",Ремонты!A82)</f>
        <v/>
      </c>
      <c r="C562" s="10">
        <f>IF($A562="","",Ремонты!D82)</f>
        <v/>
      </c>
      <c r="D562" s="10">
        <f>IF($A562="","",Ремонты!E82)</f>
        <v/>
      </c>
      <c r="E562" s="10">
        <f>IF($A562="","","Отправка в ремонт")</f>
        <v/>
      </c>
      <c r="F562" s="10">
        <f>IF($A562="","",Ремонты!T82)</f>
        <v/>
      </c>
      <c r="G562" s="10">
        <f>IF($A562="","","Автозапись из листа Ремонты")</f>
        <v/>
      </c>
    </row>
    <row r="563">
      <c r="A563" s="12">
        <f>IF(Ремонты!I82="","",Ремонты!I82)</f>
        <v/>
      </c>
      <c r="B563" s="10">
        <f>IF($A563="","",Ремонты!A82)</f>
        <v/>
      </c>
      <c r="C563" s="10">
        <f>IF($A563="","",Ремонты!D82)</f>
        <v/>
      </c>
      <c r="D563" s="10">
        <f>IF($A563="","",Ремонты!E82)</f>
        <v/>
      </c>
      <c r="E563" s="10">
        <f>IF($A563="","","Отправка из ремонта")</f>
        <v/>
      </c>
      <c r="F563" s="10">
        <f>IF($A563="","",Ремонты!T82)</f>
        <v/>
      </c>
      <c r="G563" s="10">
        <f>IF($A563="","","Автозапись из листа Ремонты")</f>
        <v/>
      </c>
    </row>
    <row r="564">
      <c r="A564" s="12">
        <f>IF(Ремонты!J82="","",Ремонты!J82)</f>
        <v/>
      </c>
      <c r="B564" s="10">
        <f>IF($A564="","",Ремонты!A82)</f>
        <v/>
      </c>
      <c r="C564" s="10">
        <f>IF($A564="","",Ремонты!D82)</f>
        <v/>
      </c>
      <c r="D564" s="10">
        <f>IF($A564="","",Ремонты!E82)</f>
        <v/>
      </c>
      <c r="E564" s="10">
        <f>IF($A564="","","Отправка из Иркутска")</f>
        <v/>
      </c>
      <c r="F564" s="10">
        <f>IF($A564="","",Ремонты!T82)</f>
        <v/>
      </c>
      <c r="G564" s="10">
        <f>IF($A564="","","Автозапись из листа Ремонты")</f>
        <v/>
      </c>
    </row>
    <row r="565">
      <c r="A565" s="12">
        <f>IF(Ремонты!K82="","",Ремонты!K82)</f>
        <v/>
      </c>
      <c r="B565" s="10">
        <f>IF($A565="","",Ремонты!A82)</f>
        <v/>
      </c>
      <c r="C565" s="10">
        <f>IF($A565="","",Ремонты!D82)</f>
        <v/>
      </c>
      <c r="D565" s="10">
        <f>IF($A565="","",Ремонты!E82)</f>
        <v/>
      </c>
      <c r="E565" s="10">
        <f>IF($A565="","","Прибытие в Ленск")</f>
        <v/>
      </c>
      <c r="F565" s="10">
        <f>IF($A565="","",Ремонты!T82)</f>
        <v/>
      </c>
      <c r="G565" s="10">
        <f>IF($A565="","","Автозапись из листа Ремонты")</f>
        <v/>
      </c>
    </row>
    <row r="566">
      <c r="A566" s="12">
        <f>IF(Ремонты!M82="","",Ремонты!M82)</f>
        <v/>
      </c>
      <c r="B566" s="10">
        <f>IF($A566="","",Ремонты!A82)</f>
        <v/>
      </c>
      <c r="C566" s="10">
        <f>IF($A566="","",Ремонты!D82)</f>
        <v/>
      </c>
      <c r="D566" s="10">
        <f>IF($A566="","",Ремонты!E82)</f>
        <v/>
      </c>
      <c r="E566" s="10">
        <f>IF($A566="","","Фактическое получение")</f>
        <v/>
      </c>
      <c r="F566" s="10">
        <f>IF($A566="","",Ремонты!T82)</f>
        <v/>
      </c>
      <c r="G566" s="10">
        <f>IF($A566="","","Автозапись из листа Ремонты")</f>
        <v/>
      </c>
    </row>
    <row r="567">
      <c r="A567" s="12">
        <f>IF(Ремонты!P82="","",Ремонты!P82)</f>
        <v/>
      </c>
      <c r="B567" s="10">
        <f>IF($A567="","",Ремонты!A82)</f>
        <v/>
      </c>
      <c r="C567" s="10">
        <f>IF($A567="","",Ремонты!D82)</f>
        <v/>
      </c>
      <c r="D567" s="10">
        <f>IF($A567="","",Ремонты!E82)</f>
        <v/>
      </c>
      <c r="E567" s="10">
        <f>IF($A567="","","Входной контроль")</f>
        <v/>
      </c>
      <c r="F567" s="10">
        <f>IF($A567="","",Ремонты!T82)</f>
        <v/>
      </c>
      <c r="G567" s="10">
        <f>IF($A567="","","Автозапись из листа Ремонты")</f>
        <v/>
      </c>
    </row>
    <row r="568">
      <c r="A568" s="12">
        <f>IF(Ремонты!S82="","",Ремонты!S82)</f>
        <v/>
      </c>
      <c r="B568" s="10">
        <f>IF($A568="","",Ремонты!A82)</f>
        <v/>
      </c>
      <c r="C568" s="10">
        <f>IF($A568="","",Ремонты!D82)</f>
        <v/>
      </c>
      <c r="D568" s="10">
        <f>IF($A568="","",Ремонты!E82)</f>
        <v/>
      </c>
      <c r="E568" s="10">
        <f>IF($A568="","","Оплата")</f>
        <v/>
      </c>
      <c r="F568" s="10">
        <f>IF($A568="","",Ремонты!T82)</f>
        <v/>
      </c>
      <c r="G568" s="10">
        <f>IF($A568="","","Автозапись из листа Ремонты")</f>
        <v/>
      </c>
    </row>
    <row r="569">
      <c r="A569" s="12">
        <f>IF(Ремонты!G83="","",Ремонты!G83)</f>
        <v/>
      </c>
      <c r="B569" s="10">
        <f>IF($A569="","",Ремонты!A83)</f>
        <v/>
      </c>
      <c r="C569" s="10">
        <f>IF($A569="","",Ремонты!D83)</f>
        <v/>
      </c>
      <c r="D569" s="10">
        <f>IF($A569="","",Ремонты!E83)</f>
        <v/>
      </c>
      <c r="E569" s="10">
        <f>IF($A569="","","Отправка в ремонт")</f>
        <v/>
      </c>
      <c r="F569" s="10">
        <f>IF($A569="","",Ремонты!T83)</f>
        <v/>
      </c>
      <c r="G569" s="10">
        <f>IF($A569="","","Автозапись из листа Ремонты")</f>
        <v/>
      </c>
    </row>
    <row r="570">
      <c r="A570" s="12">
        <f>IF(Ремонты!I83="","",Ремонты!I83)</f>
        <v/>
      </c>
      <c r="B570" s="10">
        <f>IF($A570="","",Ремонты!A83)</f>
        <v/>
      </c>
      <c r="C570" s="10">
        <f>IF($A570="","",Ремонты!D83)</f>
        <v/>
      </c>
      <c r="D570" s="10">
        <f>IF($A570="","",Ремонты!E83)</f>
        <v/>
      </c>
      <c r="E570" s="10">
        <f>IF($A570="","","Отправка из ремонта")</f>
        <v/>
      </c>
      <c r="F570" s="10">
        <f>IF($A570="","",Ремонты!T83)</f>
        <v/>
      </c>
      <c r="G570" s="10">
        <f>IF($A570="","","Автозапись из листа Ремонты")</f>
        <v/>
      </c>
    </row>
    <row r="571">
      <c r="A571" s="12">
        <f>IF(Ремонты!J83="","",Ремонты!J83)</f>
        <v/>
      </c>
      <c r="B571" s="10">
        <f>IF($A571="","",Ремонты!A83)</f>
        <v/>
      </c>
      <c r="C571" s="10">
        <f>IF($A571="","",Ремонты!D83)</f>
        <v/>
      </c>
      <c r="D571" s="10">
        <f>IF($A571="","",Ремонты!E83)</f>
        <v/>
      </c>
      <c r="E571" s="10">
        <f>IF($A571="","","Отправка из Иркутска")</f>
        <v/>
      </c>
      <c r="F571" s="10">
        <f>IF($A571="","",Ремонты!T83)</f>
        <v/>
      </c>
      <c r="G571" s="10">
        <f>IF($A571="","","Автозапись из листа Ремонты")</f>
        <v/>
      </c>
    </row>
    <row r="572">
      <c r="A572" s="12">
        <f>IF(Ремонты!K83="","",Ремонты!K83)</f>
        <v/>
      </c>
      <c r="B572" s="10">
        <f>IF($A572="","",Ремонты!A83)</f>
        <v/>
      </c>
      <c r="C572" s="10">
        <f>IF($A572="","",Ремонты!D83)</f>
        <v/>
      </c>
      <c r="D572" s="10">
        <f>IF($A572="","",Ремонты!E83)</f>
        <v/>
      </c>
      <c r="E572" s="10">
        <f>IF($A572="","","Прибытие в Ленск")</f>
        <v/>
      </c>
      <c r="F572" s="10">
        <f>IF($A572="","",Ремонты!T83)</f>
        <v/>
      </c>
      <c r="G572" s="10">
        <f>IF($A572="","","Автозапись из листа Ремонты")</f>
        <v/>
      </c>
    </row>
    <row r="573">
      <c r="A573" s="12">
        <f>IF(Ремонты!M83="","",Ремонты!M83)</f>
        <v/>
      </c>
      <c r="B573" s="10">
        <f>IF($A573="","",Ремонты!A83)</f>
        <v/>
      </c>
      <c r="C573" s="10">
        <f>IF($A573="","",Ремонты!D83)</f>
        <v/>
      </c>
      <c r="D573" s="10">
        <f>IF($A573="","",Ремонты!E83)</f>
        <v/>
      </c>
      <c r="E573" s="10">
        <f>IF($A573="","","Фактическое получение")</f>
        <v/>
      </c>
      <c r="F573" s="10">
        <f>IF($A573="","",Ремонты!T83)</f>
        <v/>
      </c>
      <c r="G573" s="10">
        <f>IF($A573="","","Автозапись из листа Ремонты")</f>
        <v/>
      </c>
    </row>
    <row r="574">
      <c r="A574" s="12">
        <f>IF(Ремонты!P83="","",Ремонты!P83)</f>
        <v/>
      </c>
      <c r="B574" s="10">
        <f>IF($A574="","",Ремонты!A83)</f>
        <v/>
      </c>
      <c r="C574" s="10">
        <f>IF($A574="","",Ремонты!D83)</f>
        <v/>
      </c>
      <c r="D574" s="10">
        <f>IF($A574="","",Ремонты!E83)</f>
        <v/>
      </c>
      <c r="E574" s="10">
        <f>IF($A574="","","Входной контроль")</f>
        <v/>
      </c>
      <c r="F574" s="10">
        <f>IF($A574="","",Ремонты!T83)</f>
        <v/>
      </c>
      <c r="G574" s="10">
        <f>IF($A574="","","Автозапись из листа Ремонты")</f>
        <v/>
      </c>
    </row>
    <row r="575">
      <c r="A575" s="12">
        <f>IF(Ремонты!S83="","",Ремонты!S83)</f>
        <v/>
      </c>
      <c r="B575" s="10">
        <f>IF($A575="","",Ремонты!A83)</f>
        <v/>
      </c>
      <c r="C575" s="10">
        <f>IF($A575="","",Ремонты!D83)</f>
        <v/>
      </c>
      <c r="D575" s="10">
        <f>IF($A575="","",Ремонты!E83)</f>
        <v/>
      </c>
      <c r="E575" s="10">
        <f>IF($A575="","","Оплата")</f>
        <v/>
      </c>
      <c r="F575" s="10">
        <f>IF($A575="","",Ремонты!T83)</f>
        <v/>
      </c>
      <c r="G575" s="10">
        <f>IF($A575="","","Автозапись из листа Ремонты")</f>
        <v/>
      </c>
    </row>
    <row r="576">
      <c r="A576" s="12">
        <f>IF(Ремонты!G84="","",Ремонты!G84)</f>
        <v/>
      </c>
      <c r="B576" s="10">
        <f>IF($A576="","",Ремонты!A84)</f>
        <v/>
      </c>
      <c r="C576" s="10">
        <f>IF($A576="","",Ремонты!D84)</f>
        <v/>
      </c>
      <c r="D576" s="10">
        <f>IF($A576="","",Ремонты!E84)</f>
        <v/>
      </c>
      <c r="E576" s="10">
        <f>IF($A576="","","Отправка в ремонт")</f>
        <v/>
      </c>
      <c r="F576" s="10">
        <f>IF($A576="","",Ремонты!T84)</f>
        <v/>
      </c>
      <c r="G576" s="10">
        <f>IF($A576="","","Автозапись из листа Ремонты")</f>
        <v/>
      </c>
    </row>
    <row r="577">
      <c r="A577" s="12">
        <f>IF(Ремонты!I84="","",Ремонты!I84)</f>
        <v/>
      </c>
      <c r="B577" s="10">
        <f>IF($A577="","",Ремонты!A84)</f>
        <v/>
      </c>
      <c r="C577" s="10">
        <f>IF($A577="","",Ремонты!D84)</f>
        <v/>
      </c>
      <c r="D577" s="10">
        <f>IF($A577="","",Ремонты!E84)</f>
        <v/>
      </c>
      <c r="E577" s="10">
        <f>IF($A577="","","Отправка из ремонта")</f>
        <v/>
      </c>
      <c r="F577" s="10">
        <f>IF($A577="","",Ремонты!T84)</f>
        <v/>
      </c>
      <c r="G577" s="10">
        <f>IF($A577="","","Автозапись из листа Ремонты")</f>
        <v/>
      </c>
    </row>
    <row r="578">
      <c r="A578" s="12">
        <f>IF(Ремонты!J84="","",Ремонты!J84)</f>
        <v/>
      </c>
      <c r="B578" s="10">
        <f>IF($A578="","",Ремонты!A84)</f>
        <v/>
      </c>
      <c r="C578" s="10">
        <f>IF($A578="","",Ремонты!D84)</f>
        <v/>
      </c>
      <c r="D578" s="10">
        <f>IF($A578="","",Ремонты!E84)</f>
        <v/>
      </c>
      <c r="E578" s="10">
        <f>IF($A578="","","Отправка из Иркутска")</f>
        <v/>
      </c>
      <c r="F578" s="10">
        <f>IF($A578="","",Ремонты!T84)</f>
        <v/>
      </c>
      <c r="G578" s="10">
        <f>IF($A578="","","Автозапись из листа Ремонты")</f>
        <v/>
      </c>
    </row>
    <row r="579">
      <c r="A579" s="12">
        <f>IF(Ремонты!K84="","",Ремонты!K84)</f>
        <v/>
      </c>
      <c r="B579" s="10">
        <f>IF($A579="","",Ремонты!A84)</f>
        <v/>
      </c>
      <c r="C579" s="10">
        <f>IF($A579="","",Ремонты!D84)</f>
        <v/>
      </c>
      <c r="D579" s="10">
        <f>IF($A579="","",Ремонты!E84)</f>
        <v/>
      </c>
      <c r="E579" s="10">
        <f>IF($A579="","","Прибытие в Ленск")</f>
        <v/>
      </c>
      <c r="F579" s="10">
        <f>IF($A579="","",Ремонты!T84)</f>
        <v/>
      </c>
      <c r="G579" s="10">
        <f>IF($A579="","","Автозапись из листа Ремонты")</f>
        <v/>
      </c>
    </row>
    <row r="580">
      <c r="A580" s="12">
        <f>IF(Ремонты!M84="","",Ремонты!M84)</f>
        <v/>
      </c>
      <c r="B580" s="10">
        <f>IF($A580="","",Ремонты!A84)</f>
        <v/>
      </c>
      <c r="C580" s="10">
        <f>IF($A580="","",Ремонты!D84)</f>
        <v/>
      </c>
      <c r="D580" s="10">
        <f>IF($A580="","",Ремонты!E84)</f>
        <v/>
      </c>
      <c r="E580" s="10">
        <f>IF($A580="","","Фактическое получение")</f>
        <v/>
      </c>
      <c r="F580" s="10">
        <f>IF($A580="","",Ремонты!T84)</f>
        <v/>
      </c>
      <c r="G580" s="10">
        <f>IF($A580="","","Автозапись из листа Ремонты")</f>
        <v/>
      </c>
    </row>
    <row r="581">
      <c r="A581" s="12">
        <f>IF(Ремонты!P84="","",Ремонты!P84)</f>
        <v/>
      </c>
      <c r="B581" s="10">
        <f>IF($A581="","",Ремонты!A84)</f>
        <v/>
      </c>
      <c r="C581" s="10">
        <f>IF($A581="","",Ремонты!D84)</f>
        <v/>
      </c>
      <c r="D581" s="10">
        <f>IF($A581="","",Ремонты!E84)</f>
        <v/>
      </c>
      <c r="E581" s="10">
        <f>IF($A581="","","Входной контроль")</f>
        <v/>
      </c>
      <c r="F581" s="10">
        <f>IF($A581="","",Ремонты!T84)</f>
        <v/>
      </c>
      <c r="G581" s="10">
        <f>IF($A581="","","Автозапись из листа Ремонты")</f>
        <v/>
      </c>
    </row>
    <row r="582">
      <c r="A582" s="12">
        <f>IF(Ремонты!S84="","",Ремонты!S84)</f>
        <v/>
      </c>
      <c r="B582" s="10">
        <f>IF($A582="","",Ремонты!A84)</f>
        <v/>
      </c>
      <c r="C582" s="10">
        <f>IF($A582="","",Ремонты!D84)</f>
        <v/>
      </c>
      <c r="D582" s="10">
        <f>IF($A582="","",Ремонты!E84)</f>
        <v/>
      </c>
      <c r="E582" s="10">
        <f>IF($A582="","","Оплата")</f>
        <v/>
      </c>
      <c r="F582" s="10">
        <f>IF($A582="","",Ремонты!T84)</f>
        <v/>
      </c>
      <c r="G582" s="10">
        <f>IF($A582="","","Автозапись из листа Ремонты")</f>
        <v/>
      </c>
    </row>
    <row r="583">
      <c r="A583" s="12">
        <f>IF(Ремонты!G85="","",Ремонты!G85)</f>
        <v/>
      </c>
      <c r="B583" s="10">
        <f>IF($A583="","",Ремонты!A85)</f>
        <v/>
      </c>
      <c r="C583" s="10">
        <f>IF($A583="","",Ремонты!D85)</f>
        <v/>
      </c>
      <c r="D583" s="10">
        <f>IF($A583="","",Ремонты!E85)</f>
        <v/>
      </c>
      <c r="E583" s="10">
        <f>IF($A583="","","Отправка в ремонт")</f>
        <v/>
      </c>
      <c r="F583" s="10">
        <f>IF($A583="","",Ремонты!T85)</f>
        <v/>
      </c>
      <c r="G583" s="10">
        <f>IF($A583="","","Автозапись из листа Ремонты")</f>
        <v/>
      </c>
    </row>
    <row r="584">
      <c r="A584" s="12">
        <f>IF(Ремонты!I85="","",Ремонты!I85)</f>
        <v/>
      </c>
      <c r="B584" s="10">
        <f>IF($A584="","",Ремонты!A85)</f>
        <v/>
      </c>
      <c r="C584" s="10">
        <f>IF($A584="","",Ремонты!D85)</f>
        <v/>
      </c>
      <c r="D584" s="10">
        <f>IF($A584="","",Ремонты!E85)</f>
        <v/>
      </c>
      <c r="E584" s="10">
        <f>IF($A584="","","Отправка из ремонта")</f>
        <v/>
      </c>
      <c r="F584" s="10">
        <f>IF($A584="","",Ремонты!T85)</f>
        <v/>
      </c>
      <c r="G584" s="10">
        <f>IF($A584="","","Автозапись из листа Ремонты")</f>
        <v/>
      </c>
    </row>
    <row r="585">
      <c r="A585" s="12">
        <f>IF(Ремонты!J85="","",Ремонты!J85)</f>
        <v/>
      </c>
      <c r="B585" s="10">
        <f>IF($A585="","",Ремонты!A85)</f>
        <v/>
      </c>
      <c r="C585" s="10">
        <f>IF($A585="","",Ремонты!D85)</f>
        <v/>
      </c>
      <c r="D585" s="10">
        <f>IF($A585="","",Ремонты!E85)</f>
        <v/>
      </c>
      <c r="E585" s="10">
        <f>IF($A585="","","Отправка из Иркутска")</f>
        <v/>
      </c>
      <c r="F585" s="10">
        <f>IF($A585="","",Ремонты!T85)</f>
        <v/>
      </c>
      <c r="G585" s="10">
        <f>IF($A585="","","Автозапись из листа Ремонты")</f>
        <v/>
      </c>
    </row>
    <row r="586">
      <c r="A586" s="12">
        <f>IF(Ремонты!K85="","",Ремонты!K85)</f>
        <v/>
      </c>
      <c r="B586" s="10">
        <f>IF($A586="","",Ремонты!A85)</f>
        <v/>
      </c>
      <c r="C586" s="10">
        <f>IF($A586="","",Ремонты!D85)</f>
        <v/>
      </c>
      <c r="D586" s="10">
        <f>IF($A586="","",Ремонты!E85)</f>
        <v/>
      </c>
      <c r="E586" s="10">
        <f>IF($A586="","","Прибытие в Ленск")</f>
        <v/>
      </c>
      <c r="F586" s="10">
        <f>IF($A586="","",Ремонты!T85)</f>
        <v/>
      </c>
      <c r="G586" s="10">
        <f>IF($A586="","","Автозапись из листа Ремонты")</f>
        <v/>
      </c>
    </row>
    <row r="587">
      <c r="A587" s="12">
        <f>IF(Ремонты!M85="","",Ремонты!M85)</f>
        <v/>
      </c>
      <c r="B587" s="10">
        <f>IF($A587="","",Ремонты!A85)</f>
        <v/>
      </c>
      <c r="C587" s="10">
        <f>IF($A587="","",Ремонты!D85)</f>
        <v/>
      </c>
      <c r="D587" s="10">
        <f>IF($A587="","",Ремонты!E85)</f>
        <v/>
      </c>
      <c r="E587" s="10">
        <f>IF($A587="","","Фактическое получение")</f>
        <v/>
      </c>
      <c r="F587" s="10">
        <f>IF($A587="","",Ремонты!T85)</f>
        <v/>
      </c>
      <c r="G587" s="10">
        <f>IF($A587="","","Автозапись из листа Ремонты")</f>
        <v/>
      </c>
    </row>
    <row r="588">
      <c r="A588" s="12">
        <f>IF(Ремонты!P85="","",Ремонты!P85)</f>
        <v/>
      </c>
      <c r="B588" s="10">
        <f>IF($A588="","",Ремонты!A85)</f>
        <v/>
      </c>
      <c r="C588" s="10">
        <f>IF($A588="","",Ремонты!D85)</f>
        <v/>
      </c>
      <c r="D588" s="10">
        <f>IF($A588="","",Ремонты!E85)</f>
        <v/>
      </c>
      <c r="E588" s="10">
        <f>IF($A588="","","Входной контроль")</f>
        <v/>
      </c>
      <c r="F588" s="10">
        <f>IF($A588="","",Ремонты!T85)</f>
        <v/>
      </c>
      <c r="G588" s="10">
        <f>IF($A588="","","Автозапись из листа Ремонты")</f>
        <v/>
      </c>
    </row>
    <row r="589">
      <c r="A589" s="12">
        <f>IF(Ремонты!S85="","",Ремонты!S85)</f>
        <v/>
      </c>
      <c r="B589" s="10">
        <f>IF($A589="","",Ремонты!A85)</f>
        <v/>
      </c>
      <c r="C589" s="10">
        <f>IF($A589="","",Ремонты!D85)</f>
        <v/>
      </c>
      <c r="D589" s="10">
        <f>IF($A589="","",Ремонты!E85)</f>
        <v/>
      </c>
      <c r="E589" s="10">
        <f>IF($A589="","","Оплата")</f>
        <v/>
      </c>
      <c r="F589" s="10">
        <f>IF($A589="","",Ремонты!T85)</f>
        <v/>
      </c>
      <c r="G589" s="10">
        <f>IF($A589="","","Автозапись из листа Ремонты")</f>
        <v/>
      </c>
    </row>
    <row r="590">
      <c r="A590" s="12">
        <f>IF(Ремонты!G86="","",Ремонты!G86)</f>
        <v/>
      </c>
      <c r="B590" s="10">
        <f>IF($A590="","",Ремонты!A86)</f>
        <v/>
      </c>
      <c r="C590" s="10">
        <f>IF($A590="","",Ремонты!D86)</f>
        <v/>
      </c>
      <c r="D590" s="10">
        <f>IF($A590="","",Ремонты!E86)</f>
        <v/>
      </c>
      <c r="E590" s="10">
        <f>IF($A590="","","Отправка в ремонт")</f>
        <v/>
      </c>
      <c r="F590" s="10">
        <f>IF($A590="","",Ремонты!T86)</f>
        <v/>
      </c>
      <c r="G590" s="10">
        <f>IF($A590="","","Автозапись из листа Ремонты")</f>
        <v/>
      </c>
    </row>
    <row r="591">
      <c r="A591" s="12">
        <f>IF(Ремонты!I86="","",Ремонты!I86)</f>
        <v/>
      </c>
      <c r="B591" s="10">
        <f>IF($A591="","",Ремонты!A86)</f>
        <v/>
      </c>
      <c r="C591" s="10">
        <f>IF($A591="","",Ремонты!D86)</f>
        <v/>
      </c>
      <c r="D591" s="10">
        <f>IF($A591="","",Ремонты!E86)</f>
        <v/>
      </c>
      <c r="E591" s="10">
        <f>IF($A591="","","Отправка из ремонта")</f>
        <v/>
      </c>
      <c r="F591" s="10">
        <f>IF($A591="","",Ремонты!T86)</f>
        <v/>
      </c>
      <c r="G591" s="10">
        <f>IF($A591="","","Автозапись из листа Ремонты")</f>
        <v/>
      </c>
    </row>
    <row r="592">
      <c r="A592" s="12">
        <f>IF(Ремонты!J86="","",Ремонты!J86)</f>
        <v/>
      </c>
      <c r="B592" s="10">
        <f>IF($A592="","",Ремонты!A86)</f>
        <v/>
      </c>
      <c r="C592" s="10">
        <f>IF($A592="","",Ремонты!D86)</f>
        <v/>
      </c>
      <c r="D592" s="10">
        <f>IF($A592="","",Ремонты!E86)</f>
        <v/>
      </c>
      <c r="E592" s="10">
        <f>IF($A592="","","Отправка из Иркутска")</f>
        <v/>
      </c>
      <c r="F592" s="10">
        <f>IF($A592="","",Ремонты!T86)</f>
        <v/>
      </c>
      <c r="G592" s="10">
        <f>IF($A592="","","Автозапись из листа Ремонты")</f>
        <v/>
      </c>
    </row>
    <row r="593">
      <c r="A593" s="12">
        <f>IF(Ремонты!K86="","",Ремонты!K86)</f>
        <v/>
      </c>
      <c r="B593" s="10">
        <f>IF($A593="","",Ремонты!A86)</f>
        <v/>
      </c>
      <c r="C593" s="10">
        <f>IF($A593="","",Ремонты!D86)</f>
        <v/>
      </c>
      <c r="D593" s="10">
        <f>IF($A593="","",Ремонты!E86)</f>
        <v/>
      </c>
      <c r="E593" s="10">
        <f>IF($A593="","","Прибытие в Ленск")</f>
        <v/>
      </c>
      <c r="F593" s="10">
        <f>IF($A593="","",Ремонты!T86)</f>
        <v/>
      </c>
      <c r="G593" s="10">
        <f>IF($A593="","","Автозапись из листа Ремонты")</f>
        <v/>
      </c>
    </row>
    <row r="594">
      <c r="A594" s="12">
        <f>IF(Ремонты!M86="","",Ремонты!M86)</f>
        <v/>
      </c>
      <c r="B594" s="10">
        <f>IF($A594="","",Ремонты!A86)</f>
        <v/>
      </c>
      <c r="C594" s="10">
        <f>IF($A594="","",Ремонты!D86)</f>
        <v/>
      </c>
      <c r="D594" s="10">
        <f>IF($A594="","",Ремонты!E86)</f>
        <v/>
      </c>
      <c r="E594" s="10">
        <f>IF($A594="","","Фактическое получение")</f>
        <v/>
      </c>
      <c r="F594" s="10">
        <f>IF($A594="","",Ремонты!T86)</f>
        <v/>
      </c>
      <c r="G594" s="10">
        <f>IF($A594="","","Автозапись из листа Ремонты")</f>
        <v/>
      </c>
    </row>
    <row r="595">
      <c r="A595" s="12">
        <f>IF(Ремонты!P86="","",Ремонты!P86)</f>
        <v/>
      </c>
      <c r="B595" s="10">
        <f>IF($A595="","",Ремонты!A86)</f>
        <v/>
      </c>
      <c r="C595" s="10">
        <f>IF($A595="","",Ремонты!D86)</f>
        <v/>
      </c>
      <c r="D595" s="10">
        <f>IF($A595="","",Ремонты!E86)</f>
        <v/>
      </c>
      <c r="E595" s="10">
        <f>IF($A595="","","Входной контроль")</f>
        <v/>
      </c>
      <c r="F595" s="10">
        <f>IF($A595="","",Ремонты!T86)</f>
        <v/>
      </c>
      <c r="G595" s="10">
        <f>IF($A595="","","Автозапись из листа Ремонты")</f>
        <v/>
      </c>
    </row>
    <row r="596">
      <c r="A596" s="12">
        <f>IF(Ремонты!S86="","",Ремонты!S86)</f>
        <v/>
      </c>
      <c r="B596" s="10">
        <f>IF($A596="","",Ремонты!A86)</f>
        <v/>
      </c>
      <c r="C596" s="10">
        <f>IF($A596="","",Ремонты!D86)</f>
        <v/>
      </c>
      <c r="D596" s="10">
        <f>IF($A596="","",Ремонты!E86)</f>
        <v/>
      </c>
      <c r="E596" s="10">
        <f>IF($A596="","","Оплата")</f>
        <v/>
      </c>
      <c r="F596" s="10">
        <f>IF($A596="","",Ремонты!T86)</f>
        <v/>
      </c>
      <c r="G596" s="10">
        <f>IF($A596="","","Автозапись из листа Ремонты")</f>
        <v/>
      </c>
    </row>
    <row r="597">
      <c r="A597" s="12">
        <f>IF(Ремонты!G87="","",Ремонты!G87)</f>
        <v/>
      </c>
      <c r="B597" s="10">
        <f>IF($A597="","",Ремонты!A87)</f>
        <v/>
      </c>
      <c r="C597" s="10">
        <f>IF($A597="","",Ремонты!D87)</f>
        <v/>
      </c>
      <c r="D597" s="10">
        <f>IF($A597="","",Ремонты!E87)</f>
        <v/>
      </c>
      <c r="E597" s="10">
        <f>IF($A597="","","Отправка в ремонт")</f>
        <v/>
      </c>
      <c r="F597" s="10">
        <f>IF($A597="","",Ремонты!T87)</f>
        <v/>
      </c>
      <c r="G597" s="10">
        <f>IF($A597="","","Автозапись из листа Ремонты")</f>
        <v/>
      </c>
    </row>
    <row r="598">
      <c r="A598" s="12">
        <f>IF(Ремонты!I87="","",Ремонты!I87)</f>
        <v/>
      </c>
      <c r="B598" s="10">
        <f>IF($A598="","",Ремонты!A87)</f>
        <v/>
      </c>
      <c r="C598" s="10">
        <f>IF($A598="","",Ремонты!D87)</f>
        <v/>
      </c>
      <c r="D598" s="10">
        <f>IF($A598="","",Ремонты!E87)</f>
        <v/>
      </c>
      <c r="E598" s="10">
        <f>IF($A598="","","Отправка из ремонта")</f>
        <v/>
      </c>
      <c r="F598" s="10">
        <f>IF($A598="","",Ремонты!T87)</f>
        <v/>
      </c>
      <c r="G598" s="10">
        <f>IF($A598="","","Автозапись из листа Ремонты")</f>
        <v/>
      </c>
    </row>
    <row r="599">
      <c r="A599" s="12">
        <f>IF(Ремонты!J87="","",Ремонты!J87)</f>
        <v/>
      </c>
      <c r="B599" s="10">
        <f>IF($A599="","",Ремонты!A87)</f>
        <v/>
      </c>
      <c r="C599" s="10">
        <f>IF($A599="","",Ремонты!D87)</f>
        <v/>
      </c>
      <c r="D599" s="10">
        <f>IF($A599="","",Ремонты!E87)</f>
        <v/>
      </c>
      <c r="E599" s="10">
        <f>IF($A599="","","Отправка из Иркутска")</f>
        <v/>
      </c>
      <c r="F599" s="10">
        <f>IF($A599="","",Ремонты!T87)</f>
        <v/>
      </c>
      <c r="G599" s="10">
        <f>IF($A599="","","Автозапись из листа Ремонты")</f>
        <v/>
      </c>
    </row>
    <row r="600">
      <c r="A600" s="12">
        <f>IF(Ремонты!K87="","",Ремонты!K87)</f>
        <v/>
      </c>
      <c r="B600" s="10">
        <f>IF($A600="","",Ремонты!A87)</f>
        <v/>
      </c>
      <c r="C600" s="10">
        <f>IF($A600="","",Ремонты!D87)</f>
        <v/>
      </c>
      <c r="D600" s="10">
        <f>IF($A600="","",Ремонты!E87)</f>
        <v/>
      </c>
      <c r="E600" s="10">
        <f>IF($A600="","","Прибытие в Ленск")</f>
        <v/>
      </c>
      <c r="F600" s="10">
        <f>IF($A600="","",Ремонты!T87)</f>
        <v/>
      </c>
      <c r="G600" s="10">
        <f>IF($A600="","","Автозапись из листа Ремонты")</f>
        <v/>
      </c>
    </row>
    <row r="601">
      <c r="A601" s="12">
        <f>IF(Ремонты!M87="","",Ремонты!M87)</f>
        <v/>
      </c>
      <c r="B601" s="10">
        <f>IF($A601="","",Ремонты!A87)</f>
        <v/>
      </c>
      <c r="C601" s="10">
        <f>IF($A601="","",Ремонты!D87)</f>
        <v/>
      </c>
      <c r="D601" s="10">
        <f>IF($A601="","",Ремонты!E87)</f>
        <v/>
      </c>
      <c r="E601" s="10">
        <f>IF($A601="","","Фактическое получение")</f>
        <v/>
      </c>
      <c r="F601" s="10">
        <f>IF($A601="","",Ремонты!T87)</f>
        <v/>
      </c>
      <c r="G601" s="10">
        <f>IF($A601="","","Автозапись из листа Ремонты")</f>
        <v/>
      </c>
    </row>
    <row r="602">
      <c r="A602" s="12">
        <f>IF(Ремонты!P87="","",Ремонты!P87)</f>
        <v/>
      </c>
      <c r="B602" s="10">
        <f>IF($A602="","",Ремонты!A87)</f>
        <v/>
      </c>
      <c r="C602" s="10">
        <f>IF($A602="","",Ремонты!D87)</f>
        <v/>
      </c>
      <c r="D602" s="10">
        <f>IF($A602="","",Ремонты!E87)</f>
        <v/>
      </c>
      <c r="E602" s="10">
        <f>IF($A602="","","Входной контроль")</f>
        <v/>
      </c>
      <c r="F602" s="10">
        <f>IF($A602="","",Ремонты!T87)</f>
        <v/>
      </c>
      <c r="G602" s="10">
        <f>IF($A602="","","Автозапись из листа Ремонты")</f>
        <v/>
      </c>
    </row>
    <row r="603">
      <c r="A603" s="12">
        <f>IF(Ремонты!S87="","",Ремонты!S87)</f>
        <v/>
      </c>
      <c r="B603" s="10">
        <f>IF($A603="","",Ремонты!A87)</f>
        <v/>
      </c>
      <c r="C603" s="10">
        <f>IF($A603="","",Ремонты!D87)</f>
        <v/>
      </c>
      <c r="D603" s="10">
        <f>IF($A603="","",Ремонты!E87)</f>
        <v/>
      </c>
      <c r="E603" s="10">
        <f>IF($A603="","","Оплата")</f>
        <v/>
      </c>
      <c r="F603" s="10">
        <f>IF($A603="","",Ремонты!T87)</f>
        <v/>
      </c>
      <c r="G603" s="10">
        <f>IF($A603="","","Автозапись из листа Ремонты")</f>
        <v/>
      </c>
    </row>
    <row r="604">
      <c r="A604" s="12">
        <f>IF(Ремонты!G88="","",Ремонты!G88)</f>
        <v/>
      </c>
      <c r="B604" s="10">
        <f>IF($A604="","",Ремонты!A88)</f>
        <v/>
      </c>
      <c r="C604" s="10">
        <f>IF($A604="","",Ремонты!D88)</f>
        <v/>
      </c>
      <c r="D604" s="10">
        <f>IF($A604="","",Ремонты!E88)</f>
        <v/>
      </c>
      <c r="E604" s="10">
        <f>IF($A604="","","Отправка в ремонт")</f>
        <v/>
      </c>
      <c r="F604" s="10">
        <f>IF($A604="","",Ремонты!T88)</f>
        <v/>
      </c>
      <c r="G604" s="10">
        <f>IF($A604="","","Автозапись из листа Ремонты")</f>
        <v/>
      </c>
    </row>
    <row r="605">
      <c r="A605" s="12">
        <f>IF(Ремонты!I88="","",Ремонты!I88)</f>
        <v/>
      </c>
      <c r="B605" s="10">
        <f>IF($A605="","",Ремонты!A88)</f>
        <v/>
      </c>
      <c r="C605" s="10">
        <f>IF($A605="","",Ремонты!D88)</f>
        <v/>
      </c>
      <c r="D605" s="10">
        <f>IF($A605="","",Ремонты!E88)</f>
        <v/>
      </c>
      <c r="E605" s="10">
        <f>IF($A605="","","Отправка из ремонта")</f>
        <v/>
      </c>
      <c r="F605" s="10">
        <f>IF($A605="","",Ремонты!T88)</f>
        <v/>
      </c>
      <c r="G605" s="10">
        <f>IF($A605="","","Автозапись из листа Ремонты")</f>
        <v/>
      </c>
    </row>
    <row r="606">
      <c r="A606" s="12">
        <f>IF(Ремонты!J88="","",Ремонты!J88)</f>
        <v/>
      </c>
      <c r="B606" s="10">
        <f>IF($A606="","",Ремонты!A88)</f>
        <v/>
      </c>
      <c r="C606" s="10">
        <f>IF($A606="","",Ремонты!D88)</f>
        <v/>
      </c>
      <c r="D606" s="10">
        <f>IF($A606="","",Ремонты!E88)</f>
        <v/>
      </c>
      <c r="E606" s="10">
        <f>IF($A606="","","Отправка из Иркутска")</f>
        <v/>
      </c>
      <c r="F606" s="10">
        <f>IF($A606="","",Ремонты!T88)</f>
        <v/>
      </c>
      <c r="G606" s="10">
        <f>IF($A606="","","Автозапись из листа Ремонты")</f>
        <v/>
      </c>
    </row>
    <row r="607">
      <c r="A607" s="12">
        <f>IF(Ремонты!K88="","",Ремонты!K88)</f>
        <v/>
      </c>
      <c r="B607" s="10">
        <f>IF($A607="","",Ремонты!A88)</f>
        <v/>
      </c>
      <c r="C607" s="10">
        <f>IF($A607="","",Ремонты!D88)</f>
        <v/>
      </c>
      <c r="D607" s="10">
        <f>IF($A607="","",Ремонты!E88)</f>
        <v/>
      </c>
      <c r="E607" s="10">
        <f>IF($A607="","","Прибытие в Ленск")</f>
        <v/>
      </c>
      <c r="F607" s="10">
        <f>IF($A607="","",Ремонты!T88)</f>
        <v/>
      </c>
      <c r="G607" s="10">
        <f>IF($A607="","","Автозапись из листа Ремонты")</f>
        <v/>
      </c>
    </row>
    <row r="608">
      <c r="A608" s="12">
        <f>IF(Ремонты!M88="","",Ремонты!M88)</f>
        <v/>
      </c>
      <c r="B608" s="10">
        <f>IF($A608="","",Ремонты!A88)</f>
        <v/>
      </c>
      <c r="C608" s="10">
        <f>IF($A608="","",Ремонты!D88)</f>
        <v/>
      </c>
      <c r="D608" s="10">
        <f>IF($A608="","",Ремонты!E88)</f>
        <v/>
      </c>
      <c r="E608" s="10">
        <f>IF($A608="","","Фактическое получение")</f>
        <v/>
      </c>
      <c r="F608" s="10">
        <f>IF($A608="","",Ремонты!T88)</f>
        <v/>
      </c>
      <c r="G608" s="10">
        <f>IF($A608="","","Автозапись из листа Ремонты")</f>
        <v/>
      </c>
    </row>
    <row r="609">
      <c r="A609" s="12">
        <f>IF(Ремонты!P88="","",Ремонты!P88)</f>
        <v/>
      </c>
      <c r="B609" s="10">
        <f>IF($A609="","",Ремонты!A88)</f>
        <v/>
      </c>
      <c r="C609" s="10">
        <f>IF($A609="","",Ремонты!D88)</f>
        <v/>
      </c>
      <c r="D609" s="10">
        <f>IF($A609="","",Ремонты!E88)</f>
        <v/>
      </c>
      <c r="E609" s="10">
        <f>IF($A609="","","Входной контроль")</f>
        <v/>
      </c>
      <c r="F609" s="10">
        <f>IF($A609="","",Ремонты!T88)</f>
        <v/>
      </c>
      <c r="G609" s="10">
        <f>IF($A609="","","Автозапись из листа Ремонты")</f>
        <v/>
      </c>
    </row>
    <row r="610">
      <c r="A610" s="12">
        <f>IF(Ремонты!S88="","",Ремонты!S88)</f>
        <v/>
      </c>
      <c r="B610" s="10">
        <f>IF($A610="","",Ремонты!A88)</f>
        <v/>
      </c>
      <c r="C610" s="10">
        <f>IF($A610="","",Ремонты!D88)</f>
        <v/>
      </c>
      <c r="D610" s="10">
        <f>IF($A610="","",Ремонты!E88)</f>
        <v/>
      </c>
      <c r="E610" s="10">
        <f>IF($A610="","","Оплата")</f>
        <v/>
      </c>
      <c r="F610" s="10">
        <f>IF($A610="","",Ремонты!T88)</f>
        <v/>
      </c>
      <c r="G610" s="10">
        <f>IF($A610="","","Автозапись из листа Ремонты")</f>
        <v/>
      </c>
    </row>
    <row r="611">
      <c r="A611" s="12">
        <f>IF(Ремонты!G89="","",Ремонты!G89)</f>
        <v/>
      </c>
      <c r="B611" s="10">
        <f>IF($A611="","",Ремонты!A89)</f>
        <v/>
      </c>
      <c r="C611" s="10">
        <f>IF($A611="","",Ремонты!D89)</f>
        <v/>
      </c>
      <c r="D611" s="10">
        <f>IF($A611="","",Ремонты!E89)</f>
        <v/>
      </c>
      <c r="E611" s="10">
        <f>IF($A611="","","Отправка в ремонт")</f>
        <v/>
      </c>
      <c r="F611" s="10">
        <f>IF($A611="","",Ремонты!T89)</f>
        <v/>
      </c>
      <c r="G611" s="10">
        <f>IF($A611="","","Автозапись из листа Ремонты")</f>
        <v/>
      </c>
    </row>
    <row r="612">
      <c r="A612" s="12">
        <f>IF(Ремонты!I89="","",Ремонты!I89)</f>
        <v/>
      </c>
      <c r="B612" s="10">
        <f>IF($A612="","",Ремонты!A89)</f>
        <v/>
      </c>
      <c r="C612" s="10">
        <f>IF($A612="","",Ремонты!D89)</f>
        <v/>
      </c>
      <c r="D612" s="10">
        <f>IF($A612="","",Ремонты!E89)</f>
        <v/>
      </c>
      <c r="E612" s="10">
        <f>IF($A612="","","Отправка из ремонта")</f>
        <v/>
      </c>
      <c r="F612" s="10">
        <f>IF($A612="","",Ремонты!T89)</f>
        <v/>
      </c>
      <c r="G612" s="10">
        <f>IF($A612="","","Автозапись из листа Ремонты")</f>
        <v/>
      </c>
    </row>
    <row r="613">
      <c r="A613" s="12">
        <f>IF(Ремонты!J89="","",Ремонты!J89)</f>
        <v/>
      </c>
      <c r="B613" s="10">
        <f>IF($A613="","",Ремонты!A89)</f>
        <v/>
      </c>
      <c r="C613" s="10">
        <f>IF($A613="","",Ремонты!D89)</f>
        <v/>
      </c>
      <c r="D613" s="10">
        <f>IF($A613="","",Ремонты!E89)</f>
        <v/>
      </c>
      <c r="E613" s="10">
        <f>IF($A613="","","Отправка из Иркутска")</f>
        <v/>
      </c>
      <c r="F613" s="10">
        <f>IF($A613="","",Ремонты!T89)</f>
        <v/>
      </c>
      <c r="G613" s="10">
        <f>IF($A613="","","Автозапись из листа Ремонты")</f>
        <v/>
      </c>
    </row>
    <row r="614">
      <c r="A614" s="12">
        <f>IF(Ремонты!K89="","",Ремонты!K89)</f>
        <v/>
      </c>
      <c r="B614" s="10">
        <f>IF($A614="","",Ремонты!A89)</f>
        <v/>
      </c>
      <c r="C614" s="10">
        <f>IF($A614="","",Ремонты!D89)</f>
        <v/>
      </c>
      <c r="D614" s="10">
        <f>IF($A614="","",Ремонты!E89)</f>
        <v/>
      </c>
      <c r="E614" s="10">
        <f>IF($A614="","","Прибытие в Ленск")</f>
        <v/>
      </c>
      <c r="F614" s="10">
        <f>IF($A614="","",Ремонты!T89)</f>
        <v/>
      </c>
      <c r="G614" s="10">
        <f>IF($A614="","","Автозапись из листа Ремонты")</f>
        <v/>
      </c>
    </row>
    <row r="615">
      <c r="A615" s="12">
        <f>IF(Ремонты!M89="","",Ремонты!M89)</f>
        <v/>
      </c>
      <c r="B615" s="10">
        <f>IF($A615="","",Ремонты!A89)</f>
        <v/>
      </c>
      <c r="C615" s="10">
        <f>IF($A615="","",Ремонты!D89)</f>
        <v/>
      </c>
      <c r="D615" s="10">
        <f>IF($A615="","",Ремонты!E89)</f>
        <v/>
      </c>
      <c r="E615" s="10">
        <f>IF($A615="","","Фактическое получение")</f>
        <v/>
      </c>
      <c r="F615" s="10">
        <f>IF($A615="","",Ремонты!T89)</f>
        <v/>
      </c>
      <c r="G615" s="10">
        <f>IF($A615="","","Автозапись из листа Ремонты")</f>
        <v/>
      </c>
    </row>
    <row r="616">
      <c r="A616" s="12">
        <f>IF(Ремонты!P89="","",Ремонты!P89)</f>
        <v/>
      </c>
      <c r="B616" s="10">
        <f>IF($A616="","",Ремонты!A89)</f>
        <v/>
      </c>
      <c r="C616" s="10">
        <f>IF($A616="","",Ремонты!D89)</f>
        <v/>
      </c>
      <c r="D616" s="10">
        <f>IF($A616="","",Ремонты!E89)</f>
        <v/>
      </c>
      <c r="E616" s="10">
        <f>IF($A616="","","Входной контроль")</f>
        <v/>
      </c>
      <c r="F616" s="10">
        <f>IF($A616="","",Ремонты!T89)</f>
        <v/>
      </c>
      <c r="G616" s="10">
        <f>IF($A616="","","Автозапись из листа Ремонты")</f>
        <v/>
      </c>
    </row>
    <row r="617">
      <c r="A617" s="12">
        <f>IF(Ремонты!S89="","",Ремонты!S89)</f>
        <v/>
      </c>
      <c r="B617" s="10">
        <f>IF($A617="","",Ремонты!A89)</f>
        <v/>
      </c>
      <c r="C617" s="10">
        <f>IF($A617="","",Ремонты!D89)</f>
        <v/>
      </c>
      <c r="D617" s="10">
        <f>IF($A617="","",Ремонты!E89)</f>
        <v/>
      </c>
      <c r="E617" s="10">
        <f>IF($A617="","","Оплата")</f>
        <v/>
      </c>
      <c r="F617" s="10">
        <f>IF($A617="","",Ремонты!T89)</f>
        <v/>
      </c>
      <c r="G617" s="10">
        <f>IF($A617="","","Автозапись из листа Ремонты")</f>
        <v/>
      </c>
    </row>
    <row r="618">
      <c r="A618" s="12">
        <f>IF(Ремонты!G90="","",Ремонты!G90)</f>
        <v/>
      </c>
      <c r="B618" s="10">
        <f>IF($A618="","",Ремонты!A90)</f>
        <v/>
      </c>
      <c r="C618" s="10">
        <f>IF($A618="","",Ремонты!D90)</f>
        <v/>
      </c>
      <c r="D618" s="10">
        <f>IF($A618="","",Ремонты!E90)</f>
        <v/>
      </c>
      <c r="E618" s="10">
        <f>IF($A618="","","Отправка в ремонт")</f>
        <v/>
      </c>
      <c r="F618" s="10">
        <f>IF($A618="","",Ремонты!T90)</f>
        <v/>
      </c>
      <c r="G618" s="10">
        <f>IF($A618="","","Автозапись из листа Ремонты")</f>
        <v/>
      </c>
    </row>
    <row r="619">
      <c r="A619" s="12">
        <f>IF(Ремонты!I90="","",Ремонты!I90)</f>
        <v/>
      </c>
      <c r="B619" s="10">
        <f>IF($A619="","",Ремонты!A90)</f>
        <v/>
      </c>
      <c r="C619" s="10">
        <f>IF($A619="","",Ремонты!D90)</f>
        <v/>
      </c>
      <c r="D619" s="10">
        <f>IF($A619="","",Ремонты!E90)</f>
        <v/>
      </c>
      <c r="E619" s="10">
        <f>IF($A619="","","Отправка из ремонта")</f>
        <v/>
      </c>
      <c r="F619" s="10">
        <f>IF($A619="","",Ремонты!T90)</f>
        <v/>
      </c>
      <c r="G619" s="10">
        <f>IF($A619="","","Автозапись из листа Ремонты")</f>
        <v/>
      </c>
    </row>
    <row r="620">
      <c r="A620" s="12">
        <f>IF(Ремонты!J90="","",Ремонты!J90)</f>
        <v/>
      </c>
      <c r="B620" s="10">
        <f>IF($A620="","",Ремонты!A90)</f>
        <v/>
      </c>
      <c r="C620" s="10">
        <f>IF($A620="","",Ремонты!D90)</f>
        <v/>
      </c>
      <c r="D620" s="10">
        <f>IF($A620="","",Ремонты!E90)</f>
        <v/>
      </c>
      <c r="E620" s="10">
        <f>IF($A620="","","Отправка из Иркутска")</f>
        <v/>
      </c>
      <c r="F620" s="10">
        <f>IF($A620="","",Ремонты!T90)</f>
        <v/>
      </c>
      <c r="G620" s="10">
        <f>IF($A620="","","Автозапись из листа Ремонты")</f>
        <v/>
      </c>
    </row>
    <row r="621">
      <c r="A621" s="12">
        <f>IF(Ремонты!K90="","",Ремонты!K90)</f>
        <v/>
      </c>
      <c r="B621" s="10">
        <f>IF($A621="","",Ремонты!A90)</f>
        <v/>
      </c>
      <c r="C621" s="10">
        <f>IF($A621="","",Ремонты!D90)</f>
        <v/>
      </c>
      <c r="D621" s="10">
        <f>IF($A621="","",Ремонты!E90)</f>
        <v/>
      </c>
      <c r="E621" s="10">
        <f>IF($A621="","","Прибытие в Ленск")</f>
        <v/>
      </c>
      <c r="F621" s="10">
        <f>IF($A621="","",Ремонты!T90)</f>
        <v/>
      </c>
      <c r="G621" s="10">
        <f>IF($A621="","","Автозапись из листа Ремонты")</f>
        <v/>
      </c>
    </row>
    <row r="622">
      <c r="A622" s="12">
        <f>IF(Ремонты!M90="","",Ремонты!M90)</f>
        <v/>
      </c>
      <c r="B622" s="10">
        <f>IF($A622="","",Ремонты!A90)</f>
        <v/>
      </c>
      <c r="C622" s="10">
        <f>IF($A622="","",Ремонты!D90)</f>
        <v/>
      </c>
      <c r="D622" s="10">
        <f>IF($A622="","",Ремонты!E90)</f>
        <v/>
      </c>
      <c r="E622" s="10">
        <f>IF($A622="","","Фактическое получение")</f>
        <v/>
      </c>
      <c r="F622" s="10">
        <f>IF($A622="","",Ремонты!T90)</f>
        <v/>
      </c>
      <c r="G622" s="10">
        <f>IF($A622="","","Автозапись из листа Ремонты")</f>
        <v/>
      </c>
    </row>
    <row r="623">
      <c r="A623" s="12">
        <f>IF(Ремонты!P90="","",Ремонты!P90)</f>
        <v/>
      </c>
      <c r="B623" s="10">
        <f>IF($A623="","",Ремонты!A90)</f>
        <v/>
      </c>
      <c r="C623" s="10">
        <f>IF($A623="","",Ремонты!D90)</f>
        <v/>
      </c>
      <c r="D623" s="10">
        <f>IF($A623="","",Ремонты!E90)</f>
        <v/>
      </c>
      <c r="E623" s="10">
        <f>IF($A623="","","Входной контроль")</f>
        <v/>
      </c>
      <c r="F623" s="10">
        <f>IF($A623="","",Ремонты!T90)</f>
        <v/>
      </c>
      <c r="G623" s="10">
        <f>IF($A623="","","Автозапись из листа Ремонты")</f>
        <v/>
      </c>
    </row>
    <row r="624">
      <c r="A624" s="12">
        <f>IF(Ремонты!S90="","",Ремонты!S90)</f>
        <v/>
      </c>
      <c r="B624" s="10">
        <f>IF($A624="","",Ремонты!A90)</f>
        <v/>
      </c>
      <c r="C624" s="10">
        <f>IF($A624="","",Ремонты!D90)</f>
        <v/>
      </c>
      <c r="D624" s="10">
        <f>IF($A624="","",Ремонты!E90)</f>
        <v/>
      </c>
      <c r="E624" s="10">
        <f>IF($A624="","","Оплата")</f>
        <v/>
      </c>
      <c r="F624" s="10">
        <f>IF($A624="","",Ремонты!T90)</f>
        <v/>
      </c>
      <c r="G624" s="10">
        <f>IF($A624="","","Автозапись из листа Ремонты")</f>
        <v/>
      </c>
    </row>
    <row r="625">
      <c r="A625" s="12">
        <f>IF(Ремонты!G91="","",Ремонты!G91)</f>
        <v/>
      </c>
      <c r="B625" s="10">
        <f>IF($A625="","",Ремонты!A91)</f>
        <v/>
      </c>
      <c r="C625" s="10">
        <f>IF($A625="","",Ремонты!D91)</f>
        <v/>
      </c>
      <c r="D625" s="10">
        <f>IF($A625="","",Ремонты!E91)</f>
        <v/>
      </c>
      <c r="E625" s="10">
        <f>IF($A625="","","Отправка в ремонт")</f>
        <v/>
      </c>
      <c r="F625" s="10">
        <f>IF($A625="","",Ремонты!T91)</f>
        <v/>
      </c>
      <c r="G625" s="10">
        <f>IF($A625="","","Автозапись из листа Ремонты")</f>
        <v/>
      </c>
    </row>
    <row r="626">
      <c r="A626" s="12">
        <f>IF(Ремонты!I91="","",Ремонты!I91)</f>
        <v/>
      </c>
      <c r="B626" s="10">
        <f>IF($A626="","",Ремонты!A91)</f>
        <v/>
      </c>
      <c r="C626" s="10">
        <f>IF($A626="","",Ремонты!D91)</f>
        <v/>
      </c>
      <c r="D626" s="10">
        <f>IF($A626="","",Ремонты!E91)</f>
        <v/>
      </c>
      <c r="E626" s="10">
        <f>IF($A626="","","Отправка из ремонта")</f>
        <v/>
      </c>
      <c r="F626" s="10">
        <f>IF($A626="","",Ремонты!T91)</f>
        <v/>
      </c>
      <c r="G626" s="10">
        <f>IF($A626="","","Автозапись из листа Ремонты")</f>
        <v/>
      </c>
    </row>
    <row r="627">
      <c r="A627" s="12">
        <f>IF(Ремонты!J91="","",Ремонты!J91)</f>
        <v/>
      </c>
      <c r="B627" s="10">
        <f>IF($A627="","",Ремонты!A91)</f>
        <v/>
      </c>
      <c r="C627" s="10">
        <f>IF($A627="","",Ремонты!D91)</f>
        <v/>
      </c>
      <c r="D627" s="10">
        <f>IF($A627="","",Ремонты!E91)</f>
        <v/>
      </c>
      <c r="E627" s="10">
        <f>IF($A627="","","Отправка из Иркутска")</f>
        <v/>
      </c>
      <c r="F627" s="10">
        <f>IF($A627="","",Ремонты!T91)</f>
        <v/>
      </c>
      <c r="G627" s="10">
        <f>IF($A627="","","Автозапись из листа Ремонты")</f>
        <v/>
      </c>
    </row>
    <row r="628">
      <c r="A628" s="12">
        <f>IF(Ремонты!K91="","",Ремонты!K91)</f>
        <v/>
      </c>
      <c r="B628" s="10">
        <f>IF($A628="","",Ремонты!A91)</f>
        <v/>
      </c>
      <c r="C628" s="10">
        <f>IF($A628="","",Ремонты!D91)</f>
        <v/>
      </c>
      <c r="D628" s="10">
        <f>IF($A628="","",Ремонты!E91)</f>
        <v/>
      </c>
      <c r="E628" s="10">
        <f>IF($A628="","","Прибытие в Ленск")</f>
        <v/>
      </c>
      <c r="F628" s="10">
        <f>IF($A628="","",Ремонты!T91)</f>
        <v/>
      </c>
      <c r="G628" s="10">
        <f>IF($A628="","","Автозапись из листа Ремонты")</f>
        <v/>
      </c>
    </row>
    <row r="629">
      <c r="A629" s="12">
        <f>IF(Ремонты!M91="","",Ремонты!M91)</f>
        <v/>
      </c>
      <c r="B629" s="10">
        <f>IF($A629="","",Ремонты!A91)</f>
        <v/>
      </c>
      <c r="C629" s="10">
        <f>IF($A629="","",Ремонты!D91)</f>
        <v/>
      </c>
      <c r="D629" s="10">
        <f>IF($A629="","",Ремонты!E91)</f>
        <v/>
      </c>
      <c r="E629" s="10">
        <f>IF($A629="","","Фактическое получение")</f>
        <v/>
      </c>
      <c r="F629" s="10">
        <f>IF($A629="","",Ремонты!T91)</f>
        <v/>
      </c>
      <c r="G629" s="10">
        <f>IF($A629="","","Автозапись из листа Ремонты")</f>
        <v/>
      </c>
    </row>
    <row r="630">
      <c r="A630" s="12">
        <f>IF(Ремонты!P91="","",Ремонты!P91)</f>
        <v/>
      </c>
      <c r="B630" s="10">
        <f>IF($A630="","",Ремонты!A91)</f>
        <v/>
      </c>
      <c r="C630" s="10">
        <f>IF($A630="","",Ремонты!D91)</f>
        <v/>
      </c>
      <c r="D630" s="10">
        <f>IF($A630="","",Ремонты!E91)</f>
        <v/>
      </c>
      <c r="E630" s="10">
        <f>IF($A630="","","Входной контроль")</f>
        <v/>
      </c>
      <c r="F630" s="10">
        <f>IF($A630="","",Ремонты!T91)</f>
        <v/>
      </c>
      <c r="G630" s="10">
        <f>IF($A630="","","Автозапись из листа Ремонты")</f>
        <v/>
      </c>
    </row>
    <row r="631">
      <c r="A631" s="12">
        <f>IF(Ремонты!S91="","",Ремонты!S91)</f>
        <v/>
      </c>
      <c r="B631" s="10">
        <f>IF($A631="","",Ремонты!A91)</f>
        <v/>
      </c>
      <c r="C631" s="10">
        <f>IF($A631="","",Ремонты!D91)</f>
        <v/>
      </c>
      <c r="D631" s="10">
        <f>IF($A631="","",Ремонты!E91)</f>
        <v/>
      </c>
      <c r="E631" s="10">
        <f>IF($A631="","","Оплата")</f>
        <v/>
      </c>
      <c r="F631" s="10">
        <f>IF($A631="","",Ремонты!T91)</f>
        <v/>
      </c>
      <c r="G631" s="10">
        <f>IF($A631="","","Автозапись из листа Ремонты")</f>
        <v/>
      </c>
    </row>
    <row r="632">
      <c r="A632" s="12">
        <f>IF(Ремонты!G92="","",Ремонты!G92)</f>
        <v/>
      </c>
      <c r="B632" s="10">
        <f>IF($A632="","",Ремонты!A92)</f>
        <v/>
      </c>
      <c r="C632" s="10">
        <f>IF($A632="","",Ремонты!D92)</f>
        <v/>
      </c>
      <c r="D632" s="10">
        <f>IF($A632="","",Ремонты!E92)</f>
        <v/>
      </c>
      <c r="E632" s="10">
        <f>IF($A632="","","Отправка в ремонт")</f>
        <v/>
      </c>
      <c r="F632" s="10">
        <f>IF($A632="","",Ремонты!T92)</f>
        <v/>
      </c>
      <c r="G632" s="10">
        <f>IF($A632="","","Автозапись из листа Ремонты")</f>
        <v/>
      </c>
    </row>
    <row r="633">
      <c r="A633" s="12">
        <f>IF(Ремонты!I92="","",Ремонты!I92)</f>
        <v/>
      </c>
      <c r="B633" s="10">
        <f>IF($A633="","",Ремонты!A92)</f>
        <v/>
      </c>
      <c r="C633" s="10">
        <f>IF($A633="","",Ремонты!D92)</f>
        <v/>
      </c>
      <c r="D633" s="10">
        <f>IF($A633="","",Ремонты!E92)</f>
        <v/>
      </c>
      <c r="E633" s="10">
        <f>IF($A633="","","Отправка из ремонта")</f>
        <v/>
      </c>
      <c r="F633" s="10">
        <f>IF($A633="","",Ремонты!T92)</f>
        <v/>
      </c>
      <c r="G633" s="10">
        <f>IF($A633="","","Автозапись из листа Ремонты")</f>
        <v/>
      </c>
    </row>
    <row r="634">
      <c r="A634" s="12">
        <f>IF(Ремонты!J92="","",Ремонты!J92)</f>
        <v/>
      </c>
      <c r="B634" s="10">
        <f>IF($A634="","",Ремонты!A92)</f>
        <v/>
      </c>
      <c r="C634" s="10">
        <f>IF($A634="","",Ремонты!D92)</f>
        <v/>
      </c>
      <c r="D634" s="10">
        <f>IF($A634="","",Ремонты!E92)</f>
        <v/>
      </c>
      <c r="E634" s="10">
        <f>IF($A634="","","Отправка из Иркутска")</f>
        <v/>
      </c>
      <c r="F634" s="10">
        <f>IF($A634="","",Ремонты!T92)</f>
        <v/>
      </c>
      <c r="G634" s="10">
        <f>IF($A634="","","Автозапись из листа Ремонты")</f>
        <v/>
      </c>
    </row>
    <row r="635">
      <c r="A635" s="12">
        <f>IF(Ремонты!K92="","",Ремонты!K92)</f>
        <v/>
      </c>
      <c r="B635" s="10">
        <f>IF($A635="","",Ремонты!A92)</f>
        <v/>
      </c>
      <c r="C635" s="10">
        <f>IF($A635="","",Ремонты!D92)</f>
        <v/>
      </c>
      <c r="D635" s="10">
        <f>IF($A635="","",Ремонты!E92)</f>
        <v/>
      </c>
      <c r="E635" s="10">
        <f>IF($A635="","","Прибытие в Ленск")</f>
        <v/>
      </c>
      <c r="F635" s="10">
        <f>IF($A635="","",Ремонты!T92)</f>
        <v/>
      </c>
      <c r="G635" s="10">
        <f>IF($A635="","","Автозапись из листа Ремонты")</f>
        <v/>
      </c>
    </row>
    <row r="636">
      <c r="A636" s="12">
        <f>IF(Ремонты!M92="","",Ремонты!M92)</f>
        <v/>
      </c>
      <c r="B636" s="10">
        <f>IF($A636="","",Ремонты!A92)</f>
        <v/>
      </c>
      <c r="C636" s="10">
        <f>IF($A636="","",Ремонты!D92)</f>
        <v/>
      </c>
      <c r="D636" s="10">
        <f>IF($A636="","",Ремонты!E92)</f>
        <v/>
      </c>
      <c r="E636" s="10">
        <f>IF($A636="","","Фактическое получение")</f>
        <v/>
      </c>
      <c r="F636" s="10">
        <f>IF($A636="","",Ремонты!T92)</f>
        <v/>
      </c>
      <c r="G636" s="10">
        <f>IF($A636="","","Автозапись из листа Ремонты")</f>
        <v/>
      </c>
    </row>
    <row r="637">
      <c r="A637" s="12">
        <f>IF(Ремонты!P92="","",Ремонты!P92)</f>
        <v/>
      </c>
      <c r="B637" s="10">
        <f>IF($A637="","",Ремонты!A92)</f>
        <v/>
      </c>
      <c r="C637" s="10">
        <f>IF($A637="","",Ремонты!D92)</f>
        <v/>
      </c>
      <c r="D637" s="10">
        <f>IF($A637="","",Ремонты!E92)</f>
        <v/>
      </c>
      <c r="E637" s="10">
        <f>IF($A637="","","Входной контроль")</f>
        <v/>
      </c>
      <c r="F637" s="10">
        <f>IF($A637="","",Ремонты!T92)</f>
        <v/>
      </c>
      <c r="G637" s="10">
        <f>IF($A637="","","Автозапись из листа Ремонты")</f>
        <v/>
      </c>
    </row>
    <row r="638">
      <c r="A638" s="12">
        <f>IF(Ремонты!S92="","",Ремонты!S92)</f>
        <v/>
      </c>
      <c r="B638" s="10">
        <f>IF($A638="","",Ремонты!A92)</f>
        <v/>
      </c>
      <c r="C638" s="10">
        <f>IF($A638="","",Ремонты!D92)</f>
        <v/>
      </c>
      <c r="D638" s="10">
        <f>IF($A638="","",Ремонты!E92)</f>
        <v/>
      </c>
      <c r="E638" s="10">
        <f>IF($A638="","","Оплата")</f>
        <v/>
      </c>
      <c r="F638" s="10">
        <f>IF($A638="","",Ремонты!T92)</f>
        <v/>
      </c>
      <c r="G638" s="10">
        <f>IF($A638="","","Автозапись из листа Ремонты")</f>
        <v/>
      </c>
    </row>
    <row r="639">
      <c r="A639" s="12">
        <f>IF(Ремонты!G93="","",Ремонты!G93)</f>
        <v/>
      </c>
      <c r="B639" s="10">
        <f>IF($A639="","",Ремонты!A93)</f>
        <v/>
      </c>
      <c r="C639" s="10">
        <f>IF($A639="","",Ремонты!D93)</f>
        <v/>
      </c>
      <c r="D639" s="10">
        <f>IF($A639="","",Ремонты!E93)</f>
        <v/>
      </c>
      <c r="E639" s="10">
        <f>IF($A639="","","Отправка в ремонт")</f>
        <v/>
      </c>
      <c r="F639" s="10">
        <f>IF($A639="","",Ремонты!T93)</f>
        <v/>
      </c>
      <c r="G639" s="10">
        <f>IF($A639="","","Автозапись из листа Ремонты")</f>
        <v/>
      </c>
    </row>
    <row r="640">
      <c r="A640" s="12">
        <f>IF(Ремонты!I93="","",Ремонты!I93)</f>
        <v/>
      </c>
      <c r="B640" s="10">
        <f>IF($A640="","",Ремонты!A93)</f>
        <v/>
      </c>
      <c r="C640" s="10">
        <f>IF($A640="","",Ремонты!D93)</f>
        <v/>
      </c>
      <c r="D640" s="10">
        <f>IF($A640="","",Ремонты!E93)</f>
        <v/>
      </c>
      <c r="E640" s="10">
        <f>IF($A640="","","Отправка из ремонта")</f>
        <v/>
      </c>
      <c r="F640" s="10">
        <f>IF($A640="","",Ремонты!T93)</f>
        <v/>
      </c>
      <c r="G640" s="10">
        <f>IF($A640="","","Автозапись из листа Ремонты")</f>
        <v/>
      </c>
    </row>
    <row r="641">
      <c r="A641" s="12">
        <f>IF(Ремонты!J93="","",Ремонты!J93)</f>
        <v/>
      </c>
      <c r="B641" s="10">
        <f>IF($A641="","",Ремонты!A93)</f>
        <v/>
      </c>
      <c r="C641" s="10">
        <f>IF($A641="","",Ремонты!D93)</f>
        <v/>
      </c>
      <c r="D641" s="10">
        <f>IF($A641="","",Ремонты!E93)</f>
        <v/>
      </c>
      <c r="E641" s="10">
        <f>IF($A641="","","Отправка из Иркутска")</f>
        <v/>
      </c>
      <c r="F641" s="10">
        <f>IF($A641="","",Ремонты!T93)</f>
        <v/>
      </c>
      <c r="G641" s="10">
        <f>IF($A641="","","Автозапись из листа Ремонты")</f>
        <v/>
      </c>
    </row>
    <row r="642">
      <c r="A642" s="12">
        <f>IF(Ремонты!K93="","",Ремонты!K93)</f>
        <v/>
      </c>
      <c r="B642" s="10">
        <f>IF($A642="","",Ремонты!A93)</f>
        <v/>
      </c>
      <c r="C642" s="10">
        <f>IF($A642="","",Ремонты!D93)</f>
        <v/>
      </c>
      <c r="D642" s="10">
        <f>IF($A642="","",Ремонты!E93)</f>
        <v/>
      </c>
      <c r="E642" s="10">
        <f>IF($A642="","","Прибытие в Ленск")</f>
        <v/>
      </c>
      <c r="F642" s="10">
        <f>IF($A642="","",Ремонты!T93)</f>
        <v/>
      </c>
      <c r="G642" s="10">
        <f>IF($A642="","","Автозапись из листа Ремонты")</f>
        <v/>
      </c>
    </row>
    <row r="643">
      <c r="A643" s="12">
        <f>IF(Ремонты!M93="","",Ремонты!M93)</f>
        <v/>
      </c>
      <c r="B643" s="10">
        <f>IF($A643="","",Ремонты!A93)</f>
        <v/>
      </c>
      <c r="C643" s="10">
        <f>IF($A643="","",Ремонты!D93)</f>
        <v/>
      </c>
      <c r="D643" s="10">
        <f>IF($A643="","",Ремонты!E93)</f>
        <v/>
      </c>
      <c r="E643" s="10">
        <f>IF($A643="","","Фактическое получение")</f>
        <v/>
      </c>
      <c r="F643" s="10">
        <f>IF($A643="","",Ремонты!T93)</f>
        <v/>
      </c>
      <c r="G643" s="10">
        <f>IF($A643="","","Автозапись из листа Ремонты")</f>
        <v/>
      </c>
    </row>
    <row r="644">
      <c r="A644" s="12">
        <f>IF(Ремонты!P93="","",Ремонты!P93)</f>
        <v/>
      </c>
      <c r="B644" s="10">
        <f>IF($A644="","",Ремонты!A93)</f>
        <v/>
      </c>
      <c r="C644" s="10">
        <f>IF($A644="","",Ремонты!D93)</f>
        <v/>
      </c>
      <c r="D644" s="10">
        <f>IF($A644="","",Ремонты!E93)</f>
        <v/>
      </c>
      <c r="E644" s="10">
        <f>IF($A644="","","Входной контроль")</f>
        <v/>
      </c>
      <c r="F644" s="10">
        <f>IF($A644="","",Ремонты!T93)</f>
        <v/>
      </c>
      <c r="G644" s="10">
        <f>IF($A644="","","Автозапись из листа Ремонты")</f>
        <v/>
      </c>
    </row>
    <row r="645">
      <c r="A645" s="12">
        <f>IF(Ремонты!S93="","",Ремонты!S93)</f>
        <v/>
      </c>
      <c r="B645" s="10">
        <f>IF($A645="","",Ремонты!A93)</f>
        <v/>
      </c>
      <c r="C645" s="10">
        <f>IF($A645="","",Ремонты!D93)</f>
        <v/>
      </c>
      <c r="D645" s="10">
        <f>IF($A645="","",Ремонты!E93)</f>
        <v/>
      </c>
      <c r="E645" s="10">
        <f>IF($A645="","","Оплата")</f>
        <v/>
      </c>
      <c r="F645" s="10">
        <f>IF($A645="","",Ремонты!T93)</f>
        <v/>
      </c>
      <c r="G645" s="10">
        <f>IF($A645="","","Автозапись из листа Ремонты")</f>
        <v/>
      </c>
    </row>
    <row r="646">
      <c r="A646" s="12">
        <f>IF(Ремонты!G94="","",Ремонты!G94)</f>
        <v/>
      </c>
      <c r="B646" s="10">
        <f>IF($A646="","",Ремонты!A94)</f>
        <v/>
      </c>
      <c r="C646" s="10">
        <f>IF($A646="","",Ремонты!D94)</f>
        <v/>
      </c>
      <c r="D646" s="10">
        <f>IF($A646="","",Ремонты!E94)</f>
        <v/>
      </c>
      <c r="E646" s="10">
        <f>IF($A646="","","Отправка в ремонт")</f>
        <v/>
      </c>
      <c r="F646" s="10">
        <f>IF($A646="","",Ремонты!T94)</f>
        <v/>
      </c>
      <c r="G646" s="10">
        <f>IF($A646="","","Автозапись из листа Ремонты")</f>
        <v/>
      </c>
    </row>
    <row r="647">
      <c r="A647" s="12">
        <f>IF(Ремонты!I94="","",Ремонты!I94)</f>
        <v/>
      </c>
      <c r="B647" s="10">
        <f>IF($A647="","",Ремонты!A94)</f>
        <v/>
      </c>
      <c r="C647" s="10">
        <f>IF($A647="","",Ремонты!D94)</f>
        <v/>
      </c>
      <c r="D647" s="10">
        <f>IF($A647="","",Ремонты!E94)</f>
        <v/>
      </c>
      <c r="E647" s="10">
        <f>IF($A647="","","Отправка из ремонта")</f>
        <v/>
      </c>
      <c r="F647" s="10">
        <f>IF($A647="","",Ремонты!T94)</f>
        <v/>
      </c>
      <c r="G647" s="10">
        <f>IF($A647="","","Автозапись из листа Ремонты")</f>
        <v/>
      </c>
    </row>
    <row r="648">
      <c r="A648" s="12">
        <f>IF(Ремонты!J94="","",Ремонты!J94)</f>
        <v/>
      </c>
      <c r="B648" s="10">
        <f>IF($A648="","",Ремонты!A94)</f>
        <v/>
      </c>
      <c r="C648" s="10">
        <f>IF($A648="","",Ремонты!D94)</f>
        <v/>
      </c>
      <c r="D648" s="10">
        <f>IF($A648="","",Ремонты!E94)</f>
        <v/>
      </c>
      <c r="E648" s="10">
        <f>IF($A648="","","Отправка из Иркутска")</f>
        <v/>
      </c>
      <c r="F648" s="10">
        <f>IF($A648="","",Ремонты!T94)</f>
        <v/>
      </c>
      <c r="G648" s="10">
        <f>IF($A648="","","Автозапись из листа Ремонты")</f>
        <v/>
      </c>
    </row>
    <row r="649">
      <c r="A649" s="12">
        <f>IF(Ремонты!K94="","",Ремонты!K94)</f>
        <v/>
      </c>
      <c r="B649" s="10">
        <f>IF($A649="","",Ремонты!A94)</f>
        <v/>
      </c>
      <c r="C649" s="10">
        <f>IF($A649="","",Ремонты!D94)</f>
        <v/>
      </c>
      <c r="D649" s="10">
        <f>IF($A649="","",Ремонты!E94)</f>
        <v/>
      </c>
      <c r="E649" s="10">
        <f>IF($A649="","","Прибытие в Ленск")</f>
        <v/>
      </c>
      <c r="F649" s="10">
        <f>IF($A649="","",Ремонты!T94)</f>
        <v/>
      </c>
      <c r="G649" s="10">
        <f>IF($A649="","","Автозапись из листа Ремонты")</f>
        <v/>
      </c>
    </row>
    <row r="650">
      <c r="A650" s="12">
        <f>IF(Ремонты!M94="","",Ремонты!M94)</f>
        <v/>
      </c>
      <c r="B650" s="10">
        <f>IF($A650="","",Ремонты!A94)</f>
        <v/>
      </c>
      <c r="C650" s="10">
        <f>IF($A650="","",Ремонты!D94)</f>
        <v/>
      </c>
      <c r="D650" s="10">
        <f>IF($A650="","",Ремонты!E94)</f>
        <v/>
      </c>
      <c r="E650" s="10">
        <f>IF($A650="","","Фактическое получение")</f>
        <v/>
      </c>
      <c r="F650" s="10">
        <f>IF($A650="","",Ремонты!T94)</f>
        <v/>
      </c>
      <c r="G650" s="10">
        <f>IF($A650="","","Автозапись из листа Ремонты")</f>
        <v/>
      </c>
    </row>
    <row r="651">
      <c r="A651" s="12">
        <f>IF(Ремонты!P94="","",Ремонты!P94)</f>
        <v/>
      </c>
      <c r="B651" s="10">
        <f>IF($A651="","",Ремонты!A94)</f>
        <v/>
      </c>
      <c r="C651" s="10">
        <f>IF($A651="","",Ремонты!D94)</f>
        <v/>
      </c>
      <c r="D651" s="10">
        <f>IF($A651="","",Ремонты!E94)</f>
        <v/>
      </c>
      <c r="E651" s="10">
        <f>IF($A651="","","Входной контроль")</f>
        <v/>
      </c>
      <c r="F651" s="10">
        <f>IF($A651="","",Ремонты!T94)</f>
        <v/>
      </c>
      <c r="G651" s="10">
        <f>IF($A651="","","Автозапись из листа Ремонты")</f>
        <v/>
      </c>
    </row>
    <row r="652">
      <c r="A652" s="12">
        <f>IF(Ремонты!S94="","",Ремонты!S94)</f>
        <v/>
      </c>
      <c r="B652" s="10">
        <f>IF($A652="","",Ремонты!A94)</f>
        <v/>
      </c>
      <c r="C652" s="10">
        <f>IF($A652="","",Ремонты!D94)</f>
        <v/>
      </c>
      <c r="D652" s="10">
        <f>IF($A652="","",Ремонты!E94)</f>
        <v/>
      </c>
      <c r="E652" s="10">
        <f>IF($A652="","","Оплата")</f>
        <v/>
      </c>
      <c r="F652" s="10">
        <f>IF($A652="","",Ремонты!T94)</f>
        <v/>
      </c>
      <c r="G652" s="10">
        <f>IF($A652="","","Автозапись из листа Ремонты")</f>
        <v/>
      </c>
    </row>
    <row r="653">
      <c r="A653" s="12">
        <f>IF(Ремонты!G95="","",Ремонты!G95)</f>
        <v/>
      </c>
      <c r="B653" s="10">
        <f>IF($A653="","",Ремонты!A95)</f>
        <v/>
      </c>
      <c r="C653" s="10">
        <f>IF($A653="","",Ремонты!D95)</f>
        <v/>
      </c>
      <c r="D653" s="10">
        <f>IF($A653="","",Ремонты!E95)</f>
        <v/>
      </c>
      <c r="E653" s="10">
        <f>IF($A653="","","Отправка в ремонт")</f>
        <v/>
      </c>
      <c r="F653" s="10">
        <f>IF($A653="","",Ремонты!T95)</f>
        <v/>
      </c>
      <c r="G653" s="10">
        <f>IF($A653="","","Автозапись из листа Ремонты")</f>
        <v/>
      </c>
    </row>
    <row r="654">
      <c r="A654" s="12">
        <f>IF(Ремонты!I95="","",Ремонты!I95)</f>
        <v/>
      </c>
      <c r="B654" s="10">
        <f>IF($A654="","",Ремонты!A95)</f>
        <v/>
      </c>
      <c r="C654" s="10">
        <f>IF($A654="","",Ремонты!D95)</f>
        <v/>
      </c>
      <c r="D654" s="10">
        <f>IF($A654="","",Ремонты!E95)</f>
        <v/>
      </c>
      <c r="E654" s="10">
        <f>IF($A654="","","Отправка из ремонта")</f>
        <v/>
      </c>
      <c r="F654" s="10">
        <f>IF($A654="","",Ремонты!T95)</f>
        <v/>
      </c>
      <c r="G654" s="10">
        <f>IF($A654="","","Автозапись из листа Ремонты")</f>
        <v/>
      </c>
    </row>
    <row r="655">
      <c r="A655" s="12">
        <f>IF(Ремонты!J95="","",Ремонты!J95)</f>
        <v/>
      </c>
      <c r="B655" s="10">
        <f>IF($A655="","",Ремонты!A95)</f>
        <v/>
      </c>
      <c r="C655" s="10">
        <f>IF($A655="","",Ремонты!D95)</f>
        <v/>
      </c>
      <c r="D655" s="10">
        <f>IF($A655="","",Ремонты!E95)</f>
        <v/>
      </c>
      <c r="E655" s="10">
        <f>IF($A655="","","Отправка из Иркутска")</f>
        <v/>
      </c>
      <c r="F655" s="10">
        <f>IF($A655="","",Ремонты!T95)</f>
        <v/>
      </c>
      <c r="G655" s="10">
        <f>IF($A655="","","Автозапись из листа Ремонты")</f>
        <v/>
      </c>
    </row>
    <row r="656">
      <c r="A656" s="12">
        <f>IF(Ремонты!K95="","",Ремонты!K95)</f>
        <v/>
      </c>
      <c r="B656" s="10">
        <f>IF($A656="","",Ремонты!A95)</f>
        <v/>
      </c>
      <c r="C656" s="10">
        <f>IF($A656="","",Ремонты!D95)</f>
        <v/>
      </c>
      <c r="D656" s="10">
        <f>IF($A656="","",Ремонты!E95)</f>
        <v/>
      </c>
      <c r="E656" s="10">
        <f>IF($A656="","","Прибытие в Ленск")</f>
        <v/>
      </c>
      <c r="F656" s="10">
        <f>IF($A656="","",Ремонты!T95)</f>
        <v/>
      </c>
      <c r="G656" s="10">
        <f>IF($A656="","","Автозапись из листа Ремонты")</f>
        <v/>
      </c>
    </row>
    <row r="657">
      <c r="A657" s="12">
        <f>IF(Ремонты!M95="","",Ремонты!M95)</f>
        <v/>
      </c>
      <c r="B657" s="10">
        <f>IF($A657="","",Ремонты!A95)</f>
        <v/>
      </c>
      <c r="C657" s="10">
        <f>IF($A657="","",Ремонты!D95)</f>
        <v/>
      </c>
      <c r="D657" s="10">
        <f>IF($A657="","",Ремонты!E95)</f>
        <v/>
      </c>
      <c r="E657" s="10">
        <f>IF($A657="","","Фактическое получение")</f>
        <v/>
      </c>
      <c r="F657" s="10">
        <f>IF($A657="","",Ремонты!T95)</f>
        <v/>
      </c>
      <c r="G657" s="10">
        <f>IF($A657="","","Автозапись из листа Ремонты")</f>
        <v/>
      </c>
    </row>
    <row r="658">
      <c r="A658" s="12">
        <f>IF(Ремонты!P95="","",Ремонты!P95)</f>
        <v/>
      </c>
      <c r="B658" s="10">
        <f>IF($A658="","",Ремонты!A95)</f>
        <v/>
      </c>
      <c r="C658" s="10">
        <f>IF($A658="","",Ремонты!D95)</f>
        <v/>
      </c>
      <c r="D658" s="10">
        <f>IF($A658="","",Ремонты!E95)</f>
        <v/>
      </c>
      <c r="E658" s="10">
        <f>IF($A658="","","Входной контроль")</f>
        <v/>
      </c>
      <c r="F658" s="10">
        <f>IF($A658="","",Ремонты!T95)</f>
        <v/>
      </c>
      <c r="G658" s="10">
        <f>IF($A658="","","Автозапись из листа Ремонты")</f>
        <v/>
      </c>
    </row>
    <row r="659">
      <c r="A659" s="12">
        <f>IF(Ремонты!S95="","",Ремонты!S95)</f>
        <v/>
      </c>
      <c r="B659" s="10">
        <f>IF($A659="","",Ремонты!A95)</f>
        <v/>
      </c>
      <c r="C659" s="10">
        <f>IF($A659="","",Ремонты!D95)</f>
        <v/>
      </c>
      <c r="D659" s="10">
        <f>IF($A659="","",Ремонты!E95)</f>
        <v/>
      </c>
      <c r="E659" s="10">
        <f>IF($A659="","","Оплата")</f>
        <v/>
      </c>
      <c r="F659" s="10">
        <f>IF($A659="","",Ремонты!T95)</f>
        <v/>
      </c>
      <c r="G659" s="10">
        <f>IF($A659="","","Автозапись из листа Ремонты")</f>
        <v/>
      </c>
    </row>
    <row r="660">
      <c r="A660" s="12">
        <f>IF(Ремонты!G96="","",Ремонты!G96)</f>
        <v/>
      </c>
      <c r="B660" s="10">
        <f>IF($A660="","",Ремонты!A96)</f>
        <v/>
      </c>
      <c r="C660" s="10">
        <f>IF($A660="","",Ремонты!D96)</f>
        <v/>
      </c>
      <c r="D660" s="10">
        <f>IF($A660="","",Ремонты!E96)</f>
        <v/>
      </c>
      <c r="E660" s="10">
        <f>IF($A660="","","Отправка в ремонт")</f>
        <v/>
      </c>
      <c r="F660" s="10">
        <f>IF($A660="","",Ремонты!T96)</f>
        <v/>
      </c>
      <c r="G660" s="10">
        <f>IF($A660="","","Автозапись из листа Ремонты")</f>
        <v/>
      </c>
    </row>
    <row r="661">
      <c r="A661" s="12">
        <f>IF(Ремонты!I96="","",Ремонты!I96)</f>
        <v/>
      </c>
      <c r="B661" s="10">
        <f>IF($A661="","",Ремонты!A96)</f>
        <v/>
      </c>
      <c r="C661" s="10">
        <f>IF($A661="","",Ремонты!D96)</f>
        <v/>
      </c>
      <c r="D661" s="10">
        <f>IF($A661="","",Ремонты!E96)</f>
        <v/>
      </c>
      <c r="E661" s="10">
        <f>IF($A661="","","Отправка из ремонта")</f>
        <v/>
      </c>
      <c r="F661" s="10">
        <f>IF($A661="","",Ремонты!T96)</f>
        <v/>
      </c>
      <c r="G661" s="10">
        <f>IF($A661="","","Автозапись из листа Ремонты")</f>
        <v/>
      </c>
    </row>
    <row r="662">
      <c r="A662" s="12">
        <f>IF(Ремонты!J96="","",Ремонты!J96)</f>
        <v/>
      </c>
      <c r="B662" s="10">
        <f>IF($A662="","",Ремонты!A96)</f>
        <v/>
      </c>
      <c r="C662" s="10">
        <f>IF($A662="","",Ремонты!D96)</f>
        <v/>
      </c>
      <c r="D662" s="10">
        <f>IF($A662="","",Ремонты!E96)</f>
        <v/>
      </c>
      <c r="E662" s="10">
        <f>IF($A662="","","Отправка из Иркутска")</f>
        <v/>
      </c>
      <c r="F662" s="10">
        <f>IF($A662="","",Ремонты!T96)</f>
        <v/>
      </c>
      <c r="G662" s="10">
        <f>IF($A662="","","Автозапись из листа Ремонты")</f>
        <v/>
      </c>
    </row>
    <row r="663">
      <c r="A663" s="12">
        <f>IF(Ремонты!K96="","",Ремонты!K96)</f>
        <v/>
      </c>
      <c r="B663" s="10">
        <f>IF($A663="","",Ремонты!A96)</f>
        <v/>
      </c>
      <c r="C663" s="10">
        <f>IF($A663="","",Ремонты!D96)</f>
        <v/>
      </c>
      <c r="D663" s="10">
        <f>IF($A663="","",Ремонты!E96)</f>
        <v/>
      </c>
      <c r="E663" s="10">
        <f>IF($A663="","","Прибытие в Ленск")</f>
        <v/>
      </c>
      <c r="F663" s="10">
        <f>IF($A663="","",Ремонты!T96)</f>
        <v/>
      </c>
      <c r="G663" s="10">
        <f>IF($A663="","","Автозапись из листа Ремонты")</f>
        <v/>
      </c>
    </row>
    <row r="664">
      <c r="A664" s="12">
        <f>IF(Ремонты!M96="","",Ремонты!M96)</f>
        <v/>
      </c>
      <c r="B664" s="10">
        <f>IF($A664="","",Ремонты!A96)</f>
        <v/>
      </c>
      <c r="C664" s="10">
        <f>IF($A664="","",Ремонты!D96)</f>
        <v/>
      </c>
      <c r="D664" s="10">
        <f>IF($A664="","",Ремонты!E96)</f>
        <v/>
      </c>
      <c r="E664" s="10">
        <f>IF($A664="","","Фактическое получение")</f>
        <v/>
      </c>
      <c r="F664" s="10">
        <f>IF($A664="","",Ремонты!T96)</f>
        <v/>
      </c>
      <c r="G664" s="10">
        <f>IF($A664="","","Автозапись из листа Ремонты")</f>
        <v/>
      </c>
    </row>
    <row r="665">
      <c r="A665" s="12">
        <f>IF(Ремонты!P96="","",Ремонты!P96)</f>
        <v/>
      </c>
      <c r="B665" s="10">
        <f>IF($A665="","",Ремонты!A96)</f>
        <v/>
      </c>
      <c r="C665" s="10">
        <f>IF($A665="","",Ремонты!D96)</f>
        <v/>
      </c>
      <c r="D665" s="10">
        <f>IF($A665="","",Ремонты!E96)</f>
        <v/>
      </c>
      <c r="E665" s="10">
        <f>IF($A665="","","Входной контроль")</f>
        <v/>
      </c>
      <c r="F665" s="10">
        <f>IF($A665="","",Ремонты!T96)</f>
        <v/>
      </c>
      <c r="G665" s="10">
        <f>IF($A665="","","Автозапись из листа Ремонты")</f>
        <v/>
      </c>
    </row>
    <row r="666">
      <c r="A666" s="12">
        <f>IF(Ремонты!S96="","",Ремонты!S96)</f>
        <v/>
      </c>
      <c r="B666" s="10">
        <f>IF($A666="","",Ремонты!A96)</f>
        <v/>
      </c>
      <c r="C666" s="10">
        <f>IF($A666="","",Ремонты!D96)</f>
        <v/>
      </c>
      <c r="D666" s="10">
        <f>IF($A666="","",Ремонты!E96)</f>
        <v/>
      </c>
      <c r="E666" s="10">
        <f>IF($A666="","","Оплата")</f>
        <v/>
      </c>
      <c r="F666" s="10">
        <f>IF($A666="","",Ремонты!T96)</f>
        <v/>
      </c>
      <c r="G666" s="10">
        <f>IF($A666="","","Автозапись из листа Ремонты")</f>
        <v/>
      </c>
    </row>
    <row r="667">
      <c r="A667" s="12">
        <f>IF(Ремонты!G97="","",Ремонты!G97)</f>
        <v/>
      </c>
      <c r="B667" s="10">
        <f>IF($A667="","",Ремонты!A97)</f>
        <v/>
      </c>
      <c r="C667" s="10">
        <f>IF($A667="","",Ремонты!D97)</f>
        <v/>
      </c>
      <c r="D667" s="10">
        <f>IF($A667="","",Ремонты!E97)</f>
        <v/>
      </c>
      <c r="E667" s="10">
        <f>IF($A667="","","Отправка в ремонт")</f>
        <v/>
      </c>
      <c r="F667" s="10">
        <f>IF($A667="","",Ремонты!T97)</f>
        <v/>
      </c>
      <c r="G667" s="10">
        <f>IF($A667="","","Автозапись из листа Ремонты")</f>
        <v/>
      </c>
    </row>
    <row r="668">
      <c r="A668" s="12">
        <f>IF(Ремонты!I97="","",Ремонты!I97)</f>
        <v/>
      </c>
      <c r="B668" s="10">
        <f>IF($A668="","",Ремонты!A97)</f>
        <v/>
      </c>
      <c r="C668" s="10">
        <f>IF($A668="","",Ремонты!D97)</f>
        <v/>
      </c>
      <c r="D668" s="10">
        <f>IF($A668="","",Ремонты!E97)</f>
        <v/>
      </c>
      <c r="E668" s="10">
        <f>IF($A668="","","Отправка из ремонта")</f>
        <v/>
      </c>
      <c r="F668" s="10">
        <f>IF($A668="","",Ремонты!T97)</f>
        <v/>
      </c>
      <c r="G668" s="10">
        <f>IF($A668="","","Автозапись из листа Ремонты")</f>
        <v/>
      </c>
    </row>
    <row r="669">
      <c r="A669" s="12">
        <f>IF(Ремонты!J97="","",Ремонты!J97)</f>
        <v/>
      </c>
      <c r="B669" s="10">
        <f>IF($A669="","",Ремонты!A97)</f>
        <v/>
      </c>
      <c r="C669" s="10">
        <f>IF($A669="","",Ремонты!D97)</f>
        <v/>
      </c>
      <c r="D669" s="10">
        <f>IF($A669="","",Ремонты!E97)</f>
        <v/>
      </c>
      <c r="E669" s="10">
        <f>IF($A669="","","Отправка из Иркутска")</f>
        <v/>
      </c>
      <c r="F669" s="10">
        <f>IF($A669="","",Ремонты!T97)</f>
        <v/>
      </c>
      <c r="G669" s="10">
        <f>IF($A669="","","Автозапись из листа Ремонты")</f>
        <v/>
      </c>
    </row>
    <row r="670">
      <c r="A670" s="12">
        <f>IF(Ремонты!K97="","",Ремонты!K97)</f>
        <v/>
      </c>
      <c r="B670" s="10">
        <f>IF($A670="","",Ремонты!A97)</f>
        <v/>
      </c>
      <c r="C670" s="10">
        <f>IF($A670="","",Ремонты!D97)</f>
        <v/>
      </c>
      <c r="D670" s="10">
        <f>IF($A670="","",Ремонты!E97)</f>
        <v/>
      </c>
      <c r="E670" s="10">
        <f>IF($A670="","","Прибытие в Ленск")</f>
        <v/>
      </c>
      <c r="F670" s="10">
        <f>IF($A670="","",Ремонты!T97)</f>
        <v/>
      </c>
      <c r="G670" s="10">
        <f>IF($A670="","","Автозапись из листа Ремонты")</f>
        <v/>
      </c>
    </row>
    <row r="671">
      <c r="A671" s="12">
        <f>IF(Ремонты!M97="","",Ремонты!M97)</f>
        <v/>
      </c>
      <c r="B671" s="10">
        <f>IF($A671="","",Ремонты!A97)</f>
        <v/>
      </c>
      <c r="C671" s="10">
        <f>IF($A671="","",Ремонты!D97)</f>
        <v/>
      </c>
      <c r="D671" s="10">
        <f>IF($A671="","",Ремонты!E97)</f>
        <v/>
      </c>
      <c r="E671" s="10">
        <f>IF($A671="","","Фактическое получение")</f>
        <v/>
      </c>
      <c r="F671" s="10">
        <f>IF($A671="","",Ремонты!T97)</f>
        <v/>
      </c>
      <c r="G671" s="10">
        <f>IF($A671="","","Автозапись из листа Ремонты")</f>
        <v/>
      </c>
    </row>
    <row r="672">
      <c r="A672" s="12">
        <f>IF(Ремонты!P97="","",Ремонты!P97)</f>
        <v/>
      </c>
      <c r="B672" s="10">
        <f>IF($A672="","",Ремонты!A97)</f>
        <v/>
      </c>
      <c r="C672" s="10">
        <f>IF($A672="","",Ремонты!D97)</f>
        <v/>
      </c>
      <c r="D672" s="10">
        <f>IF($A672="","",Ремонты!E97)</f>
        <v/>
      </c>
      <c r="E672" s="10">
        <f>IF($A672="","","Входной контроль")</f>
        <v/>
      </c>
      <c r="F672" s="10">
        <f>IF($A672="","",Ремонты!T97)</f>
        <v/>
      </c>
      <c r="G672" s="10">
        <f>IF($A672="","","Автозапись из листа Ремонты")</f>
        <v/>
      </c>
    </row>
    <row r="673">
      <c r="A673" s="12">
        <f>IF(Ремонты!S97="","",Ремонты!S97)</f>
        <v/>
      </c>
      <c r="B673" s="10">
        <f>IF($A673="","",Ремонты!A97)</f>
        <v/>
      </c>
      <c r="C673" s="10">
        <f>IF($A673="","",Ремонты!D97)</f>
        <v/>
      </c>
      <c r="D673" s="10">
        <f>IF($A673="","",Ремонты!E97)</f>
        <v/>
      </c>
      <c r="E673" s="10">
        <f>IF($A673="","","Оплата")</f>
        <v/>
      </c>
      <c r="F673" s="10">
        <f>IF($A673="","",Ремонты!T97)</f>
        <v/>
      </c>
      <c r="G673" s="10">
        <f>IF($A673="","","Автозапись из листа Ремонты")</f>
        <v/>
      </c>
    </row>
    <row r="674">
      <c r="A674" s="12">
        <f>IF(Ремонты!G98="","",Ремонты!G98)</f>
        <v/>
      </c>
      <c r="B674" s="10">
        <f>IF($A674="","",Ремонты!A98)</f>
        <v/>
      </c>
      <c r="C674" s="10">
        <f>IF($A674="","",Ремонты!D98)</f>
        <v/>
      </c>
      <c r="D674" s="10">
        <f>IF($A674="","",Ремонты!E98)</f>
        <v/>
      </c>
      <c r="E674" s="10">
        <f>IF($A674="","","Отправка в ремонт")</f>
        <v/>
      </c>
      <c r="F674" s="10">
        <f>IF($A674="","",Ремонты!T98)</f>
        <v/>
      </c>
      <c r="G674" s="10">
        <f>IF($A674="","","Автозапись из листа Ремонты")</f>
        <v/>
      </c>
    </row>
    <row r="675">
      <c r="A675" s="12">
        <f>IF(Ремонты!I98="","",Ремонты!I98)</f>
        <v/>
      </c>
      <c r="B675" s="10">
        <f>IF($A675="","",Ремонты!A98)</f>
        <v/>
      </c>
      <c r="C675" s="10">
        <f>IF($A675="","",Ремонты!D98)</f>
        <v/>
      </c>
      <c r="D675" s="10">
        <f>IF($A675="","",Ремонты!E98)</f>
        <v/>
      </c>
      <c r="E675" s="10">
        <f>IF($A675="","","Отправка из ремонта")</f>
        <v/>
      </c>
      <c r="F675" s="10">
        <f>IF($A675="","",Ремонты!T98)</f>
        <v/>
      </c>
      <c r="G675" s="10">
        <f>IF($A675="","","Автозапись из листа Ремонты")</f>
        <v/>
      </c>
    </row>
    <row r="676">
      <c r="A676" s="12">
        <f>IF(Ремонты!J98="","",Ремонты!J98)</f>
        <v/>
      </c>
      <c r="B676" s="10">
        <f>IF($A676="","",Ремонты!A98)</f>
        <v/>
      </c>
      <c r="C676" s="10">
        <f>IF($A676="","",Ремонты!D98)</f>
        <v/>
      </c>
      <c r="D676" s="10">
        <f>IF($A676="","",Ремонты!E98)</f>
        <v/>
      </c>
      <c r="E676" s="10">
        <f>IF($A676="","","Отправка из Иркутска")</f>
        <v/>
      </c>
      <c r="F676" s="10">
        <f>IF($A676="","",Ремонты!T98)</f>
        <v/>
      </c>
      <c r="G676" s="10">
        <f>IF($A676="","","Автозапись из листа Ремонты")</f>
        <v/>
      </c>
    </row>
    <row r="677">
      <c r="A677" s="12">
        <f>IF(Ремонты!K98="","",Ремонты!K98)</f>
        <v/>
      </c>
      <c r="B677" s="10">
        <f>IF($A677="","",Ремонты!A98)</f>
        <v/>
      </c>
      <c r="C677" s="10">
        <f>IF($A677="","",Ремонты!D98)</f>
        <v/>
      </c>
      <c r="D677" s="10">
        <f>IF($A677="","",Ремонты!E98)</f>
        <v/>
      </c>
      <c r="E677" s="10">
        <f>IF($A677="","","Прибытие в Ленск")</f>
        <v/>
      </c>
      <c r="F677" s="10">
        <f>IF($A677="","",Ремонты!T98)</f>
        <v/>
      </c>
      <c r="G677" s="10">
        <f>IF($A677="","","Автозапись из листа Ремонты")</f>
        <v/>
      </c>
    </row>
    <row r="678">
      <c r="A678" s="12">
        <f>IF(Ремонты!M98="","",Ремонты!M98)</f>
        <v/>
      </c>
      <c r="B678" s="10">
        <f>IF($A678="","",Ремонты!A98)</f>
        <v/>
      </c>
      <c r="C678" s="10">
        <f>IF($A678="","",Ремонты!D98)</f>
        <v/>
      </c>
      <c r="D678" s="10">
        <f>IF($A678="","",Ремонты!E98)</f>
        <v/>
      </c>
      <c r="E678" s="10">
        <f>IF($A678="","","Фактическое получение")</f>
        <v/>
      </c>
      <c r="F678" s="10">
        <f>IF($A678="","",Ремонты!T98)</f>
        <v/>
      </c>
      <c r="G678" s="10">
        <f>IF($A678="","","Автозапись из листа Ремонты")</f>
        <v/>
      </c>
    </row>
    <row r="679">
      <c r="A679" s="12">
        <f>IF(Ремонты!P98="","",Ремонты!P98)</f>
        <v/>
      </c>
      <c r="B679" s="10">
        <f>IF($A679="","",Ремонты!A98)</f>
        <v/>
      </c>
      <c r="C679" s="10">
        <f>IF($A679="","",Ремонты!D98)</f>
        <v/>
      </c>
      <c r="D679" s="10">
        <f>IF($A679="","",Ремонты!E98)</f>
        <v/>
      </c>
      <c r="E679" s="10">
        <f>IF($A679="","","Входной контроль")</f>
        <v/>
      </c>
      <c r="F679" s="10">
        <f>IF($A679="","",Ремонты!T98)</f>
        <v/>
      </c>
      <c r="G679" s="10">
        <f>IF($A679="","","Автозапись из листа Ремонты")</f>
        <v/>
      </c>
    </row>
    <row r="680">
      <c r="A680" s="12">
        <f>IF(Ремонты!S98="","",Ремонты!S98)</f>
        <v/>
      </c>
      <c r="B680" s="10">
        <f>IF($A680="","",Ремонты!A98)</f>
        <v/>
      </c>
      <c r="C680" s="10">
        <f>IF($A680="","",Ремонты!D98)</f>
        <v/>
      </c>
      <c r="D680" s="10">
        <f>IF($A680="","",Ремонты!E98)</f>
        <v/>
      </c>
      <c r="E680" s="10">
        <f>IF($A680="","","Оплата")</f>
        <v/>
      </c>
      <c r="F680" s="10">
        <f>IF($A680="","",Ремонты!T98)</f>
        <v/>
      </c>
      <c r="G680" s="10">
        <f>IF($A680="","","Автозапись из листа Ремонты")</f>
        <v/>
      </c>
    </row>
    <row r="681">
      <c r="A681" s="12">
        <f>IF(Ремонты!G99="","",Ремонты!G99)</f>
        <v/>
      </c>
      <c r="B681" s="10">
        <f>IF($A681="","",Ремонты!A99)</f>
        <v/>
      </c>
      <c r="C681" s="10">
        <f>IF($A681="","",Ремонты!D99)</f>
        <v/>
      </c>
      <c r="D681" s="10">
        <f>IF($A681="","",Ремонты!E99)</f>
        <v/>
      </c>
      <c r="E681" s="10">
        <f>IF($A681="","","Отправка в ремонт")</f>
        <v/>
      </c>
      <c r="F681" s="10">
        <f>IF($A681="","",Ремонты!T99)</f>
        <v/>
      </c>
      <c r="G681" s="10">
        <f>IF($A681="","","Автозапись из листа Ремонты")</f>
        <v/>
      </c>
    </row>
    <row r="682">
      <c r="A682" s="12">
        <f>IF(Ремонты!I99="","",Ремонты!I99)</f>
        <v/>
      </c>
      <c r="B682" s="10">
        <f>IF($A682="","",Ремонты!A99)</f>
        <v/>
      </c>
      <c r="C682" s="10">
        <f>IF($A682="","",Ремонты!D99)</f>
        <v/>
      </c>
      <c r="D682" s="10">
        <f>IF($A682="","",Ремонты!E99)</f>
        <v/>
      </c>
      <c r="E682" s="10">
        <f>IF($A682="","","Отправка из ремонта")</f>
        <v/>
      </c>
      <c r="F682" s="10">
        <f>IF($A682="","",Ремонты!T99)</f>
        <v/>
      </c>
      <c r="G682" s="10">
        <f>IF($A682="","","Автозапись из листа Ремонты")</f>
        <v/>
      </c>
    </row>
    <row r="683">
      <c r="A683" s="12">
        <f>IF(Ремонты!J99="","",Ремонты!J99)</f>
        <v/>
      </c>
      <c r="B683" s="10">
        <f>IF($A683="","",Ремонты!A99)</f>
        <v/>
      </c>
      <c r="C683" s="10">
        <f>IF($A683="","",Ремонты!D99)</f>
        <v/>
      </c>
      <c r="D683" s="10">
        <f>IF($A683="","",Ремонты!E99)</f>
        <v/>
      </c>
      <c r="E683" s="10">
        <f>IF($A683="","","Отправка из Иркутска")</f>
        <v/>
      </c>
      <c r="F683" s="10">
        <f>IF($A683="","",Ремонты!T99)</f>
        <v/>
      </c>
      <c r="G683" s="10">
        <f>IF($A683="","","Автозапись из листа Ремонты")</f>
        <v/>
      </c>
    </row>
    <row r="684">
      <c r="A684" s="12">
        <f>IF(Ремонты!K99="","",Ремонты!K99)</f>
        <v/>
      </c>
      <c r="B684" s="10">
        <f>IF($A684="","",Ремонты!A99)</f>
        <v/>
      </c>
      <c r="C684" s="10">
        <f>IF($A684="","",Ремонты!D99)</f>
        <v/>
      </c>
      <c r="D684" s="10">
        <f>IF($A684="","",Ремонты!E99)</f>
        <v/>
      </c>
      <c r="E684" s="10">
        <f>IF($A684="","","Прибытие в Ленск")</f>
        <v/>
      </c>
      <c r="F684" s="10">
        <f>IF($A684="","",Ремонты!T99)</f>
        <v/>
      </c>
      <c r="G684" s="10">
        <f>IF($A684="","","Автозапись из листа Ремонты")</f>
        <v/>
      </c>
    </row>
    <row r="685">
      <c r="A685" s="12">
        <f>IF(Ремонты!M99="","",Ремонты!M99)</f>
        <v/>
      </c>
      <c r="B685" s="10">
        <f>IF($A685="","",Ремонты!A99)</f>
        <v/>
      </c>
      <c r="C685" s="10">
        <f>IF($A685="","",Ремонты!D99)</f>
        <v/>
      </c>
      <c r="D685" s="10">
        <f>IF($A685="","",Ремонты!E99)</f>
        <v/>
      </c>
      <c r="E685" s="10">
        <f>IF($A685="","","Фактическое получение")</f>
        <v/>
      </c>
      <c r="F685" s="10">
        <f>IF($A685="","",Ремонты!T99)</f>
        <v/>
      </c>
      <c r="G685" s="10">
        <f>IF($A685="","","Автозапись из листа Ремонты")</f>
        <v/>
      </c>
    </row>
    <row r="686">
      <c r="A686" s="12">
        <f>IF(Ремонты!P99="","",Ремонты!P99)</f>
        <v/>
      </c>
      <c r="B686" s="10">
        <f>IF($A686="","",Ремонты!A99)</f>
        <v/>
      </c>
      <c r="C686" s="10">
        <f>IF($A686="","",Ремонты!D99)</f>
        <v/>
      </c>
      <c r="D686" s="10">
        <f>IF($A686="","",Ремонты!E99)</f>
        <v/>
      </c>
      <c r="E686" s="10">
        <f>IF($A686="","","Входной контроль")</f>
        <v/>
      </c>
      <c r="F686" s="10">
        <f>IF($A686="","",Ремонты!T99)</f>
        <v/>
      </c>
      <c r="G686" s="10">
        <f>IF($A686="","","Автозапись из листа Ремонты")</f>
        <v/>
      </c>
    </row>
    <row r="687">
      <c r="A687" s="12">
        <f>IF(Ремонты!S99="","",Ремонты!S99)</f>
        <v/>
      </c>
      <c r="B687" s="10">
        <f>IF($A687="","",Ремонты!A99)</f>
        <v/>
      </c>
      <c r="C687" s="10">
        <f>IF($A687="","",Ремонты!D99)</f>
        <v/>
      </c>
      <c r="D687" s="10">
        <f>IF($A687="","",Ремонты!E99)</f>
        <v/>
      </c>
      <c r="E687" s="10">
        <f>IF($A687="","","Оплата")</f>
        <v/>
      </c>
      <c r="F687" s="10">
        <f>IF($A687="","",Ремонты!T99)</f>
        <v/>
      </c>
      <c r="G687" s="10">
        <f>IF($A687="","","Автозапись из листа Ремонты")</f>
        <v/>
      </c>
    </row>
    <row r="688">
      <c r="A688" s="12">
        <f>IF(Ремонты!G100="","",Ремонты!G100)</f>
        <v/>
      </c>
      <c r="B688" s="10">
        <f>IF($A688="","",Ремонты!A100)</f>
        <v/>
      </c>
      <c r="C688" s="10">
        <f>IF($A688="","",Ремонты!D100)</f>
        <v/>
      </c>
      <c r="D688" s="10">
        <f>IF($A688="","",Ремонты!E100)</f>
        <v/>
      </c>
      <c r="E688" s="10">
        <f>IF($A688="","","Отправка в ремонт")</f>
        <v/>
      </c>
      <c r="F688" s="10">
        <f>IF($A688="","",Ремонты!T100)</f>
        <v/>
      </c>
      <c r="G688" s="10">
        <f>IF($A688="","","Автозапись из листа Ремонты")</f>
        <v/>
      </c>
    </row>
    <row r="689">
      <c r="A689" s="12">
        <f>IF(Ремонты!I100="","",Ремонты!I100)</f>
        <v/>
      </c>
      <c r="B689" s="10">
        <f>IF($A689="","",Ремонты!A100)</f>
        <v/>
      </c>
      <c r="C689" s="10">
        <f>IF($A689="","",Ремонты!D100)</f>
        <v/>
      </c>
      <c r="D689" s="10">
        <f>IF($A689="","",Ремонты!E100)</f>
        <v/>
      </c>
      <c r="E689" s="10">
        <f>IF($A689="","","Отправка из ремонта")</f>
        <v/>
      </c>
      <c r="F689" s="10">
        <f>IF($A689="","",Ремонты!T100)</f>
        <v/>
      </c>
      <c r="G689" s="10">
        <f>IF($A689="","","Автозапись из листа Ремонты")</f>
        <v/>
      </c>
    </row>
    <row r="690">
      <c r="A690" s="12">
        <f>IF(Ремонты!J100="","",Ремонты!J100)</f>
        <v/>
      </c>
      <c r="B690" s="10">
        <f>IF($A690="","",Ремонты!A100)</f>
        <v/>
      </c>
      <c r="C690" s="10">
        <f>IF($A690="","",Ремонты!D100)</f>
        <v/>
      </c>
      <c r="D690" s="10">
        <f>IF($A690="","",Ремонты!E100)</f>
        <v/>
      </c>
      <c r="E690" s="10">
        <f>IF($A690="","","Отправка из Иркутска")</f>
        <v/>
      </c>
      <c r="F690" s="10">
        <f>IF($A690="","",Ремонты!T100)</f>
        <v/>
      </c>
      <c r="G690" s="10">
        <f>IF($A690="","","Автозапись из листа Ремонты")</f>
        <v/>
      </c>
    </row>
    <row r="691">
      <c r="A691" s="12">
        <f>IF(Ремонты!K100="","",Ремонты!K100)</f>
        <v/>
      </c>
      <c r="B691" s="10">
        <f>IF($A691="","",Ремонты!A100)</f>
        <v/>
      </c>
      <c r="C691" s="10">
        <f>IF($A691="","",Ремонты!D100)</f>
        <v/>
      </c>
      <c r="D691" s="10">
        <f>IF($A691="","",Ремонты!E100)</f>
        <v/>
      </c>
      <c r="E691" s="10">
        <f>IF($A691="","","Прибытие в Ленск")</f>
        <v/>
      </c>
      <c r="F691" s="10">
        <f>IF($A691="","",Ремонты!T100)</f>
        <v/>
      </c>
      <c r="G691" s="10">
        <f>IF($A691="","","Автозапись из листа Ремонты")</f>
        <v/>
      </c>
    </row>
    <row r="692">
      <c r="A692" s="12">
        <f>IF(Ремонты!M100="","",Ремонты!M100)</f>
        <v/>
      </c>
      <c r="B692" s="10">
        <f>IF($A692="","",Ремонты!A100)</f>
        <v/>
      </c>
      <c r="C692" s="10">
        <f>IF($A692="","",Ремонты!D100)</f>
        <v/>
      </c>
      <c r="D692" s="10">
        <f>IF($A692="","",Ремонты!E100)</f>
        <v/>
      </c>
      <c r="E692" s="10">
        <f>IF($A692="","","Фактическое получение")</f>
        <v/>
      </c>
      <c r="F692" s="10">
        <f>IF($A692="","",Ремонты!T100)</f>
        <v/>
      </c>
      <c r="G692" s="10">
        <f>IF($A692="","","Автозапись из листа Ремонты")</f>
        <v/>
      </c>
    </row>
    <row r="693">
      <c r="A693" s="12">
        <f>IF(Ремонты!P100="","",Ремонты!P100)</f>
        <v/>
      </c>
      <c r="B693" s="10">
        <f>IF($A693="","",Ремонты!A100)</f>
        <v/>
      </c>
      <c r="C693" s="10">
        <f>IF($A693="","",Ремонты!D100)</f>
        <v/>
      </c>
      <c r="D693" s="10">
        <f>IF($A693="","",Ремонты!E100)</f>
        <v/>
      </c>
      <c r="E693" s="10">
        <f>IF($A693="","","Входной контроль")</f>
        <v/>
      </c>
      <c r="F693" s="10">
        <f>IF($A693="","",Ремонты!T100)</f>
        <v/>
      </c>
      <c r="G693" s="10">
        <f>IF($A693="","","Автозапись из листа Ремонты")</f>
        <v/>
      </c>
    </row>
    <row r="694">
      <c r="A694" s="12">
        <f>IF(Ремонты!S100="","",Ремонты!S100)</f>
        <v/>
      </c>
      <c r="B694" s="10">
        <f>IF($A694="","",Ремонты!A100)</f>
        <v/>
      </c>
      <c r="C694" s="10">
        <f>IF($A694="","",Ремонты!D100)</f>
        <v/>
      </c>
      <c r="D694" s="10">
        <f>IF($A694="","",Ремонты!E100)</f>
        <v/>
      </c>
      <c r="E694" s="10">
        <f>IF($A694="","","Оплата")</f>
        <v/>
      </c>
      <c r="F694" s="10">
        <f>IF($A694="","",Ремонты!T100)</f>
        <v/>
      </c>
      <c r="G694" s="10">
        <f>IF($A694="","","Автозапись из листа Ремонты")</f>
        <v/>
      </c>
    </row>
    <row r="695">
      <c r="A695" s="12">
        <f>IF(Ремонты!G101="","",Ремонты!G101)</f>
        <v/>
      </c>
      <c r="B695" s="10">
        <f>IF($A695="","",Ремонты!A101)</f>
        <v/>
      </c>
      <c r="C695" s="10">
        <f>IF($A695="","",Ремонты!D101)</f>
        <v/>
      </c>
      <c r="D695" s="10">
        <f>IF($A695="","",Ремонты!E101)</f>
        <v/>
      </c>
      <c r="E695" s="10">
        <f>IF($A695="","","Отправка в ремонт")</f>
        <v/>
      </c>
      <c r="F695" s="10">
        <f>IF($A695="","",Ремонты!T101)</f>
        <v/>
      </c>
      <c r="G695" s="10">
        <f>IF($A695="","","Автозапись из листа Ремонты")</f>
        <v/>
      </c>
    </row>
    <row r="696">
      <c r="A696" s="12">
        <f>IF(Ремонты!I101="","",Ремонты!I101)</f>
        <v/>
      </c>
      <c r="B696" s="10">
        <f>IF($A696="","",Ремонты!A101)</f>
        <v/>
      </c>
      <c r="C696" s="10">
        <f>IF($A696="","",Ремонты!D101)</f>
        <v/>
      </c>
      <c r="D696" s="10">
        <f>IF($A696="","",Ремонты!E101)</f>
        <v/>
      </c>
      <c r="E696" s="10">
        <f>IF($A696="","","Отправка из ремонта")</f>
        <v/>
      </c>
      <c r="F696" s="10">
        <f>IF($A696="","",Ремонты!T101)</f>
        <v/>
      </c>
      <c r="G696" s="10">
        <f>IF($A696="","","Автозапись из листа Ремонты")</f>
        <v/>
      </c>
    </row>
    <row r="697">
      <c r="A697" s="12">
        <f>IF(Ремонты!J101="","",Ремонты!J101)</f>
        <v/>
      </c>
      <c r="B697" s="10">
        <f>IF($A697="","",Ремонты!A101)</f>
        <v/>
      </c>
      <c r="C697" s="10">
        <f>IF($A697="","",Ремонты!D101)</f>
        <v/>
      </c>
      <c r="D697" s="10">
        <f>IF($A697="","",Ремонты!E101)</f>
        <v/>
      </c>
      <c r="E697" s="10">
        <f>IF($A697="","","Отправка из Иркутска")</f>
        <v/>
      </c>
      <c r="F697" s="10">
        <f>IF($A697="","",Ремонты!T101)</f>
        <v/>
      </c>
      <c r="G697" s="10">
        <f>IF($A697="","","Автозапись из листа Ремонты")</f>
        <v/>
      </c>
    </row>
    <row r="698">
      <c r="A698" s="12">
        <f>IF(Ремонты!K101="","",Ремонты!K101)</f>
        <v/>
      </c>
      <c r="B698" s="10">
        <f>IF($A698="","",Ремонты!A101)</f>
        <v/>
      </c>
      <c r="C698" s="10">
        <f>IF($A698="","",Ремонты!D101)</f>
        <v/>
      </c>
      <c r="D698" s="10">
        <f>IF($A698="","",Ремонты!E101)</f>
        <v/>
      </c>
      <c r="E698" s="10">
        <f>IF($A698="","","Прибытие в Ленск")</f>
        <v/>
      </c>
      <c r="F698" s="10">
        <f>IF($A698="","",Ремонты!T101)</f>
        <v/>
      </c>
      <c r="G698" s="10">
        <f>IF($A698="","","Автозапись из листа Ремонты")</f>
        <v/>
      </c>
    </row>
    <row r="699">
      <c r="A699" s="12">
        <f>IF(Ремонты!M101="","",Ремонты!M101)</f>
        <v/>
      </c>
      <c r="B699" s="10">
        <f>IF($A699="","",Ремонты!A101)</f>
        <v/>
      </c>
      <c r="C699" s="10">
        <f>IF($A699="","",Ремонты!D101)</f>
        <v/>
      </c>
      <c r="D699" s="10">
        <f>IF($A699="","",Ремонты!E101)</f>
        <v/>
      </c>
      <c r="E699" s="10">
        <f>IF($A699="","","Фактическое получение")</f>
        <v/>
      </c>
      <c r="F699" s="10">
        <f>IF($A699="","",Ремонты!T101)</f>
        <v/>
      </c>
      <c r="G699" s="10">
        <f>IF($A699="","","Автозапись из листа Ремонты")</f>
        <v/>
      </c>
    </row>
    <row r="700">
      <c r="A700" s="12">
        <f>IF(Ремонты!P101="","",Ремонты!P101)</f>
        <v/>
      </c>
      <c r="B700" s="10">
        <f>IF($A700="","",Ремонты!A101)</f>
        <v/>
      </c>
      <c r="C700" s="10">
        <f>IF($A700="","",Ремонты!D101)</f>
        <v/>
      </c>
      <c r="D700" s="10">
        <f>IF($A700="","",Ремонты!E101)</f>
        <v/>
      </c>
      <c r="E700" s="10">
        <f>IF($A700="","","Входной контроль")</f>
        <v/>
      </c>
      <c r="F700" s="10">
        <f>IF($A700="","",Ремонты!T101)</f>
        <v/>
      </c>
      <c r="G700" s="10">
        <f>IF($A700="","","Автозапись из листа Ремонты")</f>
        <v/>
      </c>
    </row>
    <row r="701">
      <c r="A701" s="12">
        <f>IF(Ремонты!S101="","",Ремонты!S101)</f>
        <v/>
      </c>
      <c r="B701" s="10">
        <f>IF($A701="","",Ремонты!A101)</f>
        <v/>
      </c>
      <c r="C701" s="10">
        <f>IF($A701="","",Ремонты!D101)</f>
        <v/>
      </c>
      <c r="D701" s="10">
        <f>IF($A701="","",Ремонты!E101)</f>
        <v/>
      </c>
      <c r="E701" s="10">
        <f>IF($A701="","","Оплата")</f>
        <v/>
      </c>
      <c r="F701" s="10">
        <f>IF($A701="","",Ремонты!T101)</f>
        <v/>
      </c>
      <c r="G701" s="10">
        <f>IF($A701="","","Автозапись из листа Ремонты")</f>
        <v/>
      </c>
    </row>
    <row r="702">
      <c r="A702" s="12">
        <f>IF(Ремонты!G102="","",Ремонты!G102)</f>
        <v/>
      </c>
      <c r="B702" s="10">
        <f>IF($A702="","",Ремонты!A102)</f>
        <v/>
      </c>
      <c r="C702" s="10">
        <f>IF($A702="","",Ремонты!D102)</f>
        <v/>
      </c>
      <c r="D702" s="10">
        <f>IF($A702="","",Ремонты!E102)</f>
        <v/>
      </c>
      <c r="E702" s="10">
        <f>IF($A702="","","Отправка в ремонт")</f>
        <v/>
      </c>
      <c r="F702" s="10">
        <f>IF($A702="","",Ремонты!T102)</f>
        <v/>
      </c>
      <c r="G702" s="10">
        <f>IF($A702="","","Автозапись из листа Ремонты")</f>
        <v/>
      </c>
    </row>
    <row r="703">
      <c r="A703" s="12">
        <f>IF(Ремонты!I102="","",Ремонты!I102)</f>
        <v/>
      </c>
      <c r="B703" s="10">
        <f>IF($A703="","",Ремонты!A102)</f>
        <v/>
      </c>
      <c r="C703" s="10">
        <f>IF($A703="","",Ремонты!D102)</f>
        <v/>
      </c>
      <c r="D703" s="10">
        <f>IF($A703="","",Ремонты!E102)</f>
        <v/>
      </c>
      <c r="E703" s="10">
        <f>IF($A703="","","Отправка из ремонта")</f>
        <v/>
      </c>
      <c r="F703" s="10">
        <f>IF($A703="","",Ремонты!T102)</f>
        <v/>
      </c>
      <c r="G703" s="10">
        <f>IF($A703="","","Автозапись из листа Ремонты")</f>
        <v/>
      </c>
    </row>
    <row r="704">
      <c r="A704" s="12">
        <f>IF(Ремонты!J102="","",Ремонты!J102)</f>
        <v/>
      </c>
      <c r="B704" s="10">
        <f>IF($A704="","",Ремонты!A102)</f>
        <v/>
      </c>
      <c r="C704" s="10">
        <f>IF($A704="","",Ремонты!D102)</f>
        <v/>
      </c>
      <c r="D704" s="10">
        <f>IF($A704="","",Ремонты!E102)</f>
        <v/>
      </c>
      <c r="E704" s="10">
        <f>IF($A704="","","Отправка из Иркутска")</f>
        <v/>
      </c>
      <c r="F704" s="10">
        <f>IF($A704="","",Ремонты!T102)</f>
        <v/>
      </c>
      <c r="G704" s="10">
        <f>IF($A704="","","Автозапись из листа Ремонты")</f>
        <v/>
      </c>
    </row>
    <row r="705">
      <c r="A705" s="12">
        <f>IF(Ремонты!K102="","",Ремонты!K102)</f>
        <v/>
      </c>
      <c r="B705" s="10">
        <f>IF($A705="","",Ремонты!A102)</f>
        <v/>
      </c>
      <c r="C705" s="10">
        <f>IF($A705="","",Ремонты!D102)</f>
        <v/>
      </c>
      <c r="D705" s="10">
        <f>IF($A705="","",Ремонты!E102)</f>
        <v/>
      </c>
      <c r="E705" s="10">
        <f>IF($A705="","","Прибытие в Ленск")</f>
        <v/>
      </c>
      <c r="F705" s="10">
        <f>IF($A705="","",Ремонты!T102)</f>
        <v/>
      </c>
      <c r="G705" s="10">
        <f>IF($A705="","","Автозапись из листа Ремонты")</f>
        <v/>
      </c>
    </row>
    <row r="706">
      <c r="A706" s="12">
        <f>IF(Ремонты!M102="","",Ремонты!M102)</f>
        <v/>
      </c>
      <c r="B706" s="10">
        <f>IF($A706="","",Ремонты!A102)</f>
        <v/>
      </c>
      <c r="C706" s="10">
        <f>IF($A706="","",Ремонты!D102)</f>
        <v/>
      </c>
      <c r="D706" s="10">
        <f>IF($A706="","",Ремонты!E102)</f>
        <v/>
      </c>
      <c r="E706" s="10">
        <f>IF($A706="","","Фактическое получение")</f>
        <v/>
      </c>
      <c r="F706" s="10">
        <f>IF($A706="","",Ремонты!T102)</f>
        <v/>
      </c>
      <c r="G706" s="10">
        <f>IF($A706="","","Автозапись из листа Ремонты")</f>
        <v/>
      </c>
    </row>
    <row r="707">
      <c r="A707" s="12">
        <f>IF(Ремонты!P102="","",Ремонты!P102)</f>
        <v/>
      </c>
      <c r="B707" s="10">
        <f>IF($A707="","",Ремонты!A102)</f>
        <v/>
      </c>
      <c r="C707" s="10">
        <f>IF($A707="","",Ремонты!D102)</f>
        <v/>
      </c>
      <c r="D707" s="10">
        <f>IF($A707="","",Ремонты!E102)</f>
        <v/>
      </c>
      <c r="E707" s="10">
        <f>IF($A707="","","Входной контроль")</f>
        <v/>
      </c>
      <c r="F707" s="10">
        <f>IF($A707="","",Ремонты!T102)</f>
        <v/>
      </c>
      <c r="G707" s="10">
        <f>IF($A707="","","Автозапись из листа Ремонты")</f>
        <v/>
      </c>
    </row>
    <row r="708">
      <c r="A708" s="12">
        <f>IF(Ремонты!S102="","",Ремонты!S102)</f>
        <v/>
      </c>
      <c r="B708" s="10">
        <f>IF($A708="","",Ремонты!A102)</f>
        <v/>
      </c>
      <c r="C708" s="10">
        <f>IF($A708="","",Ремонты!D102)</f>
        <v/>
      </c>
      <c r="D708" s="10">
        <f>IF($A708="","",Ремонты!E102)</f>
        <v/>
      </c>
      <c r="E708" s="10">
        <f>IF($A708="","","Оплата")</f>
        <v/>
      </c>
      <c r="F708" s="10">
        <f>IF($A708="","",Ремонты!T102)</f>
        <v/>
      </c>
      <c r="G708" s="10">
        <f>IF($A708="","","Автозапись из листа Ремонты")</f>
        <v/>
      </c>
    </row>
    <row r="709">
      <c r="A709" s="12">
        <f>IF(Ремонты!G103="","",Ремонты!G103)</f>
        <v/>
      </c>
      <c r="B709" s="10">
        <f>IF($A709="","",Ремонты!A103)</f>
        <v/>
      </c>
      <c r="C709" s="10">
        <f>IF($A709="","",Ремонты!D103)</f>
        <v/>
      </c>
      <c r="D709" s="10">
        <f>IF($A709="","",Ремонты!E103)</f>
        <v/>
      </c>
      <c r="E709" s="10">
        <f>IF($A709="","","Отправка в ремонт")</f>
        <v/>
      </c>
      <c r="F709" s="10">
        <f>IF($A709="","",Ремонты!T103)</f>
        <v/>
      </c>
      <c r="G709" s="10">
        <f>IF($A709="","","Автозапись из листа Ремонты")</f>
        <v/>
      </c>
    </row>
    <row r="710">
      <c r="A710" s="12">
        <f>IF(Ремонты!I103="","",Ремонты!I103)</f>
        <v/>
      </c>
      <c r="B710" s="10">
        <f>IF($A710="","",Ремонты!A103)</f>
        <v/>
      </c>
      <c r="C710" s="10">
        <f>IF($A710="","",Ремонты!D103)</f>
        <v/>
      </c>
      <c r="D710" s="10">
        <f>IF($A710="","",Ремонты!E103)</f>
        <v/>
      </c>
      <c r="E710" s="10">
        <f>IF($A710="","","Отправка из ремонта")</f>
        <v/>
      </c>
      <c r="F710" s="10">
        <f>IF($A710="","",Ремонты!T103)</f>
        <v/>
      </c>
      <c r="G710" s="10">
        <f>IF($A710="","","Автозапись из листа Ремонты")</f>
        <v/>
      </c>
    </row>
    <row r="711">
      <c r="A711" s="12">
        <f>IF(Ремонты!J103="","",Ремонты!J103)</f>
        <v/>
      </c>
      <c r="B711" s="10">
        <f>IF($A711="","",Ремонты!A103)</f>
        <v/>
      </c>
      <c r="C711" s="10">
        <f>IF($A711="","",Ремонты!D103)</f>
        <v/>
      </c>
      <c r="D711" s="10">
        <f>IF($A711="","",Ремонты!E103)</f>
        <v/>
      </c>
      <c r="E711" s="10">
        <f>IF($A711="","","Отправка из Иркутска")</f>
        <v/>
      </c>
      <c r="F711" s="10">
        <f>IF($A711="","",Ремонты!T103)</f>
        <v/>
      </c>
      <c r="G711" s="10">
        <f>IF($A711="","","Автозапись из листа Ремонты")</f>
        <v/>
      </c>
    </row>
    <row r="712">
      <c r="A712" s="12">
        <f>IF(Ремонты!K103="","",Ремонты!K103)</f>
        <v/>
      </c>
      <c r="B712" s="10">
        <f>IF($A712="","",Ремонты!A103)</f>
        <v/>
      </c>
      <c r="C712" s="10">
        <f>IF($A712="","",Ремонты!D103)</f>
        <v/>
      </c>
      <c r="D712" s="10">
        <f>IF($A712="","",Ремонты!E103)</f>
        <v/>
      </c>
      <c r="E712" s="10">
        <f>IF($A712="","","Прибытие в Ленск")</f>
        <v/>
      </c>
      <c r="F712" s="10">
        <f>IF($A712="","",Ремонты!T103)</f>
        <v/>
      </c>
      <c r="G712" s="10">
        <f>IF($A712="","","Автозапись из листа Ремонты")</f>
        <v/>
      </c>
    </row>
    <row r="713">
      <c r="A713" s="12">
        <f>IF(Ремонты!M103="","",Ремонты!M103)</f>
        <v/>
      </c>
      <c r="B713" s="10">
        <f>IF($A713="","",Ремонты!A103)</f>
        <v/>
      </c>
      <c r="C713" s="10">
        <f>IF($A713="","",Ремонты!D103)</f>
        <v/>
      </c>
      <c r="D713" s="10">
        <f>IF($A713="","",Ремонты!E103)</f>
        <v/>
      </c>
      <c r="E713" s="10">
        <f>IF($A713="","","Фактическое получение")</f>
        <v/>
      </c>
      <c r="F713" s="10">
        <f>IF($A713="","",Ремонты!T103)</f>
        <v/>
      </c>
      <c r="G713" s="10">
        <f>IF($A713="","","Автозапись из листа Ремонты")</f>
        <v/>
      </c>
    </row>
    <row r="714">
      <c r="A714" s="12">
        <f>IF(Ремонты!P103="","",Ремонты!P103)</f>
        <v/>
      </c>
      <c r="B714" s="10">
        <f>IF($A714="","",Ремонты!A103)</f>
        <v/>
      </c>
      <c r="C714" s="10">
        <f>IF($A714="","",Ремонты!D103)</f>
        <v/>
      </c>
      <c r="D714" s="10">
        <f>IF($A714="","",Ремонты!E103)</f>
        <v/>
      </c>
      <c r="E714" s="10">
        <f>IF($A714="","","Входной контроль")</f>
        <v/>
      </c>
      <c r="F714" s="10">
        <f>IF($A714="","",Ремонты!T103)</f>
        <v/>
      </c>
      <c r="G714" s="10">
        <f>IF($A714="","","Автозапись из листа Ремонты")</f>
        <v/>
      </c>
    </row>
    <row r="715">
      <c r="A715" s="12">
        <f>IF(Ремонты!S103="","",Ремонты!S103)</f>
        <v/>
      </c>
      <c r="B715" s="10">
        <f>IF($A715="","",Ремонты!A103)</f>
        <v/>
      </c>
      <c r="C715" s="10">
        <f>IF($A715="","",Ремонты!D103)</f>
        <v/>
      </c>
      <c r="D715" s="10">
        <f>IF($A715="","",Ремонты!E103)</f>
        <v/>
      </c>
      <c r="E715" s="10">
        <f>IF($A715="","","Оплата")</f>
        <v/>
      </c>
      <c r="F715" s="10">
        <f>IF($A715="","",Ремонты!T103)</f>
        <v/>
      </c>
      <c r="G715" s="10">
        <f>IF($A715="","","Автозапись из листа Ремонты")</f>
        <v/>
      </c>
    </row>
    <row r="716">
      <c r="A716" s="12">
        <f>IF(Ремонты!G104="","",Ремонты!G104)</f>
        <v/>
      </c>
      <c r="B716" s="10">
        <f>IF($A716="","",Ремонты!A104)</f>
        <v/>
      </c>
      <c r="C716" s="10">
        <f>IF($A716="","",Ремонты!D104)</f>
        <v/>
      </c>
      <c r="D716" s="10">
        <f>IF($A716="","",Ремонты!E104)</f>
        <v/>
      </c>
      <c r="E716" s="10">
        <f>IF($A716="","","Отправка в ремонт")</f>
        <v/>
      </c>
      <c r="F716" s="10">
        <f>IF($A716="","",Ремонты!T104)</f>
        <v/>
      </c>
      <c r="G716" s="10">
        <f>IF($A716="","","Автозапись из листа Ремонты")</f>
        <v/>
      </c>
    </row>
    <row r="717">
      <c r="A717" s="12">
        <f>IF(Ремонты!I104="","",Ремонты!I104)</f>
        <v/>
      </c>
      <c r="B717" s="10">
        <f>IF($A717="","",Ремонты!A104)</f>
        <v/>
      </c>
      <c r="C717" s="10">
        <f>IF($A717="","",Ремонты!D104)</f>
        <v/>
      </c>
      <c r="D717" s="10">
        <f>IF($A717="","",Ремонты!E104)</f>
        <v/>
      </c>
      <c r="E717" s="10">
        <f>IF($A717="","","Отправка из ремонта")</f>
        <v/>
      </c>
      <c r="F717" s="10">
        <f>IF($A717="","",Ремонты!T104)</f>
        <v/>
      </c>
      <c r="G717" s="10">
        <f>IF($A717="","","Автозапись из листа Ремонты")</f>
        <v/>
      </c>
    </row>
    <row r="718">
      <c r="A718" s="12">
        <f>IF(Ремонты!J104="","",Ремонты!J104)</f>
        <v/>
      </c>
      <c r="B718" s="10">
        <f>IF($A718="","",Ремонты!A104)</f>
        <v/>
      </c>
      <c r="C718" s="10">
        <f>IF($A718="","",Ремонты!D104)</f>
        <v/>
      </c>
      <c r="D718" s="10">
        <f>IF($A718="","",Ремонты!E104)</f>
        <v/>
      </c>
      <c r="E718" s="10">
        <f>IF($A718="","","Отправка из Иркутска")</f>
        <v/>
      </c>
      <c r="F718" s="10">
        <f>IF($A718="","",Ремонты!T104)</f>
        <v/>
      </c>
      <c r="G718" s="10">
        <f>IF($A718="","","Автозапись из листа Ремонты")</f>
        <v/>
      </c>
    </row>
    <row r="719">
      <c r="A719" s="12">
        <f>IF(Ремонты!K104="","",Ремонты!K104)</f>
        <v/>
      </c>
      <c r="B719" s="10">
        <f>IF($A719="","",Ремонты!A104)</f>
        <v/>
      </c>
      <c r="C719" s="10">
        <f>IF($A719="","",Ремонты!D104)</f>
        <v/>
      </c>
      <c r="D719" s="10">
        <f>IF($A719="","",Ремонты!E104)</f>
        <v/>
      </c>
      <c r="E719" s="10">
        <f>IF($A719="","","Прибытие в Ленск")</f>
        <v/>
      </c>
      <c r="F719" s="10">
        <f>IF($A719="","",Ремонты!T104)</f>
        <v/>
      </c>
      <c r="G719" s="10">
        <f>IF($A719="","","Автозапись из листа Ремонты")</f>
        <v/>
      </c>
    </row>
    <row r="720">
      <c r="A720" s="12">
        <f>IF(Ремонты!M104="","",Ремонты!M104)</f>
        <v/>
      </c>
      <c r="B720" s="10">
        <f>IF($A720="","",Ремонты!A104)</f>
        <v/>
      </c>
      <c r="C720" s="10">
        <f>IF($A720="","",Ремонты!D104)</f>
        <v/>
      </c>
      <c r="D720" s="10">
        <f>IF($A720="","",Ремонты!E104)</f>
        <v/>
      </c>
      <c r="E720" s="10">
        <f>IF($A720="","","Фактическое получение")</f>
        <v/>
      </c>
      <c r="F720" s="10">
        <f>IF($A720="","",Ремонты!T104)</f>
        <v/>
      </c>
      <c r="G720" s="10">
        <f>IF($A720="","","Автозапись из листа Ремонты")</f>
        <v/>
      </c>
    </row>
    <row r="721">
      <c r="A721" s="12">
        <f>IF(Ремонты!P104="","",Ремонты!P104)</f>
        <v/>
      </c>
      <c r="B721" s="10">
        <f>IF($A721="","",Ремонты!A104)</f>
        <v/>
      </c>
      <c r="C721" s="10">
        <f>IF($A721="","",Ремонты!D104)</f>
        <v/>
      </c>
      <c r="D721" s="10">
        <f>IF($A721="","",Ремонты!E104)</f>
        <v/>
      </c>
      <c r="E721" s="10">
        <f>IF($A721="","","Входной контроль")</f>
        <v/>
      </c>
      <c r="F721" s="10">
        <f>IF($A721="","",Ремонты!T104)</f>
        <v/>
      </c>
      <c r="G721" s="10">
        <f>IF($A721="","","Автозапись из листа Ремонты")</f>
        <v/>
      </c>
    </row>
    <row r="722">
      <c r="A722" s="12">
        <f>IF(Ремонты!S104="","",Ремонты!S104)</f>
        <v/>
      </c>
      <c r="B722" s="10">
        <f>IF($A722="","",Ремонты!A104)</f>
        <v/>
      </c>
      <c r="C722" s="10">
        <f>IF($A722="","",Ремонты!D104)</f>
        <v/>
      </c>
      <c r="D722" s="10">
        <f>IF($A722="","",Ремонты!E104)</f>
        <v/>
      </c>
      <c r="E722" s="10">
        <f>IF($A722="","","Оплата")</f>
        <v/>
      </c>
      <c r="F722" s="10">
        <f>IF($A722="","",Ремонты!T104)</f>
        <v/>
      </c>
      <c r="G722" s="10">
        <f>IF($A722="","","Автозапись из листа Ремонты")</f>
        <v/>
      </c>
    </row>
    <row r="723">
      <c r="A723" s="12">
        <f>IF(Ремонты!G105="","",Ремонты!G105)</f>
        <v/>
      </c>
      <c r="B723" s="10">
        <f>IF($A723="","",Ремонты!A105)</f>
        <v/>
      </c>
      <c r="C723" s="10">
        <f>IF($A723="","",Ремонты!D105)</f>
        <v/>
      </c>
      <c r="D723" s="10">
        <f>IF($A723="","",Ремонты!E105)</f>
        <v/>
      </c>
      <c r="E723" s="10">
        <f>IF($A723="","","Отправка в ремонт")</f>
        <v/>
      </c>
      <c r="F723" s="10">
        <f>IF($A723="","",Ремонты!T105)</f>
        <v/>
      </c>
      <c r="G723" s="10">
        <f>IF($A723="","","Автозапись из листа Ремонты")</f>
        <v/>
      </c>
    </row>
    <row r="724">
      <c r="A724" s="12">
        <f>IF(Ремонты!I105="","",Ремонты!I105)</f>
        <v/>
      </c>
      <c r="B724" s="10">
        <f>IF($A724="","",Ремонты!A105)</f>
        <v/>
      </c>
      <c r="C724" s="10">
        <f>IF($A724="","",Ремонты!D105)</f>
        <v/>
      </c>
      <c r="D724" s="10">
        <f>IF($A724="","",Ремонты!E105)</f>
        <v/>
      </c>
      <c r="E724" s="10">
        <f>IF($A724="","","Отправка из ремонта")</f>
        <v/>
      </c>
      <c r="F724" s="10">
        <f>IF($A724="","",Ремонты!T105)</f>
        <v/>
      </c>
      <c r="G724" s="10">
        <f>IF($A724="","","Автозапись из листа Ремонты")</f>
        <v/>
      </c>
    </row>
    <row r="725">
      <c r="A725" s="12">
        <f>IF(Ремонты!J105="","",Ремонты!J105)</f>
        <v/>
      </c>
      <c r="B725" s="10">
        <f>IF($A725="","",Ремонты!A105)</f>
        <v/>
      </c>
      <c r="C725" s="10">
        <f>IF($A725="","",Ремонты!D105)</f>
        <v/>
      </c>
      <c r="D725" s="10">
        <f>IF($A725="","",Ремонты!E105)</f>
        <v/>
      </c>
      <c r="E725" s="10">
        <f>IF($A725="","","Отправка из Иркутска")</f>
        <v/>
      </c>
      <c r="F725" s="10">
        <f>IF($A725="","",Ремонты!T105)</f>
        <v/>
      </c>
      <c r="G725" s="10">
        <f>IF($A725="","","Автозапись из листа Ремонты")</f>
        <v/>
      </c>
    </row>
    <row r="726">
      <c r="A726" s="12">
        <f>IF(Ремонты!K105="","",Ремонты!K105)</f>
        <v/>
      </c>
      <c r="B726" s="10">
        <f>IF($A726="","",Ремонты!A105)</f>
        <v/>
      </c>
      <c r="C726" s="10">
        <f>IF($A726="","",Ремонты!D105)</f>
        <v/>
      </c>
      <c r="D726" s="10">
        <f>IF($A726="","",Ремонты!E105)</f>
        <v/>
      </c>
      <c r="E726" s="10">
        <f>IF($A726="","","Прибытие в Ленск")</f>
        <v/>
      </c>
      <c r="F726" s="10">
        <f>IF($A726="","",Ремонты!T105)</f>
        <v/>
      </c>
      <c r="G726" s="10">
        <f>IF($A726="","","Автозапись из листа Ремонты")</f>
        <v/>
      </c>
    </row>
    <row r="727">
      <c r="A727" s="12">
        <f>IF(Ремонты!M105="","",Ремонты!M105)</f>
        <v/>
      </c>
      <c r="B727" s="10">
        <f>IF($A727="","",Ремонты!A105)</f>
        <v/>
      </c>
      <c r="C727" s="10">
        <f>IF($A727="","",Ремонты!D105)</f>
        <v/>
      </c>
      <c r="D727" s="10">
        <f>IF($A727="","",Ремонты!E105)</f>
        <v/>
      </c>
      <c r="E727" s="10">
        <f>IF($A727="","","Фактическое получение")</f>
        <v/>
      </c>
      <c r="F727" s="10">
        <f>IF($A727="","",Ремонты!T105)</f>
        <v/>
      </c>
      <c r="G727" s="10">
        <f>IF($A727="","","Автозапись из листа Ремонты")</f>
        <v/>
      </c>
    </row>
    <row r="728">
      <c r="A728" s="12">
        <f>IF(Ремонты!P105="","",Ремонты!P105)</f>
        <v/>
      </c>
      <c r="B728" s="10">
        <f>IF($A728="","",Ремонты!A105)</f>
        <v/>
      </c>
      <c r="C728" s="10">
        <f>IF($A728="","",Ремонты!D105)</f>
        <v/>
      </c>
      <c r="D728" s="10">
        <f>IF($A728="","",Ремонты!E105)</f>
        <v/>
      </c>
      <c r="E728" s="10">
        <f>IF($A728="","","Входной контроль")</f>
        <v/>
      </c>
      <c r="F728" s="10">
        <f>IF($A728="","",Ремонты!T105)</f>
        <v/>
      </c>
      <c r="G728" s="10">
        <f>IF($A728="","","Автозапись из листа Ремонты")</f>
        <v/>
      </c>
    </row>
    <row r="729">
      <c r="A729" s="12">
        <f>IF(Ремонты!S105="","",Ремонты!S105)</f>
        <v/>
      </c>
      <c r="B729" s="10">
        <f>IF($A729="","",Ремонты!A105)</f>
        <v/>
      </c>
      <c r="C729" s="10">
        <f>IF($A729="","",Ремонты!D105)</f>
        <v/>
      </c>
      <c r="D729" s="10">
        <f>IF($A729="","",Ремонты!E105)</f>
        <v/>
      </c>
      <c r="E729" s="10">
        <f>IF($A729="","","Оплата")</f>
        <v/>
      </c>
      <c r="F729" s="10">
        <f>IF($A729="","",Ремонты!T105)</f>
        <v/>
      </c>
      <c r="G729" s="10">
        <f>IF($A729="","","Автозапись из листа Ремонты")</f>
        <v/>
      </c>
    </row>
    <row r="730">
      <c r="A730" s="12">
        <f>IF(Ремонты!G106="","",Ремонты!G106)</f>
        <v/>
      </c>
      <c r="B730" s="10">
        <f>IF($A730="","",Ремонты!A106)</f>
        <v/>
      </c>
      <c r="C730" s="10">
        <f>IF($A730="","",Ремонты!D106)</f>
        <v/>
      </c>
      <c r="D730" s="10">
        <f>IF($A730="","",Ремонты!E106)</f>
        <v/>
      </c>
      <c r="E730" s="10">
        <f>IF($A730="","","Отправка в ремонт")</f>
        <v/>
      </c>
      <c r="F730" s="10">
        <f>IF($A730="","",Ремонты!T106)</f>
        <v/>
      </c>
      <c r="G730" s="10">
        <f>IF($A730="","","Автозапись из листа Ремонты")</f>
        <v/>
      </c>
    </row>
    <row r="731">
      <c r="A731" s="12">
        <f>IF(Ремонты!I106="","",Ремонты!I106)</f>
        <v/>
      </c>
      <c r="B731" s="10">
        <f>IF($A731="","",Ремонты!A106)</f>
        <v/>
      </c>
      <c r="C731" s="10">
        <f>IF($A731="","",Ремонты!D106)</f>
        <v/>
      </c>
      <c r="D731" s="10">
        <f>IF($A731="","",Ремонты!E106)</f>
        <v/>
      </c>
      <c r="E731" s="10">
        <f>IF($A731="","","Отправка из ремонта")</f>
        <v/>
      </c>
      <c r="F731" s="10">
        <f>IF($A731="","",Ремонты!T106)</f>
        <v/>
      </c>
      <c r="G731" s="10">
        <f>IF($A731="","","Автозапись из листа Ремонты")</f>
        <v/>
      </c>
    </row>
    <row r="732">
      <c r="A732" s="12">
        <f>IF(Ремонты!J106="","",Ремонты!J106)</f>
        <v/>
      </c>
      <c r="B732" s="10">
        <f>IF($A732="","",Ремонты!A106)</f>
        <v/>
      </c>
      <c r="C732" s="10">
        <f>IF($A732="","",Ремонты!D106)</f>
        <v/>
      </c>
      <c r="D732" s="10">
        <f>IF($A732="","",Ремонты!E106)</f>
        <v/>
      </c>
      <c r="E732" s="10">
        <f>IF($A732="","","Отправка из Иркутска")</f>
        <v/>
      </c>
      <c r="F732" s="10">
        <f>IF($A732="","",Ремонты!T106)</f>
        <v/>
      </c>
      <c r="G732" s="10">
        <f>IF($A732="","","Автозапись из листа Ремонты")</f>
        <v/>
      </c>
    </row>
    <row r="733">
      <c r="A733" s="12">
        <f>IF(Ремонты!K106="","",Ремонты!K106)</f>
        <v/>
      </c>
      <c r="B733" s="10">
        <f>IF($A733="","",Ремонты!A106)</f>
        <v/>
      </c>
      <c r="C733" s="10">
        <f>IF($A733="","",Ремонты!D106)</f>
        <v/>
      </c>
      <c r="D733" s="10">
        <f>IF($A733="","",Ремонты!E106)</f>
        <v/>
      </c>
      <c r="E733" s="10">
        <f>IF($A733="","","Прибытие в Ленск")</f>
        <v/>
      </c>
      <c r="F733" s="10">
        <f>IF($A733="","",Ремонты!T106)</f>
        <v/>
      </c>
      <c r="G733" s="10">
        <f>IF($A733="","","Автозапись из листа Ремонты")</f>
        <v/>
      </c>
    </row>
    <row r="734">
      <c r="A734" s="12">
        <f>IF(Ремонты!M106="","",Ремонты!M106)</f>
        <v/>
      </c>
      <c r="B734" s="10">
        <f>IF($A734="","",Ремонты!A106)</f>
        <v/>
      </c>
      <c r="C734" s="10">
        <f>IF($A734="","",Ремонты!D106)</f>
        <v/>
      </c>
      <c r="D734" s="10">
        <f>IF($A734="","",Ремонты!E106)</f>
        <v/>
      </c>
      <c r="E734" s="10">
        <f>IF($A734="","","Фактическое получение")</f>
        <v/>
      </c>
      <c r="F734" s="10">
        <f>IF($A734="","",Ремонты!T106)</f>
        <v/>
      </c>
      <c r="G734" s="10">
        <f>IF($A734="","","Автозапись из листа Ремонты")</f>
        <v/>
      </c>
    </row>
    <row r="735">
      <c r="A735" s="12">
        <f>IF(Ремонты!P106="","",Ремонты!P106)</f>
        <v/>
      </c>
      <c r="B735" s="10">
        <f>IF($A735="","",Ремонты!A106)</f>
        <v/>
      </c>
      <c r="C735" s="10">
        <f>IF($A735="","",Ремонты!D106)</f>
        <v/>
      </c>
      <c r="D735" s="10">
        <f>IF($A735="","",Ремонты!E106)</f>
        <v/>
      </c>
      <c r="E735" s="10">
        <f>IF($A735="","","Входной контроль")</f>
        <v/>
      </c>
      <c r="F735" s="10">
        <f>IF($A735="","",Ремонты!T106)</f>
        <v/>
      </c>
      <c r="G735" s="10">
        <f>IF($A735="","","Автозапись из листа Ремонты")</f>
        <v/>
      </c>
    </row>
    <row r="736">
      <c r="A736" s="12">
        <f>IF(Ремонты!S106="","",Ремонты!S106)</f>
        <v/>
      </c>
      <c r="B736" s="10">
        <f>IF($A736="","",Ремонты!A106)</f>
        <v/>
      </c>
      <c r="C736" s="10">
        <f>IF($A736="","",Ремонты!D106)</f>
        <v/>
      </c>
      <c r="D736" s="10">
        <f>IF($A736="","",Ремонты!E106)</f>
        <v/>
      </c>
      <c r="E736" s="10">
        <f>IF($A736="","","Оплата")</f>
        <v/>
      </c>
      <c r="F736" s="10">
        <f>IF($A736="","",Ремонты!T106)</f>
        <v/>
      </c>
      <c r="G736" s="10">
        <f>IF($A736="","","Автозапись из листа Ремонты")</f>
        <v/>
      </c>
    </row>
    <row r="737">
      <c r="A737" s="12">
        <f>IF(Ремонты!G107="","",Ремонты!G107)</f>
        <v/>
      </c>
      <c r="B737" s="10">
        <f>IF($A737="","",Ремонты!A107)</f>
        <v/>
      </c>
      <c r="C737" s="10">
        <f>IF($A737="","",Ремонты!D107)</f>
        <v/>
      </c>
      <c r="D737" s="10">
        <f>IF($A737="","",Ремонты!E107)</f>
        <v/>
      </c>
      <c r="E737" s="10">
        <f>IF($A737="","","Отправка в ремонт")</f>
        <v/>
      </c>
      <c r="F737" s="10">
        <f>IF($A737="","",Ремонты!T107)</f>
        <v/>
      </c>
      <c r="G737" s="10">
        <f>IF($A737="","","Автозапись из листа Ремонты")</f>
        <v/>
      </c>
    </row>
    <row r="738">
      <c r="A738" s="12">
        <f>IF(Ремонты!I107="","",Ремонты!I107)</f>
        <v/>
      </c>
      <c r="B738" s="10">
        <f>IF($A738="","",Ремонты!A107)</f>
        <v/>
      </c>
      <c r="C738" s="10">
        <f>IF($A738="","",Ремонты!D107)</f>
        <v/>
      </c>
      <c r="D738" s="10">
        <f>IF($A738="","",Ремонты!E107)</f>
        <v/>
      </c>
      <c r="E738" s="10">
        <f>IF($A738="","","Отправка из ремонта")</f>
        <v/>
      </c>
      <c r="F738" s="10">
        <f>IF($A738="","",Ремонты!T107)</f>
        <v/>
      </c>
      <c r="G738" s="10">
        <f>IF($A738="","","Автозапись из листа Ремонты")</f>
        <v/>
      </c>
    </row>
    <row r="739">
      <c r="A739" s="12">
        <f>IF(Ремонты!J107="","",Ремонты!J107)</f>
        <v/>
      </c>
      <c r="B739" s="10">
        <f>IF($A739="","",Ремонты!A107)</f>
        <v/>
      </c>
      <c r="C739" s="10">
        <f>IF($A739="","",Ремонты!D107)</f>
        <v/>
      </c>
      <c r="D739" s="10">
        <f>IF($A739="","",Ремонты!E107)</f>
        <v/>
      </c>
      <c r="E739" s="10">
        <f>IF($A739="","","Отправка из Иркутска")</f>
        <v/>
      </c>
      <c r="F739" s="10">
        <f>IF($A739="","",Ремонты!T107)</f>
        <v/>
      </c>
      <c r="G739" s="10">
        <f>IF($A739="","","Автозапись из листа Ремонты")</f>
        <v/>
      </c>
    </row>
    <row r="740">
      <c r="A740" s="12">
        <f>IF(Ремонты!K107="","",Ремонты!K107)</f>
        <v/>
      </c>
      <c r="B740" s="10">
        <f>IF($A740="","",Ремонты!A107)</f>
        <v/>
      </c>
      <c r="C740" s="10">
        <f>IF($A740="","",Ремонты!D107)</f>
        <v/>
      </c>
      <c r="D740" s="10">
        <f>IF($A740="","",Ремонты!E107)</f>
        <v/>
      </c>
      <c r="E740" s="10">
        <f>IF($A740="","","Прибытие в Ленск")</f>
        <v/>
      </c>
      <c r="F740" s="10">
        <f>IF($A740="","",Ремонты!T107)</f>
        <v/>
      </c>
      <c r="G740" s="10">
        <f>IF($A740="","","Автозапись из листа Ремонты")</f>
        <v/>
      </c>
    </row>
    <row r="741">
      <c r="A741" s="12">
        <f>IF(Ремонты!M107="","",Ремонты!M107)</f>
        <v/>
      </c>
      <c r="B741" s="10">
        <f>IF($A741="","",Ремонты!A107)</f>
        <v/>
      </c>
      <c r="C741" s="10">
        <f>IF($A741="","",Ремонты!D107)</f>
        <v/>
      </c>
      <c r="D741" s="10">
        <f>IF($A741="","",Ремонты!E107)</f>
        <v/>
      </c>
      <c r="E741" s="10">
        <f>IF($A741="","","Фактическое получение")</f>
        <v/>
      </c>
      <c r="F741" s="10">
        <f>IF($A741="","",Ремонты!T107)</f>
        <v/>
      </c>
      <c r="G741" s="10">
        <f>IF($A741="","","Автозапись из листа Ремонты")</f>
        <v/>
      </c>
    </row>
    <row r="742">
      <c r="A742" s="12">
        <f>IF(Ремонты!P107="","",Ремонты!P107)</f>
        <v/>
      </c>
      <c r="B742" s="10">
        <f>IF($A742="","",Ремонты!A107)</f>
        <v/>
      </c>
      <c r="C742" s="10">
        <f>IF($A742="","",Ремонты!D107)</f>
        <v/>
      </c>
      <c r="D742" s="10">
        <f>IF($A742="","",Ремонты!E107)</f>
        <v/>
      </c>
      <c r="E742" s="10">
        <f>IF($A742="","","Входной контроль")</f>
        <v/>
      </c>
      <c r="F742" s="10">
        <f>IF($A742="","",Ремонты!T107)</f>
        <v/>
      </c>
      <c r="G742" s="10">
        <f>IF($A742="","","Автозапись из листа Ремонты")</f>
        <v/>
      </c>
    </row>
    <row r="743">
      <c r="A743" s="12">
        <f>IF(Ремонты!S107="","",Ремонты!S107)</f>
        <v/>
      </c>
      <c r="B743" s="10">
        <f>IF($A743="","",Ремонты!A107)</f>
        <v/>
      </c>
      <c r="C743" s="10">
        <f>IF($A743="","",Ремонты!D107)</f>
        <v/>
      </c>
      <c r="D743" s="10">
        <f>IF($A743="","",Ремонты!E107)</f>
        <v/>
      </c>
      <c r="E743" s="10">
        <f>IF($A743="","","Оплата")</f>
        <v/>
      </c>
      <c r="F743" s="10">
        <f>IF($A743="","",Ремонты!T107)</f>
        <v/>
      </c>
      <c r="G743" s="10">
        <f>IF($A743="","","Автозапись из листа Ремонты")</f>
        <v/>
      </c>
    </row>
    <row r="744">
      <c r="A744" s="12">
        <f>IF(Ремонты!G108="","",Ремонты!G108)</f>
        <v/>
      </c>
      <c r="B744" s="10">
        <f>IF($A744="","",Ремонты!A108)</f>
        <v/>
      </c>
      <c r="C744" s="10">
        <f>IF($A744="","",Ремонты!D108)</f>
        <v/>
      </c>
      <c r="D744" s="10">
        <f>IF($A744="","",Ремонты!E108)</f>
        <v/>
      </c>
      <c r="E744" s="10">
        <f>IF($A744="","","Отправка в ремонт")</f>
        <v/>
      </c>
      <c r="F744" s="10">
        <f>IF($A744="","",Ремонты!T108)</f>
        <v/>
      </c>
      <c r="G744" s="10">
        <f>IF($A744="","","Автозапись из листа Ремонты")</f>
        <v/>
      </c>
    </row>
    <row r="745">
      <c r="A745" s="12">
        <f>IF(Ремонты!I108="","",Ремонты!I108)</f>
        <v/>
      </c>
      <c r="B745" s="10">
        <f>IF($A745="","",Ремонты!A108)</f>
        <v/>
      </c>
      <c r="C745" s="10">
        <f>IF($A745="","",Ремонты!D108)</f>
        <v/>
      </c>
      <c r="D745" s="10">
        <f>IF($A745="","",Ремонты!E108)</f>
        <v/>
      </c>
      <c r="E745" s="10">
        <f>IF($A745="","","Отправка из ремонта")</f>
        <v/>
      </c>
      <c r="F745" s="10">
        <f>IF($A745="","",Ремонты!T108)</f>
        <v/>
      </c>
      <c r="G745" s="10">
        <f>IF($A745="","","Автозапись из листа Ремонты")</f>
        <v/>
      </c>
    </row>
    <row r="746">
      <c r="A746" s="12">
        <f>IF(Ремонты!J108="","",Ремонты!J108)</f>
        <v/>
      </c>
      <c r="B746" s="10">
        <f>IF($A746="","",Ремонты!A108)</f>
        <v/>
      </c>
      <c r="C746" s="10">
        <f>IF($A746="","",Ремонты!D108)</f>
        <v/>
      </c>
      <c r="D746" s="10">
        <f>IF($A746="","",Ремонты!E108)</f>
        <v/>
      </c>
      <c r="E746" s="10">
        <f>IF($A746="","","Отправка из Иркутска")</f>
        <v/>
      </c>
      <c r="F746" s="10">
        <f>IF($A746="","",Ремонты!T108)</f>
        <v/>
      </c>
      <c r="G746" s="10">
        <f>IF($A746="","","Автозапись из листа Ремонты")</f>
        <v/>
      </c>
    </row>
    <row r="747">
      <c r="A747" s="12">
        <f>IF(Ремонты!K108="","",Ремонты!K108)</f>
        <v/>
      </c>
      <c r="B747" s="10">
        <f>IF($A747="","",Ремонты!A108)</f>
        <v/>
      </c>
      <c r="C747" s="10">
        <f>IF($A747="","",Ремонты!D108)</f>
        <v/>
      </c>
      <c r="D747" s="10">
        <f>IF($A747="","",Ремонты!E108)</f>
        <v/>
      </c>
      <c r="E747" s="10">
        <f>IF($A747="","","Прибытие в Ленск")</f>
        <v/>
      </c>
      <c r="F747" s="10">
        <f>IF($A747="","",Ремонты!T108)</f>
        <v/>
      </c>
      <c r="G747" s="10">
        <f>IF($A747="","","Автозапись из листа Ремонты")</f>
        <v/>
      </c>
    </row>
    <row r="748">
      <c r="A748" s="12">
        <f>IF(Ремонты!M108="","",Ремонты!M108)</f>
        <v/>
      </c>
      <c r="B748" s="10">
        <f>IF($A748="","",Ремонты!A108)</f>
        <v/>
      </c>
      <c r="C748" s="10">
        <f>IF($A748="","",Ремонты!D108)</f>
        <v/>
      </c>
      <c r="D748" s="10">
        <f>IF($A748="","",Ремонты!E108)</f>
        <v/>
      </c>
      <c r="E748" s="10">
        <f>IF($A748="","","Фактическое получение")</f>
        <v/>
      </c>
      <c r="F748" s="10">
        <f>IF($A748="","",Ремонты!T108)</f>
        <v/>
      </c>
      <c r="G748" s="10">
        <f>IF($A748="","","Автозапись из листа Ремонты")</f>
        <v/>
      </c>
    </row>
    <row r="749">
      <c r="A749" s="12">
        <f>IF(Ремонты!P108="","",Ремонты!P108)</f>
        <v/>
      </c>
      <c r="B749" s="10">
        <f>IF($A749="","",Ремонты!A108)</f>
        <v/>
      </c>
      <c r="C749" s="10">
        <f>IF($A749="","",Ремонты!D108)</f>
        <v/>
      </c>
      <c r="D749" s="10">
        <f>IF($A749="","",Ремонты!E108)</f>
        <v/>
      </c>
      <c r="E749" s="10">
        <f>IF($A749="","","Входной контроль")</f>
        <v/>
      </c>
      <c r="F749" s="10">
        <f>IF($A749="","",Ремонты!T108)</f>
        <v/>
      </c>
      <c r="G749" s="10">
        <f>IF($A749="","","Автозапись из листа Ремонты")</f>
        <v/>
      </c>
    </row>
    <row r="750">
      <c r="A750" s="12">
        <f>IF(Ремонты!S108="","",Ремонты!S108)</f>
        <v/>
      </c>
      <c r="B750" s="10">
        <f>IF($A750="","",Ремонты!A108)</f>
        <v/>
      </c>
      <c r="C750" s="10">
        <f>IF($A750="","",Ремонты!D108)</f>
        <v/>
      </c>
      <c r="D750" s="10">
        <f>IF($A750="","",Ремонты!E108)</f>
        <v/>
      </c>
      <c r="E750" s="10">
        <f>IF($A750="","","Оплата")</f>
        <v/>
      </c>
      <c r="F750" s="10">
        <f>IF($A750="","",Ремонты!T108)</f>
        <v/>
      </c>
      <c r="G750" s="10">
        <f>IF($A750="","","Автозапись из листа Ремонты")</f>
        <v/>
      </c>
    </row>
    <row r="751">
      <c r="A751" s="12">
        <f>IF(Ремонты!G109="","",Ремонты!G109)</f>
        <v/>
      </c>
      <c r="B751" s="10">
        <f>IF($A751="","",Ремонты!A109)</f>
        <v/>
      </c>
      <c r="C751" s="10">
        <f>IF($A751="","",Ремонты!D109)</f>
        <v/>
      </c>
      <c r="D751" s="10">
        <f>IF($A751="","",Ремонты!E109)</f>
        <v/>
      </c>
      <c r="E751" s="10">
        <f>IF($A751="","","Отправка в ремонт")</f>
        <v/>
      </c>
      <c r="F751" s="10">
        <f>IF($A751="","",Ремонты!T109)</f>
        <v/>
      </c>
      <c r="G751" s="10">
        <f>IF($A751="","","Автозапись из листа Ремонты")</f>
        <v/>
      </c>
    </row>
    <row r="752">
      <c r="A752" s="12">
        <f>IF(Ремонты!I109="","",Ремонты!I109)</f>
        <v/>
      </c>
      <c r="B752" s="10">
        <f>IF($A752="","",Ремонты!A109)</f>
        <v/>
      </c>
      <c r="C752" s="10">
        <f>IF($A752="","",Ремонты!D109)</f>
        <v/>
      </c>
      <c r="D752" s="10">
        <f>IF($A752="","",Ремонты!E109)</f>
        <v/>
      </c>
      <c r="E752" s="10">
        <f>IF($A752="","","Отправка из ремонта")</f>
        <v/>
      </c>
      <c r="F752" s="10">
        <f>IF($A752="","",Ремонты!T109)</f>
        <v/>
      </c>
      <c r="G752" s="10">
        <f>IF($A752="","","Автозапись из листа Ремонты")</f>
        <v/>
      </c>
    </row>
    <row r="753">
      <c r="A753" s="12">
        <f>IF(Ремонты!J109="","",Ремонты!J109)</f>
        <v/>
      </c>
      <c r="B753" s="10">
        <f>IF($A753="","",Ремонты!A109)</f>
        <v/>
      </c>
      <c r="C753" s="10">
        <f>IF($A753="","",Ремонты!D109)</f>
        <v/>
      </c>
      <c r="D753" s="10">
        <f>IF($A753="","",Ремонты!E109)</f>
        <v/>
      </c>
      <c r="E753" s="10">
        <f>IF($A753="","","Отправка из Иркутска")</f>
        <v/>
      </c>
      <c r="F753" s="10">
        <f>IF($A753="","",Ремонты!T109)</f>
        <v/>
      </c>
      <c r="G753" s="10">
        <f>IF($A753="","","Автозапись из листа Ремонты")</f>
        <v/>
      </c>
    </row>
    <row r="754">
      <c r="A754" s="12">
        <f>IF(Ремонты!K109="","",Ремонты!K109)</f>
        <v/>
      </c>
      <c r="B754" s="10">
        <f>IF($A754="","",Ремонты!A109)</f>
        <v/>
      </c>
      <c r="C754" s="10">
        <f>IF($A754="","",Ремонты!D109)</f>
        <v/>
      </c>
      <c r="D754" s="10">
        <f>IF($A754="","",Ремонты!E109)</f>
        <v/>
      </c>
      <c r="E754" s="10">
        <f>IF($A754="","","Прибытие в Ленск")</f>
        <v/>
      </c>
      <c r="F754" s="10">
        <f>IF($A754="","",Ремонты!T109)</f>
        <v/>
      </c>
      <c r="G754" s="10">
        <f>IF($A754="","","Автозапись из листа Ремонты")</f>
        <v/>
      </c>
    </row>
    <row r="755">
      <c r="A755" s="12">
        <f>IF(Ремонты!M109="","",Ремонты!M109)</f>
        <v/>
      </c>
      <c r="B755" s="10">
        <f>IF($A755="","",Ремонты!A109)</f>
        <v/>
      </c>
      <c r="C755" s="10">
        <f>IF($A755="","",Ремонты!D109)</f>
        <v/>
      </c>
      <c r="D755" s="10">
        <f>IF($A755="","",Ремонты!E109)</f>
        <v/>
      </c>
      <c r="E755" s="10">
        <f>IF($A755="","","Фактическое получение")</f>
        <v/>
      </c>
      <c r="F755" s="10">
        <f>IF($A755="","",Ремонты!T109)</f>
        <v/>
      </c>
      <c r="G755" s="10">
        <f>IF($A755="","","Автозапись из листа Ремонты")</f>
        <v/>
      </c>
    </row>
    <row r="756">
      <c r="A756" s="12">
        <f>IF(Ремонты!P109="","",Ремонты!P109)</f>
        <v/>
      </c>
      <c r="B756" s="10">
        <f>IF($A756="","",Ремонты!A109)</f>
        <v/>
      </c>
      <c r="C756" s="10">
        <f>IF($A756="","",Ремонты!D109)</f>
        <v/>
      </c>
      <c r="D756" s="10">
        <f>IF($A756="","",Ремонты!E109)</f>
        <v/>
      </c>
      <c r="E756" s="10">
        <f>IF($A756="","","Входной контроль")</f>
        <v/>
      </c>
      <c r="F756" s="10">
        <f>IF($A756="","",Ремонты!T109)</f>
        <v/>
      </c>
      <c r="G756" s="10">
        <f>IF($A756="","","Автозапись из листа Ремонты")</f>
        <v/>
      </c>
    </row>
    <row r="757">
      <c r="A757" s="12">
        <f>IF(Ремонты!S109="","",Ремонты!S109)</f>
        <v/>
      </c>
      <c r="B757" s="10">
        <f>IF($A757="","",Ремонты!A109)</f>
        <v/>
      </c>
      <c r="C757" s="10">
        <f>IF($A757="","",Ремонты!D109)</f>
        <v/>
      </c>
      <c r="D757" s="10">
        <f>IF($A757="","",Ремонты!E109)</f>
        <v/>
      </c>
      <c r="E757" s="10">
        <f>IF($A757="","","Оплата")</f>
        <v/>
      </c>
      <c r="F757" s="10">
        <f>IF($A757="","",Ремонты!T109)</f>
        <v/>
      </c>
      <c r="G757" s="10">
        <f>IF($A757="","","Автозапись из листа Ремонты")</f>
        <v/>
      </c>
    </row>
    <row r="758">
      <c r="A758" s="12">
        <f>IF(Ремонты!G110="","",Ремонты!G110)</f>
        <v/>
      </c>
      <c r="B758" s="10">
        <f>IF($A758="","",Ремонты!A110)</f>
        <v/>
      </c>
      <c r="C758" s="10">
        <f>IF($A758="","",Ремонты!D110)</f>
        <v/>
      </c>
      <c r="D758" s="10">
        <f>IF($A758="","",Ремонты!E110)</f>
        <v/>
      </c>
      <c r="E758" s="10">
        <f>IF($A758="","","Отправка в ремонт")</f>
        <v/>
      </c>
      <c r="F758" s="10">
        <f>IF($A758="","",Ремонты!T110)</f>
        <v/>
      </c>
      <c r="G758" s="10">
        <f>IF($A758="","","Автозапись из листа Ремонты")</f>
        <v/>
      </c>
    </row>
    <row r="759">
      <c r="A759" s="12">
        <f>IF(Ремонты!I110="","",Ремонты!I110)</f>
        <v/>
      </c>
      <c r="B759" s="10">
        <f>IF($A759="","",Ремонты!A110)</f>
        <v/>
      </c>
      <c r="C759" s="10">
        <f>IF($A759="","",Ремонты!D110)</f>
        <v/>
      </c>
      <c r="D759" s="10">
        <f>IF($A759="","",Ремонты!E110)</f>
        <v/>
      </c>
      <c r="E759" s="10">
        <f>IF($A759="","","Отправка из ремонта")</f>
        <v/>
      </c>
      <c r="F759" s="10">
        <f>IF($A759="","",Ремонты!T110)</f>
        <v/>
      </c>
      <c r="G759" s="10">
        <f>IF($A759="","","Автозапись из листа Ремонты")</f>
        <v/>
      </c>
    </row>
    <row r="760">
      <c r="A760" s="12">
        <f>IF(Ремонты!J110="","",Ремонты!J110)</f>
        <v/>
      </c>
      <c r="B760" s="10">
        <f>IF($A760="","",Ремонты!A110)</f>
        <v/>
      </c>
      <c r="C760" s="10">
        <f>IF($A760="","",Ремонты!D110)</f>
        <v/>
      </c>
      <c r="D760" s="10">
        <f>IF($A760="","",Ремонты!E110)</f>
        <v/>
      </c>
      <c r="E760" s="10">
        <f>IF($A760="","","Отправка из Иркутска")</f>
        <v/>
      </c>
      <c r="F760" s="10">
        <f>IF($A760="","",Ремонты!T110)</f>
        <v/>
      </c>
      <c r="G760" s="10">
        <f>IF($A760="","","Автозапись из листа Ремонты")</f>
        <v/>
      </c>
    </row>
    <row r="761">
      <c r="A761" s="12">
        <f>IF(Ремонты!K110="","",Ремонты!K110)</f>
        <v/>
      </c>
      <c r="B761" s="10">
        <f>IF($A761="","",Ремонты!A110)</f>
        <v/>
      </c>
      <c r="C761" s="10">
        <f>IF($A761="","",Ремонты!D110)</f>
        <v/>
      </c>
      <c r="D761" s="10">
        <f>IF($A761="","",Ремонты!E110)</f>
        <v/>
      </c>
      <c r="E761" s="10">
        <f>IF($A761="","","Прибытие в Ленск")</f>
        <v/>
      </c>
      <c r="F761" s="10">
        <f>IF($A761="","",Ремонты!T110)</f>
        <v/>
      </c>
      <c r="G761" s="10">
        <f>IF($A761="","","Автозапись из листа Ремонты")</f>
        <v/>
      </c>
    </row>
    <row r="762">
      <c r="A762" s="12">
        <f>IF(Ремонты!M110="","",Ремонты!M110)</f>
        <v/>
      </c>
      <c r="B762" s="10">
        <f>IF($A762="","",Ремонты!A110)</f>
        <v/>
      </c>
      <c r="C762" s="10">
        <f>IF($A762="","",Ремонты!D110)</f>
        <v/>
      </c>
      <c r="D762" s="10">
        <f>IF($A762="","",Ремонты!E110)</f>
        <v/>
      </c>
      <c r="E762" s="10">
        <f>IF($A762="","","Фактическое получение")</f>
        <v/>
      </c>
      <c r="F762" s="10">
        <f>IF($A762="","",Ремонты!T110)</f>
        <v/>
      </c>
      <c r="G762" s="10">
        <f>IF($A762="","","Автозапись из листа Ремонты")</f>
        <v/>
      </c>
    </row>
    <row r="763">
      <c r="A763" s="12">
        <f>IF(Ремонты!P110="","",Ремонты!P110)</f>
        <v/>
      </c>
      <c r="B763" s="10">
        <f>IF($A763="","",Ремонты!A110)</f>
        <v/>
      </c>
      <c r="C763" s="10">
        <f>IF($A763="","",Ремонты!D110)</f>
        <v/>
      </c>
      <c r="D763" s="10">
        <f>IF($A763="","",Ремонты!E110)</f>
        <v/>
      </c>
      <c r="E763" s="10">
        <f>IF($A763="","","Входной контроль")</f>
        <v/>
      </c>
      <c r="F763" s="10">
        <f>IF($A763="","",Ремонты!T110)</f>
        <v/>
      </c>
      <c r="G763" s="10">
        <f>IF($A763="","","Автозапись из листа Ремонты")</f>
        <v/>
      </c>
    </row>
    <row r="764">
      <c r="A764" s="12">
        <f>IF(Ремонты!S110="","",Ремонты!S110)</f>
        <v/>
      </c>
      <c r="B764" s="10">
        <f>IF($A764="","",Ремонты!A110)</f>
        <v/>
      </c>
      <c r="C764" s="10">
        <f>IF($A764="","",Ремонты!D110)</f>
        <v/>
      </c>
      <c r="D764" s="10">
        <f>IF($A764="","",Ремонты!E110)</f>
        <v/>
      </c>
      <c r="E764" s="10">
        <f>IF($A764="","","Оплата")</f>
        <v/>
      </c>
      <c r="F764" s="10">
        <f>IF($A764="","",Ремонты!T110)</f>
        <v/>
      </c>
      <c r="G764" s="10">
        <f>IF($A764="","","Автозапись из листа Ремонты")</f>
        <v/>
      </c>
    </row>
    <row r="765">
      <c r="A765" s="12">
        <f>IF(Ремонты!G111="","",Ремонты!G111)</f>
        <v/>
      </c>
      <c r="B765" s="10">
        <f>IF($A765="","",Ремонты!A111)</f>
        <v/>
      </c>
      <c r="C765" s="10">
        <f>IF($A765="","",Ремонты!D111)</f>
        <v/>
      </c>
      <c r="D765" s="10">
        <f>IF($A765="","",Ремонты!E111)</f>
        <v/>
      </c>
      <c r="E765" s="10">
        <f>IF($A765="","","Отправка в ремонт")</f>
        <v/>
      </c>
      <c r="F765" s="10">
        <f>IF($A765="","",Ремонты!T111)</f>
        <v/>
      </c>
      <c r="G765" s="10">
        <f>IF($A765="","","Автозапись из листа Ремонты")</f>
        <v/>
      </c>
    </row>
    <row r="766">
      <c r="A766" s="12">
        <f>IF(Ремонты!I111="","",Ремонты!I111)</f>
        <v/>
      </c>
      <c r="B766" s="10">
        <f>IF($A766="","",Ремонты!A111)</f>
        <v/>
      </c>
      <c r="C766" s="10">
        <f>IF($A766="","",Ремонты!D111)</f>
        <v/>
      </c>
      <c r="D766" s="10">
        <f>IF($A766="","",Ремонты!E111)</f>
        <v/>
      </c>
      <c r="E766" s="10">
        <f>IF($A766="","","Отправка из ремонта")</f>
        <v/>
      </c>
      <c r="F766" s="10">
        <f>IF($A766="","",Ремонты!T111)</f>
        <v/>
      </c>
      <c r="G766" s="10">
        <f>IF($A766="","","Автозапись из листа Ремонты")</f>
        <v/>
      </c>
    </row>
    <row r="767">
      <c r="A767" s="12">
        <f>IF(Ремонты!J111="","",Ремонты!J111)</f>
        <v/>
      </c>
      <c r="B767" s="10">
        <f>IF($A767="","",Ремонты!A111)</f>
        <v/>
      </c>
      <c r="C767" s="10">
        <f>IF($A767="","",Ремонты!D111)</f>
        <v/>
      </c>
      <c r="D767" s="10">
        <f>IF($A767="","",Ремонты!E111)</f>
        <v/>
      </c>
      <c r="E767" s="10">
        <f>IF($A767="","","Отправка из Иркутска")</f>
        <v/>
      </c>
      <c r="F767" s="10">
        <f>IF($A767="","",Ремонты!T111)</f>
        <v/>
      </c>
      <c r="G767" s="10">
        <f>IF($A767="","","Автозапись из листа Ремонты")</f>
        <v/>
      </c>
    </row>
    <row r="768">
      <c r="A768" s="12">
        <f>IF(Ремонты!K111="","",Ремонты!K111)</f>
        <v/>
      </c>
      <c r="B768" s="10">
        <f>IF($A768="","",Ремонты!A111)</f>
        <v/>
      </c>
      <c r="C768" s="10">
        <f>IF($A768="","",Ремонты!D111)</f>
        <v/>
      </c>
      <c r="D768" s="10">
        <f>IF($A768="","",Ремонты!E111)</f>
        <v/>
      </c>
      <c r="E768" s="10">
        <f>IF($A768="","","Прибытие в Ленск")</f>
        <v/>
      </c>
      <c r="F768" s="10">
        <f>IF($A768="","",Ремонты!T111)</f>
        <v/>
      </c>
      <c r="G768" s="10">
        <f>IF($A768="","","Автозапись из листа Ремонты")</f>
        <v/>
      </c>
    </row>
    <row r="769">
      <c r="A769" s="12">
        <f>IF(Ремонты!M111="","",Ремонты!M111)</f>
        <v/>
      </c>
      <c r="B769" s="10">
        <f>IF($A769="","",Ремонты!A111)</f>
        <v/>
      </c>
      <c r="C769" s="10">
        <f>IF($A769="","",Ремонты!D111)</f>
        <v/>
      </c>
      <c r="D769" s="10">
        <f>IF($A769="","",Ремонты!E111)</f>
        <v/>
      </c>
      <c r="E769" s="10">
        <f>IF($A769="","","Фактическое получение")</f>
        <v/>
      </c>
      <c r="F769" s="10">
        <f>IF($A769="","",Ремонты!T111)</f>
        <v/>
      </c>
      <c r="G769" s="10">
        <f>IF($A769="","","Автозапись из листа Ремонты")</f>
        <v/>
      </c>
    </row>
    <row r="770">
      <c r="A770" s="12">
        <f>IF(Ремонты!P111="","",Ремонты!P111)</f>
        <v/>
      </c>
      <c r="B770" s="10">
        <f>IF($A770="","",Ремонты!A111)</f>
        <v/>
      </c>
      <c r="C770" s="10">
        <f>IF($A770="","",Ремонты!D111)</f>
        <v/>
      </c>
      <c r="D770" s="10">
        <f>IF($A770="","",Ремонты!E111)</f>
        <v/>
      </c>
      <c r="E770" s="10">
        <f>IF($A770="","","Входной контроль")</f>
        <v/>
      </c>
      <c r="F770" s="10">
        <f>IF($A770="","",Ремонты!T111)</f>
        <v/>
      </c>
      <c r="G770" s="10">
        <f>IF($A770="","","Автозапись из листа Ремонты")</f>
        <v/>
      </c>
    </row>
    <row r="771">
      <c r="A771" s="12">
        <f>IF(Ремонты!S111="","",Ремонты!S111)</f>
        <v/>
      </c>
      <c r="B771" s="10">
        <f>IF($A771="","",Ремонты!A111)</f>
        <v/>
      </c>
      <c r="C771" s="10">
        <f>IF($A771="","",Ремонты!D111)</f>
        <v/>
      </c>
      <c r="D771" s="10">
        <f>IF($A771="","",Ремонты!E111)</f>
        <v/>
      </c>
      <c r="E771" s="10">
        <f>IF($A771="","","Оплата")</f>
        <v/>
      </c>
      <c r="F771" s="10">
        <f>IF($A771="","",Ремонты!T111)</f>
        <v/>
      </c>
      <c r="G771" s="10">
        <f>IF($A771="","","Автозапись из листа Ремонты")</f>
        <v/>
      </c>
    </row>
    <row r="772">
      <c r="A772" s="12">
        <f>IF(Ремонты!G112="","",Ремонты!G112)</f>
        <v/>
      </c>
      <c r="B772" s="10">
        <f>IF($A772="","",Ремонты!A112)</f>
        <v/>
      </c>
      <c r="C772" s="10">
        <f>IF($A772="","",Ремонты!D112)</f>
        <v/>
      </c>
      <c r="D772" s="10">
        <f>IF($A772="","",Ремонты!E112)</f>
        <v/>
      </c>
      <c r="E772" s="10">
        <f>IF($A772="","","Отправка в ремонт")</f>
        <v/>
      </c>
      <c r="F772" s="10">
        <f>IF($A772="","",Ремонты!T112)</f>
        <v/>
      </c>
      <c r="G772" s="10">
        <f>IF($A772="","","Автозапись из листа Ремонты")</f>
        <v/>
      </c>
    </row>
    <row r="773">
      <c r="A773" s="12">
        <f>IF(Ремонты!I112="","",Ремонты!I112)</f>
        <v/>
      </c>
      <c r="B773" s="10">
        <f>IF($A773="","",Ремонты!A112)</f>
        <v/>
      </c>
      <c r="C773" s="10">
        <f>IF($A773="","",Ремонты!D112)</f>
        <v/>
      </c>
      <c r="D773" s="10">
        <f>IF($A773="","",Ремонты!E112)</f>
        <v/>
      </c>
      <c r="E773" s="10">
        <f>IF($A773="","","Отправка из ремонта")</f>
        <v/>
      </c>
      <c r="F773" s="10">
        <f>IF($A773="","",Ремонты!T112)</f>
        <v/>
      </c>
      <c r="G773" s="10">
        <f>IF($A773="","","Автозапись из листа Ремонты")</f>
        <v/>
      </c>
    </row>
    <row r="774">
      <c r="A774" s="12">
        <f>IF(Ремонты!J112="","",Ремонты!J112)</f>
        <v/>
      </c>
      <c r="B774" s="10">
        <f>IF($A774="","",Ремонты!A112)</f>
        <v/>
      </c>
      <c r="C774" s="10">
        <f>IF($A774="","",Ремонты!D112)</f>
        <v/>
      </c>
      <c r="D774" s="10">
        <f>IF($A774="","",Ремонты!E112)</f>
        <v/>
      </c>
      <c r="E774" s="10">
        <f>IF($A774="","","Отправка из Иркутска")</f>
        <v/>
      </c>
      <c r="F774" s="10">
        <f>IF($A774="","",Ремонты!T112)</f>
        <v/>
      </c>
      <c r="G774" s="10">
        <f>IF($A774="","","Автозапись из листа Ремонты")</f>
        <v/>
      </c>
    </row>
    <row r="775">
      <c r="A775" s="12">
        <f>IF(Ремонты!K112="","",Ремонты!K112)</f>
        <v/>
      </c>
      <c r="B775" s="10">
        <f>IF($A775="","",Ремонты!A112)</f>
        <v/>
      </c>
      <c r="C775" s="10">
        <f>IF($A775="","",Ремонты!D112)</f>
        <v/>
      </c>
      <c r="D775" s="10">
        <f>IF($A775="","",Ремонты!E112)</f>
        <v/>
      </c>
      <c r="E775" s="10">
        <f>IF($A775="","","Прибытие в Ленск")</f>
        <v/>
      </c>
      <c r="F775" s="10">
        <f>IF($A775="","",Ремонты!T112)</f>
        <v/>
      </c>
      <c r="G775" s="10">
        <f>IF($A775="","","Автозапись из листа Ремонты")</f>
        <v/>
      </c>
    </row>
    <row r="776">
      <c r="A776" s="12">
        <f>IF(Ремонты!M112="","",Ремонты!M112)</f>
        <v/>
      </c>
      <c r="B776" s="10">
        <f>IF($A776="","",Ремонты!A112)</f>
        <v/>
      </c>
      <c r="C776" s="10">
        <f>IF($A776="","",Ремонты!D112)</f>
        <v/>
      </c>
      <c r="D776" s="10">
        <f>IF($A776="","",Ремонты!E112)</f>
        <v/>
      </c>
      <c r="E776" s="10">
        <f>IF($A776="","","Фактическое получение")</f>
        <v/>
      </c>
      <c r="F776" s="10">
        <f>IF($A776="","",Ремонты!T112)</f>
        <v/>
      </c>
      <c r="G776" s="10">
        <f>IF($A776="","","Автозапись из листа Ремонты")</f>
        <v/>
      </c>
    </row>
    <row r="777">
      <c r="A777" s="12">
        <f>IF(Ремонты!P112="","",Ремонты!P112)</f>
        <v/>
      </c>
      <c r="B777" s="10">
        <f>IF($A777="","",Ремонты!A112)</f>
        <v/>
      </c>
      <c r="C777" s="10">
        <f>IF($A777="","",Ремонты!D112)</f>
        <v/>
      </c>
      <c r="D777" s="10">
        <f>IF($A777="","",Ремонты!E112)</f>
        <v/>
      </c>
      <c r="E777" s="10">
        <f>IF($A777="","","Входной контроль")</f>
        <v/>
      </c>
      <c r="F777" s="10">
        <f>IF($A777="","",Ремонты!T112)</f>
        <v/>
      </c>
      <c r="G777" s="10">
        <f>IF($A777="","","Автозапись из листа Ремонты")</f>
        <v/>
      </c>
    </row>
    <row r="778">
      <c r="A778" s="12">
        <f>IF(Ремонты!S112="","",Ремонты!S112)</f>
        <v/>
      </c>
      <c r="B778" s="10">
        <f>IF($A778="","",Ремонты!A112)</f>
        <v/>
      </c>
      <c r="C778" s="10">
        <f>IF($A778="","",Ремонты!D112)</f>
        <v/>
      </c>
      <c r="D778" s="10">
        <f>IF($A778="","",Ремонты!E112)</f>
        <v/>
      </c>
      <c r="E778" s="10">
        <f>IF($A778="","","Оплата")</f>
        <v/>
      </c>
      <c r="F778" s="10">
        <f>IF($A778="","",Ремонты!T112)</f>
        <v/>
      </c>
      <c r="G778" s="10">
        <f>IF($A778="","","Автозапись из листа Ремонты")</f>
        <v/>
      </c>
    </row>
    <row r="779">
      <c r="A779" s="12">
        <f>IF(Ремонты!G113="","",Ремонты!G113)</f>
        <v/>
      </c>
      <c r="B779" s="10">
        <f>IF($A779="","",Ремонты!A113)</f>
        <v/>
      </c>
      <c r="C779" s="10">
        <f>IF($A779="","",Ремонты!D113)</f>
        <v/>
      </c>
      <c r="D779" s="10">
        <f>IF($A779="","",Ремонты!E113)</f>
        <v/>
      </c>
      <c r="E779" s="10">
        <f>IF($A779="","","Отправка в ремонт")</f>
        <v/>
      </c>
      <c r="F779" s="10">
        <f>IF($A779="","",Ремонты!T113)</f>
        <v/>
      </c>
      <c r="G779" s="10">
        <f>IF($A779="","","Автозапись из листа Ремонты")</f>
        <v/>
      </c>
    </row>
    <row r="780">
      <c r="A780" s="12">
        <f>IF(Ремонты!I113="","",Ремонты!I113)</f>
        <v/>
      </c>
      <c r="B780" s="10">
        <f>IF($A780="","",Ремонты!A113)</f>
        <v/>
      </c>
      <c r="C780" s="10">
        <f>IF($A780="","",Ремонты!D113)</f>
        <v/>
      </c>
      <c r="D780" s="10">
        <f>IF($A780="","",Ремонты!E113)</f>
        <v/>
      </c>
      <c r="E780" s="10">
        <f>IF($A780="","","Отправка из ремонта")</f>
        <v/>
      </c>
      <c r="F780" s="10">
        <f>IF($A780="","",Ремонты!T113)</f>
        <v/>
      </c>
      <c r="G780" s="10">
        <f>IF($A780="","","Автозапись из листа Ремонты")</f>
        <v/>
      </c>
    </row>
    <row r="781">
      <c r="A781" s="12">
        <f>IF(Ремонты!J113="","",Ремонты!J113)</f>
        <v/>
      </c>
      <c r="B781" s="10">
        <f>IF($A781="","",Ремонты!A113)</f>
        <v/>
      </c>
      <c r="C781" s="10">
        <f>IF($A781="","",Ремонты!D113)</f>
        <v/>
      </c>
      <c r="D781" s="10">
        <f>IF($A781="","",Ремонты!E113)</f>
        <v/>
      </c>
      <c r="E781" s="10">
        <f>IF($A781="","","Отправка из Иркутска")</f>
        <v/>
      </c>
      <c r="F781" s="10">
        <f>IF($A781="","",Ремонты!T113)</f>
        <v/>
      </c>
      <c r="G781" s="10">
        <f>IF($A781="","","Автозапись из листа Ремонты")</f>
        <v/>
      </c>
    </row>
    <row r="782">
      <c r="A782" s="12">
        <f>IF(Ремонты!K113="","",Ремонты!K113)</f>
        <v/>
      </c>
      <c r="B782" s="10">
        <f>IF($A782="","",Ремонты!A113)</f>
        <v/>
      </c>
      <c r="C782" s="10">
        <f>IF($A782="","",Ремонты!D113)</f>
        <v/>
      </c>
      <c r="D782" s="10">
        <f>IF($A782="","",Ремонты!E113)</f>
        <v/>
      </c>
      <c r="E782" s="10">
        <f>IF($A782="","","Прибытие в Ленск")</f>
        <v/>
      </c>
      <c r="F782" s="10">
        <f>IF($A782="","",Ремонты!T113)</f>
        <v/>
      </c>
      <c r="G782" s="10">
        <f>IF($A782="","","Автозапись из листа Ремонты")</f>
        <v/>
      </c>
    </row>
    <row r="783">
      <c r="A783" s="12">
        <f>IF(Ремонты!M113="","",Ремонты!M113)</f>
        <v/>
      </c>
      <c r="B783" s="10">
        <f>IF($A783="","",Ремонты!A113)</f>
        <v/>
      </c>
      <c r="C783" s="10">
        <f>IF($A783="","",Ремонты!D113)</f>
        <v/>
      </c>
      <c r="D783" s="10">
        <f>IF($A783="","",Ремонты!E113)</f>
        <v/>
      </c>
      <c r="E783" s="10">
        <f>IF($A783="","","Фактическое получение")</f>
        <v/>
      </c>
      <c r="F783" s="10">
        <f>IF($A783="","",Ремонты!T113)</f>
        <v/>
      </c>
      <c r="G783" s="10">
        <f>IF($A783="","","Автозапись из листа Ремонты")</f>
        <v/>
      </c>
    </row>
    <row r="784">
      <c r="A784" s="12">
        <f>IF(Ремонты!P113="","",Ремонты!P113)</f>
        <v/>
      </c>
      <c r="B784" s="10">
        <f>IF($A784="","",Ремонты!A113)</f>
        <v/>
      </c>
      <c r="C784" s="10">
        <f>IF($A784="","",Ремонты!D113)</f>
        <v/>
      </c>
      <c r="D784" s="10">
        <f>IF($A784="","",Ремонты!E113)</f>
        <v/>
      </c>
      <c r="E784" s="10">
        <f>IF($A784="","","Входной контроль")</f>
        <v/>
      </c>
      <c r="F784" s="10">
        <f>IF($A784="","",Ремонты!T113)</f>
        <v/>
      </c>
      <c r="G784" s="10">
        <f>IF($A784="","","Автозапись из листа Ремонты")</f>
        <v/>
      </c>
    </row>
    <row r="785">
      <c r="A785" s="12">
        <f>IF(Ремонты!S113="","",Ремонты!S113)</f>
        <v/>
      </c>
      <c r="B785" s="10">
        <f>IF($A785="","",Ремонты!A113)</f>
        <v/>
      </c>
      <c r="C785" s="10">
        <f>IF($A785="","",Ремонты!D113)</f>
        <v/>
      </c>
      <c r="D785" s="10">
        <f>IF($A785="","",Ремонты!E113)</f>
        <v/>
      </c>
      <c r="E785" s="10">
        <f>IF($A785="","","Оплата")</f>
        <v/>
      </c>
      <c r="F785" s="10">
        <f>IF($A785="","",Ремонты!T113)</f>
        <v/>
      </c>
      <c r="G785" s="10">
        <f>IF($A785="","","Автозапись из листа Ремонты")</f>
        <v/>
      </c>
    </row>
    <row r="786">
      <c r="A786" s="12">
        <f>IF(Ремонты!G114="","",Ремонты!G114)</f>
        <v/>
      </c>
      <c r="B786" s="10">
        <f>IF($A786="","",Ремонты!A114)</f>
        <v/>
      </c>
      <c r="C786" s="10">
        <f>IF($A786="","",Ремонты!D114)</f>
        <v/>
      </c>
      <c r="D786" s="10">
        <f>IF($A786="","",Ремонты!E114)</f>
        <v/>
      </c>
      <c r="E786" s="10">
        <f>IF($A786="","","Отправка в ремонт")</f>
        <v/>
      </c>
      <c r="F786" s="10">
        <f>IF($A786="","",Ремонты!T114)</f>
        <v/>
      </c>
      <c r="G786" s="10">
        <f>IF($A786="","","Автозапись из листа Ремонты")</f>
        <v/>
      </c>
    </row>
    <row r="787">
      <c r="A787" s="12">
        <f>IF(Ремонты!I114="","",Ремонты!I114)</f>
        <v/>
      </c>
      <c r="B787" s="10">
        <f>IF($A787="","",Ремонты!A114)</f>
        <v/>
      </c>
      <c r="C787" s="10">
        <f>IF($A787="","",Ремонты!D114)</f>
        <v/>
      </c>
      <c r="D787" s="10">
        <f>IF($A787="","",Ремонты!E114)</f>
        <v/>
      </c>
      <c r="E787" s="10">
        <f>IF($A787="","","Отправка из ремонта")</f>
        <v/>
      </c>
      <c r="F787" s="10">
        <f>IF($A787="","",Ремонты!T114)</f>
        <v/>
      </c>
      <c r="G787" s="10">
        <f>IF($A787="","","Автозапись из листа Ремонты")</f>
        <v/>
      </c>
    </row>
    <row r="788">
      <c r="A788" s="12">
        <f>IF(Ремонты!J114="","",Ремонты!J114)</f>
        <v/>
      </c>
      <c r="B788" s="10">
        <f>IF($A788="","",Ремонты!A114)</f>
        <v/>
      </c>
      <c r="C788" s="10">
        <f>IF($A788="","",Ремонты!D114)</f>
        <v/>
      </c>
      <c r="D788" s="10">
        <f>IF($A788="","",Ремонты!E114)</f>
        <v/>
      </c>
      <c r="E788" s="10">
        <f>IF($A788="","","Отправка из Иркутска")</f>
        <v/>
      </c>
      <c r="F788" s="10">
        <f>IF($A788="","",Ремонты!T114)</f>
        <v/>
      </c>
      <c r="G788" s="10">
        <f>IF($A788="","","Автозапись из листа Ремонты")</f>
        <v/>
      </c>
    </row>
    <row r="789">
      <c r="A789" s="12">
        <f>IF(Ремонты!K114="","",Ремонты!K114)</f>
        <v/>
      </c>
      <c r="B789" s="10">
        <f>IF($A789="","",Ремонты!A114)</f>
        <v/>
      </c>
      <c r="C789" s="10">
        <f>IF($A789="","",Ремонты!D114)</f>
        <v/>
      </c>
      <c r="D789" s="10">
        <f>IF($A789="","",Ремонты!E114)</f>
        <v/>
      </c>
      <c r="E789" s="10">
        <f>IF($A789="","","Прибытие в Ленск")</f>
        <v/>
      </c>
      <c r="F789" s="10">
        <f>IF($A789="","",Ремонты!T114)</f>
        <v/>
      </c>
      <c r="G789" s="10">
        <f>IF($A789="","","Автозапись из листа Ремонты")</f>
        <v/>
      </c>
    </row>
    <row r="790">
      <c r="A790" s="12">
        <f>IF(Ремонты!M114="","",Ремонты!M114)</f>
        <v/>
      </c>
      <c r="B790" s="10">
        <f>IF($A790="","",Ремонты!A114)</f>
        <v/>
      </c>
      <c r="C790" s="10">
        <f>IF($A790="","",Ремонты!D114)</f>
        <v/>
      </c>
      <c r="D790" s="10">
        <f>IF($A790="","",Ремонты!E114)</f>
        <v/>
      </c>
      <c r="E790" s="10">
        <f>IF($A790="","","Фактическое получение")</f>
        <v/>
      </c>
      <c r="F790" s="10">
        <f>IF($A790="","",Ремонты!T114)</f>
        <v/>
      </c>
      <c r="G790" s="10">
        <f>IF($A790="","","Автозапись из листа Ремонты")</f>
        <v/>
      </c>
    </row>
    <row r="791">
      <c r="A791" s="12">
        <f>IF(Ремонты!P114="","",Ремонты!P114)</f>
        <v/>
      </c>
      <c r="B791" s="10">
        <f>IF($A791="","",Ремонты!A114)</f>
        <v/>
      </c>
      <c r="C791" s="10">
        <f>IF($A791="","",Ремонты!D114)</f>
        <v/>
      </c>
      <c r="D791" s="10">
        <f>IF($A791="","",Ремонты!E114)</f>
        <v/>
      </c>
      <c r="E791" s="10">
        <f>IF($A791="","","Входной контроль")</f>
        <v/>
      </c>
      <c r="F791" s="10">
        <f>IF($A791="","",Ремонты!T114)</f>
        <v/>
      </c>
      <c r="G791" s="10">
        <f>IF($A791="","","Автозапись из листа Ремонты")</f>
        <v/>
      </c>
    </row>
    <row r="792">
      <c r="A792" s="12">
        <f>IF(Ремонты!S114="","",Ремонты!S114)</f>
        <v/>
      </c>
      <c r="B792" s="10">
        <f>IF($A792="","",Ремонты!A114)</f>
        <v/>
      </c>
      <c r="C792" s="10">
        <f>IF($A792="","",Ремонты!D114)</f>
        <v/>
      </c>
      <c r="D792" s="10">
        <f>IF($A792="","",Ремонты!E114)</f>
        <v/>
      </c>
      <c r="E792" s="10">
        <f>IF($A792="","","Оплата")</f>
        <v/>
      </c>
      <c r="F792" s="10">
        <f>IF($A792="","",Ремонты!T114)</f>
        <v/>
      </c>
      <c r="G792" s="10">
        <f>IF($A792="","","Автозапись из листа Ремонты")</f>
        <v/>
      </c>
    </row>
    <row r="793">
      <c r="A793" s="12">
        <f>IF(Ремонты!G115="","",Ремонты!G115)</f>
        <v/>
      </c>
      <c r="B793" s="10">
        <f>IF($A793="","",Ремонты!A115)</f>
        <v/>
      </c>
      <c r="C793" s="10">
        <f>IF($A793="","",Ремонты!D115)</f>
        <v/>
      </c>
      <c r="D793" s="10">
        <f>IF($A793="","",Ремонты!E115)</f>
        <v/>
      </c>
      <c r="E793" s="10">
        <f>IF($A793="","","Отправка в ремонт")</f>
        <v/>
      </c>
      <c r="F793" s="10">
        <f>IF($A793="","",Ремонты!T115)</f>
        <v/>
      </c>
      <c r="G793" s="10">
        <f>IF($A793="","","Автозапись из листа Ремонты")</f>
        <v/>
      </c>
    </row>
    <row r="794">
      <c r="A794" s="12">
        <f>IF(Ремонты!I115="","",Ремонты!I115)</f>
        <v/>
      </c>
      <c r="B794" s="10">
        <f>IF($A794="","",Ремонты!A115)</f>
        <v/>
      </c>
      <c r="C794" s="10">
        <f>IF($A794="","",Ремонты!D115)</f>
        <v/>
      </c>
      <c r="D794" s="10">
        <f>IF($A794="","",Ремонты!E115)</f>
        <v/>
      </c>
      <c r="E794" s="10">
        <f>IF($A794="","","Отправка из ремонта")</f>
        <v/>
      </c>
      <c r="F794" s="10">
        <f>IF($A794="","",Ремонты!T115)</f>
        <v/>
      </c>
      <c r="G794" s="10">
        <f>IF($A794="","","Автозапись из листа Ремонты")</f>
        <v/>
      </c>
    </row>
    <row r="795">
      <c r="A795" s="12">
        <f>IF(Ремонты!J115="","",Ремонты!J115)</f>
        <v/>
      </c>
      <c r="B795" s="10">
        <f>IF($A795="","",Ремонты!A115)</f>
        <v/>
      </c>
      <c r="C795" s="10">
        <f>IF($A795="","",Ремонты!D115)</f>
        <v/>
      </c>
      <c r="D795" s="10">
        <f>IF($A795="","",Ремонты!E115)</f>
        <v/>
      </c>
      <c r="E795" s="10">
        <f>IF($A795="","","Отправка из Иркутска")</f>
        <v/>
      </c>
      <c r="F795" s="10">
        <f>IF($A795="","",Ремонты!T115)</f>
        <v/>
      </c>
      <c r="G795" s="10">
        <f>IF($A795="","","Автозапись из листа Ремонты")</f>
        <v/>
      </c>
    </row>
    <row r="796">
      <c r="A796" s="12">
        <f>IF(Ремонты!K115="","",Ремонты!K115)</f>
        <v/>
      </c>
      <c r="B796" s="10">
        <f>IF($A796="","",Ремонты!A115)</f>
        <v/>
      </c>
      <c r="C796" s="10">
        <f>IF($A796="","",Ремонты!D115)</f>
        <v/>
      </c>
      <c r="D796" s="10">
        <f>IF($A796="","",Ремонты!E115)</f>
        <v/>
      </c>
      <c r="E796" s="10">
        <f>IF($A796="","","Прибытие в Ленск")</f>
        <v/>
      </c>
      <c r="F796" s="10">
        <f>IF($A796="","",Ремонты!T115)</f>
        <v/>
      </c>
      <c r="G796" s="10">
        <f>IF($A796="","","Автозапись из листа Ремонты")</f>
        <v/>
      </c>
    </row>
    <row r="797">
      <c r="A797" s="12">
        <f>IF(Ремонты!M115="","",Ремонты!M115)</f>
        <v/>
      </c>
      <c r="B797" s="10">
        <f>IF($A797="","",Ремонты!A115)</f>
        <v/>
      </c>
      <c r="C797" s="10">
        <f>IF($A797="","",Ремонты!D115)</f>
        <v/>
      </c>
      <c r="D797" s="10">
        <f>IF($A797="","",Ремонты!E115)</f>
        <v/>
      </c>
      <c r="E797" s="10">
        <f>IF($A797="","","Фактическое получение")</f>
        <v/>
      </c>
      <c r="F797" s="10">
        <f>IF($A797="","",Ремонты!T115)</f>
        <v/>
      </c>
      <c r="G797" s="10">
        <f>IF($A797="","","Автозапись из листа Ремонты")</f>
        <v/>
      </c>
    </row>
    <row r="798">
      <c r="A798" s="12">
        <f>IF(Ремонты!P115="","",Ремонты!P115)</f>
        <v/>
      </c>
      <c r="B798" s="10">
        <f>IF($A798="","",Ремонты!A115)</f>
        <v/>
      </c>
      <c r="C798" s="10">
        <f>IF($A798="","",Ремонты!D115)</f>
        <v/>
      </c>
      <c r="D798" s="10">
        <f>IF($A798="","",Ремонты!E115)</f>
        <v/>
      </c>
      <c r="E798" s="10">
        <f>IF($A798="","","Входной контроль")</f>
        <v/>
      </c>
      <c r="F798" s="10">
        <f>IF($A798="","",Ремонты!T115)</f>
        <v/>
      </c>
      <c r="G798" s="10">
        <f>IF($A798="","","Автозапись из листа Ремонты")</f>
        <v/>
      </c>
    </row>
    <row r="799">
      <c r="A799" s="12">
        <f>IF(Ремонты!S115="","",Ремонты!S115)</f>
        <v/>
      </c>
      <c r="B799" s="10">
        <f>IF($A799="","",Ремонты!A115)</f>
        <v/>
      </c>
      <c r="C799" s="10">
        <f>IF($A799="","",Ремонты!D115)</f>
        <v/>
      </c>
      <c r="D799" s="10">
        <f>IF($A799="","",Ремонты!E115)</f>
        <v/>
      </c>
      <c r="E799" s="10">
        <f>IF($A799="","","Оплата")</f>
        <v/>
      </c>
      <c r="F799" s="10">
        <f>IF($A799="","",Ремонты!T115)</f>
        <v/>
      </c>
      <c r="G799" s="10">
        <f>IF($A799="","","Автозапись из листа Ремонты")</f>
        <v/>
      </c>
    </row>
    <row r="800">
      <c r="A800" s="12">
        <f>IF(Ремонты!G116="","",Ремонты!G116)</f>
        <v/>
      </c>
      <c r="B800" s="10">
        <f>IF($A800="","",Ремонты!A116)</f>
        <v/>
      </c>
      <c r="C800" s="10">
        <f>IF($A800="","",Ремонты!D116)</f>
        <v/>
      </c>
      <c r="D800" s="10">
        <f>IF($A800="","",Ремонты!E116)</f>
        <v/>
      </c>
      <c r="E800" s="10">
        <f>IF($A800="","","Отправка в ремонт")</f>
        <v/>
      </c>
      <c r="F800" s="10">
        <f>IF($A800="","",Ремонты!T116)</f>
        <v/>
      </c>
      <c r="G800" s="10">
        <f>IF($A800="","","Автозапись из листа Ремонты")</f>
        <v/>
      </c>
    </row>
    <row r="801">
      <c r="A801" s="12">
        <f>IF(Ремонты!I116="","",Ремонты!I116)</f>
        <v/>
      </c>
      <c r="B801" s="10">
        <f>IF($A801="","",Ремонты!A116)</f>
        <v/>
      </c>
      <c r="C801" s="10">
        <f>IF($A801="","",Ремонты!D116)</f>
        <v/>
      </c>
      <c r="D801" s="10">
        <f>IF($A801="","",Ремонты!E116)</f>
        <v/>
      </c>
      <c r="E801" s="10">
        <f>IF($A801="","","Отправка из ремонта")</f>
        <v/>
      </c>
      <c r="F801" s="10">
        <f>IF($A801="","",Ремонты!T116)</f>
        <v/>
      </c>
      <c r="G801" s="10">
        <f>IF($A801="","","Автозапись из листа Ремонты")</f>
        <v/>
      </c>
    </row>
    <row r="802">
      <c r="A802" s="12">
        <f>IF(Ремонты!J116="","",Ремонты!J116)</f>
        <v/>
      </c>
      <c r="B802" s="10">
        <f>IF($A802="","",Ремонты!A116)</f>
        <v/>
      </c>
      <c r="C802" s="10">
        <f>IF($A802="","",Ремонты!D116)</f>
        <v/>
      </c>
      <c r="D802" s="10">
        <f>IF($A802="","",Ремонты!E116)</f>
        <v/>
      </c>
      <c r="E802" s="10">
        <f>IF($A802="","","Отправка из Иркутска")</f>
        <v/>
      </c>
      <c r="F802" s="10">
        <f>IF($A802="","",Ремонты!T116)</f>
        <v/>
      </c>
      <c r="G802" s="10">
        <f>IF($A802="","","Автозапись из листа Ремонты")</f>
        <v/>
      </c>
    </row>
    <row r="803">
      <c r="A803" s="12">
        <f>IF(Ремонты!K116="","",Ремонты!K116)</f>
        <v/>
      </c>
      <c r="B803" s="10">
        <f>IF($A803="","",Ремонты!A116)</f>
        <v/>
      </c>
      <c r="C803" s="10">
        <f>IF($A803="","",Ремонты!D116)</f>
        <v/>
      </c>
      <c r="D803" s="10">
        <f>IF($A803="","",Ремонты!E116)</f>
        <v/>
      </c>
      <c r="E803" s="10">
        <f>IF($A803="","","Прибытие в Ленск")</f>
        <v/>
      </c>
      <c r="F803" s="10">
        <f>IF($A803="","",Ремонты!T116)</f>
        <v/>
      </c>
      <c r="G803" s="10">
        <f>IF($A803="","","Автозапись из листа Ремонты")</f>
        <v/>
      </c>
    </row>
    <row r="804">
      <c r="A804" s="12">
        <f>IF(Ремонты!M116="","",Ремонты!M116)</f>
        <v/>
      </c>
      <c r="B804" s="10">
        <f>IF($A804="","",Ремонты!A116)</f>
        <v/>
      </c>
      <c r="C804" s="10">
        <f>IF($A804="","",Ремонты!D116)</f>
        <v/>
      </c>
      <c r="D804" s="10">
        <f>IF($A804="","",Ремонты!E116)</f>
        <v/>
      </c>
      <c r="E804" s="10">
        <f>IF($A804="","","Фактическое получение")</f>
        <v/>
      </c>
      <c r="F804" s="10">
        <f>IF($A804="","",Ремонты!T116)</f>
        <v/>
      </c>
      <c r="G804" s="10">
        <f>IF($A804="","","Автозапись из листа Ремонты")</f>
        <v/>
      </c>
    </row>
    <row r="805">
      <c r="A805" s="12">
        <f>IF(Ремонты!P116="","",Ремонты!P116)</f>
        <v/>
      </c>
      <c r="B805" s="10">
        <f>IF($A805="","",Ремонты!A116)</f>
        <v/>
      </c>
      <c r="C805" s="10">
        <f>IF($A805="","",Ремонты!D116)</f>
        <v/>
      </c>
      <c r="D805" s="10">
        <f>IF($A805="","",Ремонты!E116)</f>
        <v/>
      </c>
      <c r="E805" s="10">
        <f>IF($A805="","","Входной контроль")</f>
        <v/>
      </c>
      <c r="F805" s="10">
        <f>IF($A805="","",Ремонты!T116)</f>
        <v/>
      </c>
      <c r="G805" s="10">
        <f>IF($A805="","","Автозапись из листа Ремонты")</f>
        <v/>
      </c>
    </row>
    <row r="806">
      <c r="A806" s="12">
        <f>IF(Ремонты!S116="","",Ремонты!S116)</f>
        <v/>
      </c>
      <c r="B806" s="10">
        <f>IF($A806="","",Ремонты!A116)</f>
        <v/>
      </c>
      <c r="C806" s="10">
        <f>IF($A806="","",Ремонты!D116)</f>
        <v/>
      </c>
      <c r="D806" s="10">
        <f>IF($A806="","",Ремонты!E116)</f>
        <v/>
      </c>
      <c r="E806" s="10">
        <f>IF($A806="","","Оплата")</f>
        <v/>
      </c>
      <c r="F806" s="10">
        <f>IF($A806="","",Ремонты!T116)</f>
        <v/>
      </c>
      <c r="G806" s="10">
        <f>IF($A806="","","Автозапись из листа Ремонты")</f>
        <v/>
      </c>
    </row>
    <row r="807">
      <c r="A807" s="12">
        <f>IF(Ремонты!G117="","",Ремонты!G117)</f>
        <v/>
      </c>
      <c r="B807" s="10">
        <f>IF($A807="","",Ремонты!A117)</f>
        <v/>
      </c>
      <c r="C807" s="10">
        <f>IF($A807="","",Ремонты!D117)</f>
        <v/>
      </c>
      <c r="D807" s="10">
        <f>IF($A807="","",Ремонты!E117)</f>
        <v/>
      </c>
      <c r="E807" s="10">
        <f>IF($A807="","","Отправка в ремонт")</f>
        <v/>
      </c>
      <c r="F807" s="10">
        <f>IF($A807="","",Ремонты!T117)</f>
        <v/>
      </c>
      <c r="G807" s="10">
        <f>IF($A807="","","Автозапись из листа Ремонты")</f>
        <v/>
      </c>
    </row>
    <row r="808">
      <c r="A808" s="12">
        <f>IF(Ремонты!I117="","",Ремонты!I117)</f>
        <v/>
      </c>
      <c r="B808" s="10">
        <f>IF($A808="","",Ремонты!A117)</f>
        <v/>
      </c>
      <c r="C808" s="10">
        <f>IF($A808="","",Ремонты!D117)</f>
        <v/>
      </c>
      <c r="D808" s="10">
        <f>IF($A808="","",Ремонты!E117)</f>
        <v/>
      </c>
      <c r="E808" s="10">
        <f>IF($A808="","","Отправка из ремонта")</f>
        <v/>
      </c>
      <c r="F808" s="10">
        <f>IF($A808="","",Ремонты!T117)</f>
        <v/>
      </c>
      <c r="G808" s="10">
        <f>IF($A808="","","Автозапись из листа Ремонты")</f>
        <v/>
      </c>
    </row>
    <row r="809">
      <c r="A809" s="12">
        <f>IF(Ремонты!J117="","",Ремонты!J117)</f>
        <v/>
      </c>
      <c r="B809" s="10">
        <f>IF($A809="","",Ремонты!A117)</f>
        <v/>
      </c>
      <c r="C809" s="10">
        <f>IF($A809="","",Ремонты!D117)</f>
        <v/>
      </c>
      <c r="D809" s="10">
        <f>IF($A809="","",Ремонты!E117)</f>
        <v/>
      </c>
      <c r="E809" s="10">
        <f>IF($A809="","","Отправка из Иркутска")</f>
        <v/>
      </c>
      <c r="F809" s="10">
        <f>IF($A809="","",Ремонты!T117)</f>
        <v/>
      </c>
      <c r="G809" s="10">
        <f>IF($A809="","","Автозапись из листа Ремонты")</f>
        <v/>
      </c>
    </row>
    <row r="810">
      <c r="A810" s="12">
        <f>IF(Ремонты!K117="","",Ремонты!K117)</f>
        <v/>
      </c>
      <c r="B810" s="10">
        <f>IF($A810="","",Ремонты!A117)</f>
        <v/>
      </c>
      <c r="C810" s="10">
        <f>IF($A810="","",Ремонты!D117)</f>
        <v/>
      </c>
      <c r="D810" s="10">
        <f>IF($A810="","",Ремонты!E117)</f>
        <v/>
      </c>
      <c r="E810" s="10">
        <f>IF($A810="","","Прибытие в Ленск")</f>
        <v/>
      </c>
      <c r="F810" s="10">
        <f>IF($A810="","",Ремонты!T117)</f>
        <v/>
      </c>
      <c r="G810" s="10">
        <f>IF($A810="","","Автозапись из листа Ремонты")</f>
        <v/>
      </c>
    </row>
    <row r="811">
      <c r="A811" s="12">
        <f>IF(Ремонты!M117="","",Ремонты!M117)</f>
        <v/>
      </c>
      <c r="B811" s="10">
        <f>IF($A811="","",Ремонты!A117)</f>
        <v/>
      </c>
      <c r="C811" s="10">
        <f>IF($A811="","",Ремонты!D117)</f>
        <v/>
      </c>
      <c r="D811" s="10">
        <f>IF($A811="","",Ремонты!E117)</f>
        <v/>
      </c>
      <c r="E811" s="10">
        <f>IF($A811="","","Фактическое получение")</f>
        <v/>
      </c>
      <c r="F811" s="10">
        <f>IF($A811="","",Ремонты!T117)</f>
        <v/>
      </c>
      <c r="G811" s="10">
        <f>IF($A811="","","Автозапись из листа Ремонты")</f>
        <v/>
      </c>
    </row>
    <row r="812">
      <c r="A812" s="12">
        <f>IF(Ремонты!P117="","",Ремонты!P117)</f>
        <v/>
      </c>
      <c r="B812" s="10">
        <f>IF($A812="","",Ремонты!A117)</f>
        <v/>
      </c>
      <c r="C812" s="10">
        <f>IF($A812="","",Ремонты!D117)</f>
        <v/>
      </c>
      <c r="D812" s="10">
        <f>IF($A812="","",Ремонты!E117)</f>
        <v/>
      </c>
      <c r="E812" s="10">
        <f>IF($A812="","","Входной контроль")</f>
        <v/>
      </c>
      <c r="F812" s="10">
        <f>IF($A812="","",Ремонты!T117)</f>
        <v/>
      </c>
      <c r="G812" s="10">
        <f>IF($A812="","","Автозапись из листа Ремонты")</f>
        <v/>
      </c>
    </row>
    <row r="813">
      <c r="A813" s="12">
        <f>IF(Ремонты!S117="","",Ремонты!S117)</f>
        <v/>
      </c>
      <c r="B813" s="10">
        <f>IF($A813="","",Ремонты!A117)</f>
        <v/>
      </c>
      <c r="C813" s="10">
        <f>IF($A813="","",Ремонты!D117)</f>
        <v/>
      </c>
      <c r="D813" s="10">
        <f>IF($A813="","",Ремонты!E117)</f>
        <v/>
      </c>
      <c r="E813" s="10">
        <f>IF($A813="","","Оплата")</f>
        <v/>
      </c>
      <c r="F813" s="10">
        <f>IF($A813="","",Ремонты!T117)</f>
        <v/>
      </c>
      <c r="G813" s="10">
        <f>IF($A813="","","Автозапись из листа Ремонты")</f>
        <v/>
      </c>
    </row>
    <row r="814">
      <c r="A814" s="12">
        <f>IF(Ремонты!G118="","",Ремонты!G118)</f>
        <v/>
      </c>
      <c r="B814" s="10">
        <f>IF($A814="","",Ремонты!A118)</f>
        <v/>
      </c>
      <c r="C814" s="10">
        <f>IF($A814="","",Ремонты!D118)</f>
        <v/>
      </c>
      <c r="D814" s="10">
        <f>IF($A814="","",Ремонты!E118)</f>
        <v/>
      </c>
      <c r="E814" s="10">
        <f>IF($A814="","","Отправка в ремонт")</f>
        <v/>
      </c>
      <c r="F814" s="10">
        <f>IF($A814="","",Ремонты!T118)</f>
        <v/>
      </c>
      <c r="G814" s="10">
        <f>IF($A814="","","Автозапись из листа Ремонты")</f>
        <v/>
      </c>
    </row>
    <row r="815">
      <c r="A815" s="12">
        <f>IF(Ремонты!I118="","",Ремонты!I118)</f>
        <v/>
      </c>
      <c r="B815" s="10">
        <f>IF($A815="","",Ремонты!A118)</f>
        <v/>
      </c>
      <c r="C815" s="10">
        <f>IF($A815="","",Ремонты!D118)</f>
        <v/>
      </c>
      <c r="D815" s="10">
        <f>IF($A815="","",Ремонты!E118)</f>
        <v/>
      </c>
      <c r="E815" s="10">
        <f>IF($A815="","","Отправка из ремонта")</f>
        <v/>
      </c>
      <c r="F815" s="10">
        <f>IF($A815="","",Ремонты!T118)</f>
        <v/>
      </c>
      <c r="G815" s="10">
        <f>IF($A815="","","Автозапись из листа Ремонты")</f>
        <v/>
      </c>
    </row>
    <row r="816">
      <c r="A816" s="12">
        <f>IF(Ремонты!J118="","",Ремонты!J118)</f>
        <v/>
      </c>
      <c r="B816" s="10">
        <f>IF($A816="","",Ремонты!A118)</f>
        <v/>
      </c>
      <c r="C816" s="10">
        <f>IF($A816="","",Ремонты!D118)</f>
        <v/>
      </c>
      <c r="D816" s="10">
        <f>IF($A816="","",Ремонты!E118)</f>
        <v/>
      </c>
      <c r="E816" s="10">
        <f>IF($A816="","","Отправка из Иркутска")</f>
        <v/>
      </c>
      <c r="F816" s="10">
        <f>IF($A816="","",Ремонты!T118)</f>
        <v/>
      </c>
      <c r="G816" s="10">
        <f>IF($A816="","","Автозапись из листа Ремонты")</f>
        <v/>
      </c>
    </row>
    <row r="817">
      <c r="A817" s="12">
        <f>IF(Ремонты!K118="","",Ремонты!K118)</f>
        <v/>
      </c>
      <c r="B817" s="10">
        <f>IF($A817="","",Ремонты!A118)</f>
        <v/>
      </c>
      <c r="C817" s="10">
        <f>IF($A817="","",Ремонты!D118)</f>
        <v/>
      </c>
      <c r="D817" s="10">
        <f>IF($A817="","",Ремонты!E118)</f>
        <v/>
      </c>
      <c r="E817" s="10">
        <f>IF($A817="","","Прибытие в Ленск")</f>
        <v/>
      </c>
      <c r="F817" s="10">
        <f>IF($A817="","",Ремонты!T118)</f>
        <v/>
      </c>
      <c r="G817" s="10">
        <f>IF($A817="","","Автозапись из листа Ремонты")</f>
        <v/>
      </c>
    </row>
    <row r="818">
      <c r="A818" s="12">
        <f>IF(Ремонты!M118="","",Ремонты!M118)</f>
        <v/>
      </c>
      <c r="B818" s="10">
        <f>IF($A818="","",Ремонты!A118)</f>
        <v/>
      </c>
      <c r="C818" s="10">
        <f>IF($A818="","",Ремонты!D118)</f>
        <v/>
      </c>
      <c r="D818" s="10">
        <f>IF($A818="","",Ремонты!E118)</f>
        <v/>
      </c>
      <c r="E818" s="10">
        <f>IF($A818="","","Фактическое получение")</f>
        <v/>
      </c>
      <c r="F818" s="10">
        <f>IF($A818="","",Ремонты!T118)</f>
        <v/>
      </c>
      <c r="G818" s="10">
        <f>IF($A818="","","Автозапись из листа Ремонты")</f>
        <v/>
      </c>
    </row>
    <row r="819">
      <c r="A819" s="12">
        <f>IF(Ремонты!P118="","",Ремонты!P118)</f>
        <v/>
      </c>
      <c r="B819" s="10">
        <f>IF($A819="","",Ремонты!A118)</f>
        <v/>
      </c>
      <c r="C819" s="10">
        <f>IF($A819="","",Ремонты!D118)</f>
        <v/>
      </c>
      <c r="D819" s="10">
        <f>IF($A819="","",Ремонты!E118)</f>
        <v/>
      </c>
      <c r="E819" s="10">
        <f>IF($A819="","","Входной контроль")</f>
        <v/>
      </c>
      <c r="F819" s="10">
        <f>IF($A819="","",Ремонты!T118)</f>
        <v/>
      </c>
      <c r="G819" s="10">
        <f>IF($A819="","","Автозапись из листа Ремонты")</f>
        <v/>
      </c>
    </row>
    <row r="820">
      <c r="A820" s="12">
        <f>IF(Ремонты!S118="","",Ремонты!S118)</f>
        <v/>
      </c>
      <c r="B820" s="10">
        <f>IF($A820="","",Ремонты!A118)</f>
        <v/>
      </c>
      <c r="C820" s="10">
        <f>IF($A820="","",Ремонты!D118)</f>
        <v/>
      </c>
      <c r="D820" s="10">
        <f>IF($A820="","",Ремонты!E118)</f>
        <v/>
      </c>
      <c r="E820" s="10">
        <f>IF($A820="","","Оплата")</f>
        <v/>
      </c>
      <c r="F820" s="10">
        <f>IF($A820="","",Ремонты!T118)</f>
        <v/>
      </c>
      <c r="G820" s="10">
        <f>IF($A820="","","Автозапись из листа Ремонты")</f>
        <v/>
      </c>
    </row>
    <row r="821">
      <c r="A821" s="12">
        <f>IF(Ремонты!G119="","",Ремонты!G119)</f>
        <v/>
      </c>
      <c r="B821" s="10">
        <f>IF($A821="","",Ремонты!A119)</f>
        <v/>
      </c>
      <c r="C821" s="10">
        <f>IF($A821="","",Ремонты!D119)</f>
        <v/>
      </c>
      <c r="D821" s="10">
        <f>IF($A821="","",Ремонты!E119)</f>
        <v/>
      </c>
      <c r="E821" s="10">
        <f>IF($A821="","","Отправка в ремонт")</f>
        <v/>
      </c>
      <c r="F821" s="10">
        <f>IF($A821="","",Ремонты!T119)</f>
        <v/>
      </c>
      <c r="G821" s="10">
        <f>IF($A821="","","Автозапись из листа Ремонты")</f>
        <v/>
      </c>
    </row>
    <row r="822">
      <c r="A822" s="12">
        <f>IF(Ремонты!I119="","",Ремонты!I119)</f>
        <v/>
      </c>
      <c r="B822" s="10">
        <f>IF($A822="","",Ремонты!A119)</f>
        <v/>
      </c>
      <c r="C822" s="10">
        <f>IF($A822="","",Ремонты!D119)</f>
        <v/>
      </c>
      <c r="D822" s="10">
        <f>IF($A822="","",Ремонты!E119)</f>
        <v/>
      </c>
      <c r="E822" s="10">
        <f>IF($A822="","","Отправка из ремонта")</f>
        <v/>
      </c>
      <c r="F822" s="10">
        <f>IF($A822="","",Ремонты!T119)</f>
        <v/>
      </c>
      <c r="G822" s="10">
        <f>IF($A822="","","Автозапись из листа Ремонты")</f>
        <v/>
      </c>
    </row>
    <row r="823">
      <c r="A823" s="12">
        <f>IF(Ремонты!J119="","",Ремонты!J119)</f>
        <v/>
      </c>
      <c r="B823" s="10">
        <f>IF($A823="","",Ремонты!A119)</f>
        <v/>
      </c>
      <c r="C823" s="10">
        <f>IF($A823="","",Ремонты!D119)</f>
        <v/>
      </c>
      <c r="D823" s="10">
        <f>IF($A823="","",Ремонты!E119)</f>
        <v/>
      </c>
      <c r="E823" s="10">
        <f>IF($A823="","","Отправка из Иркутска")</f>
        <v/>
      </c>
      <c r="F823" s="10">
        <f>IF($A823="","",Ремонты!T119)</f>
        <v/>
      </c>
      <c r="G823" s="10">
        <f>IF($A823="","","Автозапись из листа Ремонты")</f>
        <v/>
      </c>
    </row>
    <row r="824">
      <c r="A824" s="12">
        <f>IF(Ремонты!K119="","",Ремонты!K119)</f>
        <v/>
      </c>
      <c r="B824" s="10">
        <f>IF($A824="","",Ремонты!A119)</f>
        <v/>
      </c>
      <c r="C824" s="10">
        <f>IF($A824="","",Ремонты!D119)</f>
        <v/>
      </c>
      <c r="D824" s="10">
        <f>IF($A824="","",Ремонты!E119)</f>
        <v/>
      </c>
      <c r="E824" s="10">
        <f>IF($A824="","","Прибытие в Ленск")</f>
        <v/>
      </c>
      <c r="F824" s="10">
        <f>IF($A824="","",Ремонты!T119)</f>
        <v/>
      </c>
      <c r="G824" s="10">
        <f>IF($A824="","","Автозапись из листа Ремонты")</f>
        <v/>
      </c>
    </row>
    <row r="825">
      <c r="A825" s="12">
        <f>IF(Ремонты!M119="","",Ремонты!M119)</f>
        <v/>
      </c>
      <c r="B825" s="10">
        <f>IF($A825="","",Ремонты!A119)</f>
        <v/>
      </c>
      <c r="C825" s="10">
        <f>IF($A825="","",Ремонты!D119)</f>
        <v/>
      </c>
      <c r="D825" s="10">
        <f>IF($A825="","",Ремонты!E119)</f>
        <v/>
      </c>
      <c r="E825" s="10">
        <f>IF($A825="","","Фактическое получение")</f>
        <v/>
      </c>
      <c r="F825" s="10">
        <f>IF($A825="","",Ремонты!T119)</f>
        <v/>
      </c>
      <c r="G825" s="10">
        <f>IF($A825="","","Автозапись из листа Ремонты")</f>
        <v/>
      </c>
    </row>
    <row r="826">
      <c r="A826" s="12">
        <f>IF(Ремонты!P119="","",Ремонты!P119)</f>
        <v/>
      </c>
      <c r="B826" s="10">
        <f>IF($A826="","",Ремонты!A119)</f>
        <v/>
      </c>
      <c r="C826" s="10">
        <f>IF($A826="","",Ремонты!D119)</f>
        <v/>
      </c>
      <c r="D826" s="10">
        <f>IF($A826="","",Ремонты!E119)</f>
        <v/>
      </c>
      <c r="E826" s="10">
        <f>IF($A826="","","Входной контроль")</f>
        <v/>
      </c>
      <c r="F826" s="10">
        <f>IF($A826="","",Ремонты!T119)</f>
        <v/>
      </c>
      <c r="G826" s="10">
        <f>IF($A826="","","Автозапись из листа Ремонты")</f>
        <v/>
      </c>
    </row>
    <row r="827">
      <c r="A827" s="12">
        <f>IF(Ремонты!S119="","",Ремонты!S119)</f>
        <v/>
      </c>
      <c r="B827" s="10">
        <f>IF($A827="","",Ремонты!A119)</f>
        <v/>
      </c>
      <c r="C827" s="10">
        <f>IF($A827="","",Ремонты!D119)</f>
        <v/>
      </c>
      <c r="D827" s="10">
        <f>IF($A827="","",Ремонты!E119)</f>
        <v/>
      </c>
      <c r="E827" s="10">
        <f>IF($A827="","","Оплата")</f>
        <v/>
      </c>
      <c r="F827" s="10">
        <f>IF($A827="","",Ремонты!T119)</f>
        <v/>
      </c>
      <c r="G827" s="10">
        <f>IF($A827="","","Автозапись из листа Ремонты")</f>
        <v/>
      </c>
    </row>
    <row r="828">
      <c r="A828" s="12">
        <f>IF(Ремонты!G120="","",Ремонты!G120)</f>
        <v/>
      </c>
      <c r="B828" s="10">
        <f>IF($A828="","",Ремонты!A120)</f>
        <v/>
      </c>
      <c r="C828" s="10">
        <f>IF($A828="","",Ремонты!D120)</f>
        <v/>
      </c>
      <c r="D828" s="10">
        <f>IF($A828="","",Ремонты!E120)</f>
        <v/>
      </c>
      <c r="E828" s="10">
        <f>IF($A828="","","Отправка в ремонт")</f>
        <v/>
      </c>
      <c r="F828" s="10">
        <f>IF($A828="","",Ремонты!T120)</f>
        <v/>
      </c>
      <c r="G828" s="10">
        <f>IF($A828="","","Автозапись из листа Ремонты")</f>
        <v/>
      </c>
    </row>
    <row r="829">
      <c r="A829" s="12">
        <f>IF(Ремонты!I120="","",Ремонты!I120)</f>
        <v/>
      </c>
      <c r="B829" s="10">
        <f>IF($A829="","",Ремонты!A120)</f>
        <v/>
      </c>
      <c r="C829" s="10">
        <f>IF($A829="","",Ремонты!D120)</f>
        <v/>
      </c>
      <c r="D829" s="10">
        <f>IF($A829="","",Ремонты!E120)</f>
        <v/>
      </c>
      <c r="E829" s="10">
        <f>IF($A829="","","Отправка из ремонта")</f>
        <v/>
      </c>
      <c r="F829" s="10">
        <f>IF($A829="","",Ремонты!T120)</f>
        <v/>
      </c>
      <c r="G829" s="10">
        <f>IF($A829="","","Автозапись из листа Ремонты")</f>
        <v/>
      </c>
    </row>
    <row r="830">
      <c r="A830" s="12">
        <f>IF(Ремонты!J120="","",Ремонты!J120)</f>
        <v/>
      </c>
      <c r="B830" s="10">
        <f>IF($A830="","",Ремонты!A120)</f>
        <v/>
      </c>
      <c r="C830" s="10">
        <f>IF($A830="","",Ремонты!D120)</f>
        <v/>
      </c>
      <c r="D830" s="10">
        <f>IF($A830="","",Ремонты!E120)</f>
        <v/>
      </c>
      <c r="E830" s="10">
        <f>IF($A830="","","Отправка из Иркутска")</f>
        <v/>
      </c>
      <c r="F830" s="10">
        <f>IF($A830="","",Ремонты!T120)</f>
        <v/>
      </c>
      <c r="G830" s="10">
        <f>IF($A830="","","Автозапись из листа Ремонты")</f>
        <v/>
      </c>
    </row>
    <row r="831">
      <c r="A831" s="12">
        <f>IF(Ремонты!K120="","",Ремонты!K120)</f>
        <v/>
      </c>
      <c r="B831" s="10">
        <f>IF($A831="","",Ремонты!A120)</f>
        <v/>
      </c>
      <c r="C831" s="10">
        <f>IF($A831="","",Ремонты!D120)</f>
        <v/>
      </c>
      <c r="D831" s="10">
        <f>IF($A831="","",Ремонты!E120)</f>
        <v/>
      </c>
      <c r="E831" s="10">
        <f>IF($A831="","","Прибытие в Ленск")</f>
        <v/>
      </c>
      <c r="F831" s="10">
        <f>IF($A831="","",Ремонты!T120)</f>
        <v/>
      </c>
      <c r="G831" s="10">
        <f>IF($A831="","","Автозапись из листа Ремонты")</f>
        <v/>
      </c>
    </row>
    <row r="832">
      <c r="A832" s="12">
        <f>IF(Ремонты!M120="","",Ремонты!M120)</f>
        <v/>
      </c>
      <c r="B832" s="10">
        <f>IF($A832="","",Ремонты!A120)</f>
        <v/>
      </c>
      <c r="C832" s="10">
        <f>IF($A832="","",Ремонты!D120)</f>
        <v/>
      </c>
      <c r="D832" s="10">
        <f>IF($A832="","",Ремонты!E120)</f>
        <v/>
      </c>
      <c r="E832" s="10">
        <f>IF($A832="","","Фактическое получение")</f>
        <v/>
      </c>
      <c r="F832" s="10">
        <f>IF($A832="","",Ремонты!T120)</f>
        <v/>
      </c>
      <c r="G832" s="10">
        <f>IF($A832="","","Автозапись из листа Ремонты")</f>
        <v/>
      </c>
    </row>
    <row r="833">
      <c r="A833" s="12">
        <f>IF(Ремонты!P120="","",Ремонты!P120)</f>
        <v/>
      </c>
      <c r="B833" s="10">
        <f>IF($A833="","",Ремонты!A120)</f>
        <v/>
      </c>
      <c r="C833" s="10">
        <f>IF($A833="","",Ремонты!D120)</f>
        <v/>
      </c>
      <c r="D833" s="10">
        <f>IF($A833="","",Ремонты!E120)</f>
        <v/>
      </c>
      <c r="E833" s="10">
        <f>IF($A833="","","Входной контроль")</f>
        <v/>
      </c>
      <c r="F833" s="10">
        <f>IF($A833="","",Ремонты!T120)</f>
        <v/>
      </c>
      <c r="G833" s="10">
        <f>IF($A833="","","Автозапись из листа Ремонты")</f>
        <v/>
      </c>
    </row>
    <row r="834">
      <c r="A834" s="12">
        <f>IF(Ремонты!S120="","",Ремонты!S120)</f>
        <v/>
      </c>
      <c r="B834" s="10">
        <f>IF($A834="","",Ремонты!A120)</f>
        <v/>
      </c>
      <c r="C834" s="10">
        <f>IF($A834="","",Ремонты!D120)</f>
        <v/>
      </c>
      <c r="D834" s="10">
        <f>IF($A834="","",Ремонты!E120)</f>
        <v/>
      </c>
      <c r="E834" s="10">
        <f>IF($A834="","","Оплата")</f>
        <v/>
      </c>
      <c r="F834" s="10">
        <f>IF($A834="","",Ремонты!T120)</f>
        <v/>
      </c>
      <c r="G834" s="10">
        <f>IF($A834="","","Автозапись из листа Ремонты")</f>
        <v/>
      </c>
    </row>
    <row r="835">
      <c r="A835" s="12">
        <f>IF(Ремонты!G121="","",Ремонты!G121)</f>
        <v/>
      </c>
      <c r="B835" s="10">
        <f>IF($A835="","",Ремонты!A121)</f>
        <v/>
      </c>
      <c r="C835" s="10">
        <f>IF($A835="","",Ремонты!D121)</f>
        <v/>
      </c>
      <c r="D835" s="10">
        <f>IF($A835="","",Ремонты!E121)</f>
        <v/>
      </c>
      <c r="E835" s="10">
        <f>IF($A835="","","Отправка в ремонт")</f>
        <v/>
      </c>
      <c r="F835" s="10">
        <f>IF($A835="","",Ремонты!T121)</f>
        <v/>
      </c>
      <c r="G835" s="10">
        <f>IF($A835="","","Автозапись из листа Ремонты")</f>
        <v/>
      </c>
    </row>
    <row r="836">
      <c r="A836" s="12">
        <f>IF(Ремонты!I121="","",Ремонты!I121)</f>
        <v/>
      </c>
      <c r="B836" s="10">
        <f>IF($A836="","",Ремонты!A121)</f>
        <v/>
      </c>
      <c r="C836" s="10">
        <f>IF($A836="","",Ремонты!D121)</f>
        <v/>
      </c>
      <c r="D836" s="10">
        <f>IF($A836="","",Ремонты!E121)</f>
        <v/>
      </c>
      <c r="E836" s="10">
        <f>IF($A836="","","Отправка из ремонта")</f>
        <v/>
      </c>
      <c r="F836" s="10">
        <f>IF($A836="","",Ремонты!T121)</f>
        <v/>
      </c>
      <c r="G836" s="10">
        <f>IF($A836="","","Автозапись из листа Ремонты")</f>
        <v/>
      </c>
    </row>
    <row r="837">
      <c r="A837" s="12">
        <f>IF(Ремонты!J121="","",Ремонты!J121)</f>
        <v/>
      </c>
      <c r="B837" s="10">
        <f>IF($A837="","",Ремонты!A121)</f>
        <v/>
      </c>
      <c r="C837" s="10">
        <f>IF($A837="","",Ремонты!D121)</f>
        <v/>
      </c>
      <c r="D837" s="10">
        <f>IF($A837="","",Ремонты!E121)</f>
        <v/>
      </c>
      <c r="E837" s="10">
        <f>IF($A837="","","Отправка из Иркутска")</f>
        <v/>
      </c>
      <c r="F837" s="10">
        <f>IF($A837="","",Ремонты!T121)</f>
        <v/>
      </c>
      <c r="G837" s="10">
        <f>IF($A837="","","Автозапись из листа Ремонты")</f>
        <v/>
      </c>
    </row>
    <row r="838">
      <c r="A838" s="12">
        <f>IF(Ремонты!K121="","",Ремонты!K121)</f>
        <v/>
      </c>
      <c r="B838" s="10">
        <f>IF($A838="","",Ремонты!A121)</f>
        <v/>
      </c>
      <c r="C838" s="10">
        <f>IF($A838="","",Ремонты!D121)</f>
        <v/>
      </c>
      <c r="D838" s="10">
        <f>IF($A838="","",Ремонты!E121)</f>
        <v/>
      </c>
      <c r="E838" s="10">
        <f>IF($A838="","","Прибытие в Ленск")</f>
        <v/>
      </c>
      <c r="F838" s="10">
        <f>IF($A838="","",Ремонты!T121)</f>
        <v/>
      </c>
      <c r="G838" s="10">
        <f>IF($A838="","","Автозапись из листа Ремонты")</f>
        <v/>
      </c>
    </row>
    <row r="839">
      <c r="A839" s="12">
        <f>IF(Ремонты!M121="","",Ремонты!M121)</f>
        <v/>
      </c>
      <c r="B839" s="10">
        <f>IF($A839="","",Ремонты!A121)</f>
        <v/>
      </c>
      <c r="C839" s="10">
        <f>IF($A839="","",Ремонты!D121)</f>
        <v/>
      </c>
      <c r="D839" s="10">
        <f>IF($A839="","",Ремонты!E121)</f>
        <v/>
      </c>
      <c r="E839" s="10">
        <f>IF($A839="","","Фактическое получение")</f>
        <v/>
      </c>
      <c r="F839" s="10">
        <f>IF($A839="","",Ремонты!T121)</f>
        <v/>
      </c>
      <c r="G839" s="10">
        <f>IF($A839="","","Автозапись из листа Ремонты")</f>
        <v/>
      </c>
    </row>
    <row r="840">
      <c r="A840" s="12">
        <f>IF(Ремонты!P121="","",Ремонты!P121)</f>
        <v/>
      </c>
      <c r="B840" s="10">
        <f>IF($A840="","",Ремонты!A121)</f>
        <v/>
      </c>
      <c r="C840" s="10">
        <f>IF($A840="","",Ремонты!D121)</f>
        <v/>
      </c>
      <c r="D840" s="10">
        <f>IF($A840="","",Ремонты!E121)</f>
        <v/>
      </c>
      <c r="E840" s="10">
        <f>IF($A840="","","Входной контроль")</f>
        <v/>
      </c>
      <c r="F840" s="10">
        <f>IF($A840="","",Ремонты!T121)</f>
        <v/>
      </c>
      <c r="G840" s="10">
        <f>IF($A840="","","Автозапись из листа Ремонты")</f>
        <v/>
      </c>
    </row>
    <row r="841">
      <c r="A841" s="12">
        <f>IF(Ремонты!S121="","",Ремонты!S121)</f>
        <v/>
      </c>
      <c r="B841" s="10">
        <f>IF($A841="","",Ремонты!A121)</f>
        <v/>
      </c>
      <c r="C841" s="10">
        <f>IF($A841="","",Ремонты!D121)</f>
        <v/>
      </c>
      <c r="D841" s="10">
        <f>IF($A841="","",Ремонты!E121)</f>
        <v/>
      </c>
      <c r="E841" s="10">
        <f>IF($A841="","","Оплата")</f>
        <v/>
      </c>
      <c r="F841" s="10">
        <f>IF($A841="","",Ремонты!T121)</f>
        <v/>
      </c>
      <c r="G841" s="10">
        <f>IF($A841="","","Автозапись из листа Ремонты")</f>
        <v/>
      </c>
    </row>
    <row r="842">
      <c r="A842" s="12">
        <f>IF(Ремонты!G122="","",Ремонты!G122)</f>
        <v/>
      </c>
      <c r="B842" s="10">
        <f>IF($A842="","",Ремонты!A122)</f>
        <v/>
      </c>
      <c r="C842" s="10">
        <f>IF($A842="","",Ремонты!D122)</f>
        <v/>
      </c>
      <c r="D842" s="10">
        <f>IF($A842="","",Ремонты!E122)</f>
        <v/>
      </c>
      <c r="E842" s="10">
        <f>IF($A842="","","Отправка в ремонт")</f>
        <v/>
      </c>
      <c r="F842" s="10">
        <f>IF($A842="","",Ремонты!T122)</f>
        <v/>
      </c>
      <c r="G842" s="10">
        <f>IF($A842="","","Автозапись из листа Ремонты")</f>
        <v/>
      </c>
    </row>
    <row r="843">
      <c r="A843" s="12">
        <f>IF(Ремонты!I122="","",Ремонты!I122)</f>
        <v/>
      </c>
      <c r="B843" s="10">
        <f>IF($A843="","",Ремонты!A122)</f>
        <v/>
      </c>
      <c r="C843" s="10">
        <f>IF($A843="","",Ремонты!D122)</f>
        <v/>
      </c>
      <c r="D843" s="10">
        <f>IF($A843="","",Ремонты!E122)</f>
        <v/>
      </c>
      <c r="E843" s="10">
        <f>IF($A843="","","Отправка из ремонта")</f>
        <v/>
      </c>
      <c r="F843" s="10">
        <f>IF($A843="","",Ремонты!T122)</f>
        <v/>
      </c>
      <c r="G843" s="10">
        <f>IF($A843="","","Автозапись из листа Ремонты")</f>
        <v/>
      </c>
    </row>
    <row r="844">
      <c r="A844" s="12">
        <f>IF(Ремонты!J122="","",Ремонты!J122)</f>
        <v/>
      </c>
      <c r="B844" s="10">
        <f>IF($A844="","",Ремонты!A122)</f>
        <v/>
      </c>
      <c r="C844" s="10">
        <f>IF($A844="","",Ремонты!D122)</f>
        <v/>
      </c>
      <c r="D844" s="10">
        <f>IF($A844="","",Ремонты!E122)</f>
        <v/>
      </c>
      <c r="E844" s="10">
        <f>IF($A844="","","Отправка из Иркутска")</f>
        <v/>
      </c>
      <c r="F844" s="10">
        <f>IF($A844="","",Ремонты!T122)</f>
        <v/>
      </c>
      <c r="G844" s="10">
        <f>IF($A844="","","Автозапись из листа Ремонты")</f>
        <v/>
      </c>
    </row>
    <row r="845">
      <c r="A845" s="12">
        <f>IF(Ремонты!K122="","",Ремонты!K122)</f>
        <v/>
      </c>
      <c r="B845" s="10">
        <f>IF($A845="","",Ремонты!A122)</f>
        <v/>
      </c>
      <c r="C845" s="10">
        <f>IF($A845="","",Ремонты!D122)</f>
        <v/>
      </c>
      <c r="D845" s="10">
        <f>IF($A845="","",Ремонты!E122)</f>
        <v/>
      </c>
      <c r="E845" s="10">
        <f>IF($A845="","","Прибытие в Ленск")</f>
        <v/>
      </c>
      <c r="F845" s="10">
        <f>IF($A845="","",Ремонты!T122)</f>
        <v/>
      </c>
      <c r="G845" s="10">
        <f>IF($A845="","","Автозапись из листа Ремонты")</f>
        <v/>
      </c>
    </row>
    <row r="846">
      <c r="A846" s="12">
        <f>IF(Ремонты!M122="","",Ремонты!M122)</f>
        <v/>
      </c>
      <c r="B846" s="10">
        <f>IF($A846="","",Ремонты!A122)</f>
        <v/>
      </c>
      <c r="C846" s="10">
        <f>IF($A846="","",Ремонты!D122)</f>
        <v/>
      </c>
      <c r="D846" s="10">
        <f>IF($A846="","",Ремонты!E122)</f>
        <v/>
      </c>
      <c r="E846" s="10">
        <f>IF($A846="","","Фактическое получение")</f>
        <v/>
      </c>
      <c r="F846" s="10">
        <f>IF($A846="","",Ремонты!T122)</f>
        <v/>
      </c>
      <c r="G846" s="10">
        <f>IF($A846="","","Автозапись из листа Ремонты")</f>
        <v/>
      </c>
    </row>
    <row r="847">
      <c r="A847" s="12">
        <f>IF(Ремонты!P122="","",Ремонты!P122)</f>
        <v/>
      </c>
      <c r="B847" s="10">
        <f>IF($A847="","",Ремонты!A122)</f>
        <v/>
      </c>
      <c r="C847" s="10">
        <f>IF($A847="","",Ремонты!D122)</f>
        <v/>
      </c>
      <c r="D847" s="10">
        <f>IF($A847="","",Ремонты!E122)</f>
        <v/>
      </c>
      <c r="E847" s="10">
        <f>IF($A847="","","Входной контроль")</f>
        <v/>
      </c>
      <c r="F847" s="10">
        <f>IF($A847="","",Ремонты!T122)</f>
        <v/>
      </c>
      <c r="G847" s="10">
        <f>IF($A847="","","Автозапись из листа Ремонты")</f>
        <v/>
      </c>
    </row>
    <row r="848">
      <c r="A848" s="12">
        <f>IF(Ремонты!S122="","",Ремонты!S122)</f>
        <v/>
      </c>
      <c r="B848" s="10">
        <f>IF($A848="","",Ремонты!A122)</f>
        <v/>
      </c>
      <c r="C848" s="10">
        <f>IF($A848="","",Ремонты!D122)</f>
        <v/>
      </c>
      <c r="D848" s="10">
        <f>IF($A848="","",Ремонты!E122)</f>
        <v/>
      </c>
      <c r="E848" s="10">
        <f>IF($A848="","","Оплата")</f>
        <v/>
      </c>
      <c r="F848" s="10">
        <f>IF($A848="","",Ремонты!T122)</f>
        <v/>
      </c>
      <c r="G848" s="10">
        <f>IF($A848="","","Автозапись из листа Ремонты")</f>
        <v/>
      </c>
    </row>
    <row r="849">
      <c r="A849" s="12">
        <f>IF(Ремонты!G123="","",Ремонты!G123)</f>
        <v/>
      </c>
      <c r="B849" s="10">
        <f>IF($A849="","",Ремонты!A123)</f>
        <v/>
      </c>
      <c r="C849" s="10">
        <f>IF($A849="","",Ремонты!D123)</f>
        <v/>
      </c>
      <c r="D849" s="10">
        <f>IF($A849="","",Ремонты!E123)</f>
        <v/>
      </c>
      <c r="E849" s="10">
        <f>IF($A849="","","Отправка в ремонт")</f>
        <v/>
      </c>
      <c r="F849" s="10">
        <f>IF($A849="","",Ремонты!T123)</f>
        <v/>
      </c>
      <c r="G849" s="10">
        <f>IF($A849="","","Автозапись из листа Ремонты")</f>
        <v/>
      </c>
    </row>
    <row r="850">
      <c r="A850" s="12">
        <f>IF(Ремонты!I123="","",Ремонты!I123)</f>
        <v/>
      </c>
      <c r="B850" s="10">
        <f>IF($A850="","",Ремонты!A123)</f>
        <v/>
      </c>
      <c r="C850" s="10">
        <f>IF($A850="","",Ремонты!D123)</f>
        <v/>
      </c>
      <c r="D850" s="10">
        <f>IF($A850="","",Ремонты!E123)</f>
        <v/>
      </c>
      <c r="E850" s="10">
        <f>IF($A850="","","Отправка из ремонта")</f>
        <v/>
      </c>
      <c r="F850" s="10">
        <f>IF($A850="","",Ремонты!T123)</f>
        <v/>
      </c>
      <c r="G850" s="10">
        <f>IF($A850="","","Автозапись из листа Ремонты")</f>
        <v/>
      </c>
    </row>
    <row r="851">
      <c r="A851" s="12">
        <f>IF(Ремонты!J123="","",Ремонты!J123)</f>
        <v/>
      </c>
      <c r="B851" s="10">
        <f>IF($A851="","",Ремонты!A123)</f>
        <v/>
      </c>
      <c r="C851" s="10">
        <f>IF($A851="","",Ремонты!D123)</f>
        <v/>
      </c>
      <c r="D851" s="10">
        <f>IF($A851="","",Ремонты!E123)</f>
        <v/>
      </c>
      <c r="E851" s="10">
        <f>IF($A851="","","Отправка из Иркутска")</f>
        <v/>
      </c>
      <c r="F851" s="10">
        <f>IF($A851="","",Ремонты!T123)</f>
        <v/>
      </c>
      <c r="G851" s="10">
        <f>IF($A851="","","Автозапись из листа Ремонты")</f>
        <v/>
      </c>
    </row>
    <row r="852">
      <c r="A852" s="12">
        <f>IF(Ремонты!K123="","",Ремонты!K123)</f>
        <v/>
      </c>
      <c r="B852" s="10">
        <f>IF($A852="","",Ремонты!A123)</f>
        <v/>
      </c>
      <c r="C852" s="10">
        <f>IF($A852="","",Ремонты!D123)</f>
        <v/>
      </c>
      <c r="D852" s="10">
        <f>IF($A852="","",Ремонты!E123)</f>
        <v/>
      </c>
      <c r="E852" s="10">
        <f>IF($A852="","","Прибытие в Ленск")</f>
        <v/>
      </c>
      <c r="F852" s="10">
        <f>IF($A852="","",Ремонты!T123)</f>
        <v/>
      </c>
      <c r="G852" s="10">
        <f>IF($A852="","","Автозапись из листа Ремонты")</f>
        <v/>
      </c>
    </row>
    <row r="853">
      <c r="A853" s="12">
        <f>IF(Ремонты!M123="","",Ремонты!M123)</f>
        <v/>
      </c>
      <c r="B853" s="10">
        <f>IF($A853="","",Ремонты!A123)</f>
        <v/>
      </c>
      <c r="C853" s="10">
        <f>IF($A853="","",Ремонты!D123)</f>
        <v/>
      </c>
      <c r="D853" s="10">
        <f>IF($A853="","",Ремонты!E123)</f>
        <v/>
      </c>
      <c r="E853" s="10">
        <f>IF($A853="","","Фактическое получение")</f>
        <v/>
      </c>
      <c r="F853" s="10">
        <f>IF($A853="","",Ремонты!T123)</f>
        <v/>
      </c>
      <c r="G853" s="10">
        <f>IF($A853="","","Автозапись из листа Ремонты")</f>
        <v/>
      </c>
    </row>
    <row r="854">
      <c r="A854" s="12">
        <f>IF(Ремонты!P123="","",Ремонты!P123)</f>
        <v/>
      </c>
      <c r="B854" s="10">
        <f>IF($A854="","",Ремонты!A123)</f>
        <v/>
      </c>
      <c r="C854" s="10">
        <f>IF($A854="","",Ремонты!D123)</f>
        <v/>
      </c>
      <c r="D854" s="10">
        <f>IF($A854="","",Ремонты!E123)</f>
        <v/>
      </c>
      <c r="E854" s="10">
        <f>IF($A854="","","Входной контроль")</f>
        <v/>
      </c>
      <c r="F854" s="10">
        <f>IF($A854="","",Ремонты!T123)</f>
        <v/>
      </c>
      <c r="G854" s="10">
        <f>IF($A854="","","Автозапись из листа Ремонты")</f>
        <v/>
      </c>
    </row>
    <row r="855">
      <c r="A855" s="12">
        <f>IF(Ремонты!S123="","",Ремонты!S123)</f>
        <v/>
      </c>
      <c r="B855" s="10">
        <f>IF($A855="","",Ремонты!A123)</f>
        <v/>
      </c>
      <c r="C855" s="10">
        <f>IF($A855="","",Ремонты!D123)</f>
        <v/>
      </c>
      <c r="D855" s="10">
        <f>IF($A855="","",Ремонты!E123)</f>
        <v/>
      </c>
      <c r="E855" s="10">
        <f>IF($A855="","","Оплата")</f>
        <v/>
      </c>
      <c r="F855" s="10">
        <f>IF($A855="","",Ремонты!T123)</f>
        <v/>
      </c>
      <c r="G855" s="10">
        <f>IF($A855="","","Автозапись из листа Ремонты")</f>
        <v/>
      </c>
    </row>
    <row r="856">
      <c r="A856" s="12">
        <f>IF(Ремонты!G124="","",Ремонты!G124)</f>
        <v/>
      </c>
      <c r="B856" s="10">
        <f>IF($A856="","",Ремонты!A124)</f>
        <v/>
      </c>
      <c r="C856" s="10">
        <f>IF($A856="","",Ремонты!D124)</f>
        <v/>
      </c>
      <c r="D856" s="10">
        <f>IF($A856="","",Ремонты!E124)</f>
        <v/>
      </c>
      <c r="E856" s="10">
        <f>IF($A856="","","Отправка в ремонт")</f>
        <v/>
      </c>
      <c r="F856" s="10">
        <f>IF($A856="","",Ремонты!T124)</f>
        <v/>
      </c>
      <c r="G856" s="10">
        <f>IF($A856="","","Автозапись из листа Ремонты")</f>
        <v/>
      </c>
    </row>
    <row r="857">
      <c r="A857" s="12">
        <f>IF(Ремонты!I124="","",Ремонты!I124)</f>
        <v/>
      </c>
      <c r="B857" s="10">
        <f>IF($A857="","",Ремонты!A124)</f>
        <v/>
      </c>
      <c r="C857" s="10">
        <f>IF($A857="","",Ремонты!D124)</f>
        <v/>
      </c>
      <c r="D857" s="10">
        <f>IF($A857="","",Ремонты!E124)</f>
        <v/>
      </c>
      <c r="E857" s="10">
        <f>IF($A857="","","Отправка из ремонта")</f>
        <v/>
      </c>
      <c r="F857" s="10">
        <f>IF($A857="","",Ремонты!T124)</f>
        <v/>
      </c>
      <c r="G857" s="10">
        <f>IF($A857="","","Автозапись из листа Ремонты")</f>
        <v/>
      </c>
    </row>
    <row r="858">
      <c r="A858" s="12">
        <f>IF(Ремонты!J124="","",Ремонты!J124)</f>
        <v/>
      </c>
      <c r="B858" s="10">
        <f>IF($A858="","",Ремонты!A124)</f>
        <v/>
      </c>
      <c r="C858" s="10">
        <f>IF($A858="","",Ремонты!D124)</f>
        <v/>
      </c>
      <c r="D858" s="10">
        <f>IF($A858="","",Ремонты!E124)</f>
        <v/>
      </c>
      <c r="E858" s="10">
        <f>IF($A858="","","Отправка из Иркутска")</f>
        <v/>
      </c>
      <c r="F858" s="10">
        <f>IF($A858="","",Ремонты!T124)</f>
        <v/>
      </c>
      <c r="G858" s="10">
        <f>IF($A858="","","Автозапись из листа Ремонты")</f>
        <v/>
      </c>
    </row>
    <row r="859">
      <c r="A859" s="12">
        <f>IF(Ремонты!K124="","",Ремонты!K124)</f>
        <v/>
      </c>
      <c r="B859" s="10">
        <f>IF($A859="","",Ремонты!A124)</f>
        <v/>
      </c>
      <c r="C859" s="10">
        <f>IF($A859="","",Ремонты!D124)</f>
        <v/>
      </c>
      <c r="D859" s="10">
        <f>IF($A859="","",Ремонты!E124)</f>
        <v/>
      </c>
      <c r="E859" s="10">
        <f>IF($A859="","","Прибытие в Ленск")</f>
        <v/>
      </c>
      <c r="F859" s="10">
        <f>IF($A859="","",Ремонты!T124)</f>
        <v/>
      </c>
      <c r="G859" s="10">
        <f>IF($A859="","","Автозапись из листа Ремонты")</f>
        <v/>
      </c>
    </row>
    <row r="860">
      <c r="A860" s="12">
        <f>IF(Ремонты!M124="","",Ремонты!M124)</f>
        <v/>
      </c>
      <c r="B860" s="10">
        <f>IF($A860="","",Ремонты!A124)</f>
        <v/>
      </c>
      <c r="C860" s="10">
        <f>IF($A860="","",Ремонты!D124)</f>
        <v/>
      </c>
      <c r="D860" s="10">
        <f>IF($A860="","",Ремонты!E124)</f>
        <v/>
      </c>
      <c r="E860" s="10">
        <f>IF($A860="","","Фактическое получение")</f>
        <v/>
      </c>
      <c r="F860" s="10">
        <f>IF($A860="","",Ремонты!T124)</f>
        <v/>
      </c>
      <c r="G860" s="10">
        <f>IF($A860="","","Автозапись из листа Ремонты")</f>
        <v/>
      </c>
    </row>
    <row r="861">
      <c r="A861" s="12">
        <f>IF(Ремонты!P124="","",Ремонты!P124)</f>
        <v/>
      </c>
      <c r="B861" s="10">
        <f>IF($A861="","",Ремонты!A124)</f>
        <v/>
      </c>
      <c r="C861" s="10">
        <f>IF($A861="","",Ремонты!D124)</f>
        <v/>
      </c>
      <c r="D861" s="10">
        <f>IF($A861="","",Ремонты!E124)</f>
        <v/>
      </c>
      <c r="E861" s="10">
        <f>IF($A861="","","Входной контроль")</f>
        <v/>
      </c>
      <c r="F861" s="10">
        <f>IF($A861="","",Ремонты!T124)</f>
        <v/>
      </c>
      <c r="G861" s="10">
        <f>IF($A861="","","Автозапись из листа Ремонты")</f>
        <v/>
      </c>
    </row>
    <row r="862">
      <c r="A862" s="12">
        <f>IF(Ремонты!S124="","",Ремонты!S124)</f>
        <v/>
      </c>
      <c r="B862" s="10">
        <f>IF($A862="","",Ремонты!A124)</f>
        <v/>
      </c>
      <c r="C862" s="10">
        <f>IF($A862="","",Ремонты!D124)</f>
        <v/>
      </c>
      <c r="D862" s="10">
        <f>IF($A862="","",Ремонты!E124)</f>
        <v/>
      </c>
      <c r="E862" s="10">
        <f>IF($A862="","","Оплата")</f>
        <v/>
      </c>
      <c r="F862" s="10">
        <f>IF($A862="","",Ремонты!T124)</f>
        <v/>
      </c>
      <c r="G862" s="10">
        <f>IF($A862="","","Автозапись из листа Ремонты")</f>
        <v/>
      </c>
    </row>
    <row r="863">
      <c r="A863" s="12">
        <f>IF(Ремонты!G125="","",Ремонты!G125)</f>
        <v/>
      </c>
      <c r="B863" s="10">
        <f>IF($A863="","",Ремонты!A125)</f>
        <v/>
      </c>
      <c r="C863" s="10">
        <f>IF($A863="","",Ремонты!D125)</f>
        <v/>
      </c>
      <c r="D863" s="10">
        <f>IF($A863="","",Ремонты!E125)</f>
        <v/>
      </c>
      <c r="E863" s="10">
        <f>IF($A863="","","Отправка в ремонт")</f>
        <v/>
      </c>
      <c r="F863" s="10">
        <f>IF($A863="","",Ремонты!T125)</f>
        <v/>
      </c>
      <c r="G863" s="10">
        <f>IF($A863="","","Автозапись из листа Ремонты")</f>
        <v/>
      </c>
    </row>
    <row r="864">
      <c r="A864" s="12">
        <f>IF(Ремонты!I125="","",Ремонты!I125)</f>
        <v/>
      </c>
      <c r="B864" s="10">
        <f>IF($A864="","",Ремонты!A125)</f>
        <v/>
      </c>
      <c r="C864" s="10">
        <f>IF($A864="","",Ремонты!D125)</f>
        <v/>
      </c>
      <c r="D864" s="10">
        <f>IF($A864="","",Ремонты!E125)</f>
        <v/>
      </c>
      <c r="E864" s="10">
        <f>IF($A864="","","Отправка из ремонта")</f>
        <v/>
      </c>
      <c r="F864" s="10">
        <f>IF($A864="","",Ремонты!T125)</f>
        <v/>
      </c>
      <c r="G864" s="10">
        <f>IF($A864="","","Автозапись из листа Ремонты")</f>
        <v/>
      </c>
    </row>
    <row r="865">
      <c r="A865" s="12">
        <f>IF(Ремонты!J125="","",Ремонты!J125)</f>
        <v/>
      </c>
      <c r="B865" s="10">
        <f>IF($A865="","",Ремонты!A125)</f>
        <v/>
      </c>
      <c r="C865" s="10">
        <f>IF($A865="","",Ремонты!D125)</f>
        <v/>
      </c>
      <c r="D865" s="10">
        <f>IF($A865="","",Ремонты!E125)</f>
        <v/>
      </c>
      <c r="E865" s="10">
        <f>IF($A865="","","Отправка из Иркутска")</f>
        <v/>
      </c>
      <c r="F865" s="10">
        <f>IF($A865="","",Ремонты!T125)</f>
        <v/>
      </c>
      <c r="G865" s="10">
        <f>IF($A865="","","Автозапись из листа Ремонты")</f>
        <v/>
      </c>
    </row>
    <row r="866">
      <c r="A866" s="12">
        <f>IF(Ремонты!K125="","",Ремонты!K125)</f>
        <v/>
      </c>
      <c r="B866" s="10">
        <f>IF($A866="","",Ремонты!A125)</f>
        <v/>
      </c>
      <c r="C866" s="10">
        <f>IF($A866="","",Ремонты!D125)</f>
        <v/>
      </c>
      <c r="D866" s="10">
        <f>IF($A866="","",Ремонты!E125)</f>
        <v/>
      </c>
      <c r="E866" s="10">
        <f>IF($A866="","","Прибытие в Ленск")</f>
        <v/>
      </c>
      <c r="F866" s="10">
        <f>IF($A866="","",Ремонты!T125)</f>
        <v/>
      </c>
      <c r="G866" s="10">
        <f>IF($A866="","","Автозапись из листа Ремонты")</f>
        <v/>
      </c>
    </row>
    <row r="867">
      <c r="A867" s="12">
        <f>IF(Ремонты!M125="","",Ремонты!M125)</f>
        <v/>
      </c>
      <c r="B867" s="10">
        <f>IF($A867="","",Ремонты!A125)</f>
        <v/>
      </c>
      <c r="C867" s="10">
        <f>IF($A867="","",Ремонты!D125)</f>
        <v/>
      </c>
      <c r="D867" s="10">
        <f>IF($A867="","",Ремонты!E125)</f>
        <v/>
      </c>
      <c r="E867" s="10">
        <f>IF($A867="","","Фактическое получение")</f>
        <v/>
      </c>
      <c r="F867" s="10">
        <f>IF($A867="","",Ремонты!T125)</f>
        <v/>
      </c>
      <c r="G867" s="10">
        <f>IF($A867="","","Автозапись из листа Ремонты")</f>
        <v/>
      </c>
    </row>
    <row r="868">
      <c r="A868" s="12">
        <f>IF(Ремонты!P125="","",Ремонты!P125)</f>
        <v/>
      </c>
      <c r="B868" s="10">
        <f>IF($A868="","",Ремонты!A125)</f>
        <v/>
      </c>
      <c r="C868" s="10">
        <f>IF($A868="","",Ремонты!D125)</f>
        <v/>
      </c>
      <c r="D868" s="10">
        <f>IF($A868="","",Ремонты!E125)</f>
        <v/>
      </c>
      <c r="E868" s="10">
        <f>IF($A868="","","Входной контроль")</f>
        <v/>
      </c>
      <c r="F868" s="10">
        <f>IF($A868="","",Ремонты!T125)</f>
        <v/>
      </c>
      <c r="G868" s="10">
        <f>IF($A868="","","Автозапись из листа Ремонты")</f>
        <v/>
      </c>
    </row>
    <row r="869">
      <c r="A869" s="12">
        <f>IF(Ремонты!S125="","",Ремонты!S125)</f>
        <v/>
      </c>
      <c r="B869" s="10">
        <f>IF($A869="","",Ремонты!A125)</f>
        <v/>
      </c>
      <c r="C869" s="10">
        <f>IF($A869="","",Ремонты!D125)</f>
        <v/>
      </c>
      <c r="D869" s="10">
        <f>IF($A869="","",Ремонты!E125)</f>
        <v/>
      </c>
      <c r="E869" s="10">
        <f>IF($A869="","","Оплата")</f>
        <v/>
      </c>
      <c r="F869" s="10">
        <f>IF($A869="","",Ремонты!T125)</f>
        <v/>
      </c>
      <c r="G869" s="10">
        <f>IF($A869="","","Автозапись из листа Ремонты")</f>
        <v/>
      </c>
    </row>
    <row r="870">
      <c r="A870" s="12">
        <f>IF(Ремонты!G126="","",Ремонты!G126)</f>
        <v/>
      </c>
      <c r="B870" s="10">
        <f>IF($A870="","",Ремонты!A126)</f>
        <v/>
      </c>
      <c r="C870" s="10">
        <f>IF($A870="","",Ремонты!D126)</f>
        <v/>
      </c>
      <c r="D870" s="10">
        <f>IF($A870="","",Ремонты!E126)</f>
        <v/>
      </c>
      <c r="E870" s="10">
        <f>IF($A870="","","Отправка в ремонт")</f>
        <v/>
      </c>
      <c r="F870" s="10">
        <f>IF($A870="","",Ремонты!T126)</f>
        <v/>
      </c>
      <c r="G870" s="10">
        <f>IF($A870="","","Автозапись из листа Ремонты")</f>
        <v/>
      </c>
    </row>
    <row r="871">
      <c r="A871" s="12">
        <f>IF(Ремонты!I126="","",Ремонты!I126)</f>
        <v/>
      </c>
      <c r="B871" s="10">
        <f>IF($A871="","",Ремонты!A126)</f>
        <v/>
      </c>
      <c r="C871" s="10">
        <f>IF($A871="","",Ремонты!D126)</f>
        <v/>
      </c>
      <c r="D871" s="10">
        <f>IF($A871="","",Ремонты!E126)</f>
        <v/>
      </c>
      <c r="E871" s="10">
        <f>IF($A871="","","Отправка из ремонта")</f>
        <v/>
      </c>
      <c r="F871" s="10">
        <f>IF($A871="","",Ремонты!T126)</f>
        <v/>
      </c>
      <c r="G871" s="10">
        <f>IF($A871="","","Автозапись из листа Ремонты")</f>
        <v/>
      </c>
    </row>
    <row r="872">
      <c r="A872" s="12">
        <f>IF(Ремонты!J126="","",Ремонты!J126)</f>
        <v/>
      </c>
      <c r="B872" s="10">
        <f>IF($A872="","",Ремонты!A126)</f>
        <v/>
      </c>
      <c r="C872" s="10">
        <f>IF($A872="","",Ремонты!D126)</f>
        <v/>
      </c>
      <c r="D872" s="10">
        <f>IF($A872="","",Ремонты!E126)</f>
        <v/>
      </c>
      <c r="E872" s="10">
        <f>IF($A872="","","Отправка из Иркутска")</f>
        <v/>
      </c>
      <c r="F872" s="10">
        <f>IF($A872="","",Ремонты!T126)</f>
        <v/>
      </c>
      <c r="G872" s="10">
        <f>IF($A872="","","Автозапись из листа Ремонты")</f>
        <v/>
      </c>
    </row>
    <row r="873">
      <c r="A873" s="12">
        <f>IF(Ремонты!K126="","",Ремонты!K126)</f>
        <v/>
      </c>
      <c r="B873" s="10">
        <f>IF($A873="","",Ремонты!A126)</f>
        <v/>
      </c>
      <c r="C873" s="10">
        <f>IF($A873="","",Ремонты!D126)</f>
        <v/>
      </c>
      <c r="D873" s="10">
        <f>IF($A873="","",Ремонты!E126)</f>
        <v/>
      </c>
      <c r="E873" s="10">
        <f>IF($A873="","","Прибытие в Ленск")</f>
        <v/>
      </c>
      <c r="F873" s="10">
        <f>IF($A873="","",Ремонты!T126)</f>
        <v/>
      </c>
      <c r="G873" s="10">
        <f>IF($A873="","","Автозапись из листа Ремонты")</f>
        <v/>
      </c>
    </row>
    <row r="874">
      <c r="A874" s="12">
        <f>IF(Ремонты!M126="","",Ремонты!M126)</f>
        <v/>
      </c>
      <c r="B874" s="10">
        <f>IF($A874="","",Ремонты!A126)</f>
        <v/>
      </c>
      <c r="C874" s="10">
        <f>IF($A874="","",Ремонты!D126)</f>
        <v/>
      </c>
      <c r="D874" s="10">
        <f>IF($A874="","",Ремонты!E126)</f>
        <v/>
      </c>
      <c r="E874" s="10">
        <f>IF($A874="","","Фактическое получение")</f>
        <v/>
      </c>
      <c r="F874" s="10">
        <f>IF($A874="","",Ремонты!T126)</f>
        <v/>
      </c>
      <c r="G874" s="10">
        <f>IF($A874="","","Автозапись из листа Ремонты")</f>
        <v/>
      </c>
    </row>
    <row r="875">
      <c r="A875" s="12">
        <f>IF(Ремонты!P126="","",Ремонты!P126)</f>
        <v/>
      </c>
      <c r="B875" s="10">
        <f>IF($A875="","",Ремонты!A126)</f>
        <v/>
      </c>
      <c r="C875" s="10">
        <f>IF($A875="","",Ремонты!D126)</f>
        <v/>
      </c>
      <c r="D875" s="10">
        <f>IF($A875="","",Ремонты!E126)</f>
        <v/>
      </c>
      <c r="E875" s="10">
        <f>IF($A875="","","Входной контроль")</f>
        <v/>
      </c>
      <c r="F875" s="10">
        <f>IF($A875="","",Ремонты!T126)</f>
        <v/>
      </c>
      <c r="G875" s="10">
        <f>IF($A875="","","Автозапись из листа Ремонты")</f>
        <v/>
      </c>
    </row>
    <row r="876">
      <c r="A876" s="12">
        <f>IF(Ремонты!S126="","",Ремонты!S126)</f>
        <v/>
      </c>
      <c r="B876" s="10">
        <f>IF($A876="","",Ремонты!A126)</f>
        <v/>
      </c>
      <c r="C876" s="10">
        <f>IF($A876="","",Ремонты!D126)</f>
        <v/>
      </c>
      <c r="D876" s="10">
        <f>IF($A876="","",Ремонты!E126)</f>
        <v/>
      </c>
      <c r="E876" s="10">
        <f>IF($A876="","","Оплата")</f>
        <v/>
      </c>
      <c r="F876" s="10">
        <f>IF($A876="","",Ремонты!T126)</f>
        <v/>
      </c>
      <c r="G876" s="10">
        <f>IF($A876="","","Автозапись из листа Ремонты")</f>
        <v/>
      </c>
    </row>
    <row r="877">
      <c r="A877" s="12">
        <f>IF(Ремонты!G127="","",Ремонты!G127)</f>
        <v/>
      </c>
      <c r="B877" s="10">
        <f>IF($A877="","",Ремонты!A127)</f>
        <v/>
      </c>
      <c r="C877" s="10">
        <f>IF($A877="","",Ремонты!D127)</f>
        <v/>
      </c>
      <c r="D877" s="10">
        <f>IF($A877="","",Ремонты!E127)</f>
        <v/>
      </c>
      <c r="E877" s="10">
        <f>IF($A877="","","Отправка в ремонт")</f>
        <v/>
      </c>
      <c r="F877" s="10">
        <f>IF($A877="","",Ремонты!T127)</f>
        <v/>
      </c>
      <c r="G877" s="10">
        <f>IF($A877="","","Автозапись из листа Ремонты")</f>
        <v/>
      </c>
    </row>
    <row r="878">
      <c r="A878" s="12">
        <f>IF(Ремонты!I127="","",Ремонты!I127)</f>
        <v/>
      </c>
      <c r="B878" s="10">
        <f>IF($A878="","",Ремонты!A127)</f>
        <v/>
      </c>
      <c r="C878" s="10">
        <f>IF($A878="","",Ремонты!D127)</f>
        <v/>
      </c>
      <c r="D878" s="10">
        <f>IF($A878="","",Ремонты!E127)</f>
        <v/>
      </c>
      <c r="E878" s="10">
        <f>IF($A878="","","Отправка из ремонта")</f>
        <v/>
      </c>
      <c r="F878" s="10">
        <f>IF($A878="","",Ремонты!T127)</f>
        <v/>
      </c>
      <c r="G878" s="10">
        <f>IF($A878="","","Автозапись из листа Ремонты")</f>
        <v/>
      </c>
    </row>
    <row r="879">
      <c r="A879" s="12">
        <f>IF(Ремонты!J127="","",Ремонты!J127)</f>
        <v/>
      </c>
      <c r="B879" s="10">
        <f>IF($A879="","",Ремонты!A127)</f>
        <v/>
      </c>
      <c r="C879" s="10">
        <f>IF($A879="","",Ремонты!D127)</f>
        <v/>
      </c>
      <c r="D879" s="10">
        <f>IF($A879="","",Ремонты!E127)</f>
        <v/>
      </c>
      <c r="E879" s="10">
        <f>IF($A879="","","Отправка из Иркутска")</f>
        <v/>
      </c>
      <c r="F879" s="10">
        <f>IF($A879="","",Ремонты!T127)</f>
        <v/>
      </c>
      <c r="G879" s="10">
        <f>IF($A879="","","Автозапись из листа Ремонты")</f>
        <v/>
      </c>
    </row>
    <row r="880">
      <c r="A880" s="12">
        <f>IF(Ремонты!K127="","",Ремонты!K127)</f>
        <v/>
      </c>
      <c r="B880" s="10">
        <f>IF($A880="","",Ремонты!A127)</f>
        <v/>
      </c>
      <c r="C880" s="10">
        <f>IF($A880="","",Ремонты!D127)</f>
        <v/>
      </c>
      <c r="D880" s="10">
        <f>IF($A880="","",Ремонты!E127)</f>
        <v/>
      </c>
      <c r="E880" s="10">
        <f>IF($A880="","","Прибытие в Ленск")</f>
        <v/>
      </c>
      <c r="F880" s="10">
        <f>IF($A880="","",Ремонты!T127)</f>
        <v/>
      </c>
      <c r="G880" s="10">
        <f>IF($A880="","","Автозапись из листа Ремонты")</f>
        <v/>
      </c>
    </row>
    <row r="881">
      <c r="A881" s="12">
        <f>IF(Ремонты!M127="","",Ремонты!M127)</f>
        <v/>
      </c>
      <c r="B881" s="10">
        <f>IF($A881="","",Ремонты!A127)</f>
        <v/>
      </c>
      <c r="C881" s="10">
        <f>IF($A881="","",Ремонты!D127)</f>
        <v/>
      </c>
      <c r="D881" s="10">
        <f>IF($A881="","",Ремонты!E127)</f>
        <v/>
      </c>
      <c r="E881" s="10">
        <f>IF($A881="","","Фактическое получение")</f>
        <v/>
      </c>
      <c r="F881" s="10">
        <f>IF($A881="","",Ремонты!T127)</f>
        <v/>
      </c>
      <c r="G881" s="10">
        <f>IF($A881="","","Автозапись из листа Ремонты")</f>
        <v/>
      </c>
    </row>
    <row r="882">
      <c r="A882" s="12">
        <f>IF(Ремонты!P127="","",Ремонты!P127)</f>
        <v/>
      </c>
      <c r="B882" s="10">
        <f>IF($A882="","",Ремонты!A127)</f>
        <v/>
      </c>
      <c r="C882" s="10">
        <f>IF($A882="","",Ремонты!D127)</f>
        <v/>
      </c>
      <c r="D882" s="10">
        <f>IF($A882="","",Ремонты!E127)</f>
        <v/>
      </c>
      <c r="E882" s="10">
        <f>IF($A882="","","Входной контроль")</f>
        <v/>
      </c>
      <c r="F882" s="10">
        <f>IF($A882="","",Ремонты!T127)</f>
        <v/>
      </c>
      <c r="G882" s="10">
        <f>IF($A882="","","Автозапись из листа Ремонты")</f>
        <v/>
      </c>
    </row>
    <row r="883">
      <c r="A883" s="12">
        <f>IF(Ремонты!S127="","",Ремонты!S127)</f>
        <v/>
      </c>
      <c r="B883" s="10">
        <f>IF($A883="","",Ремонты!A127)</f>
        <v/>
      </c>
      <c r="C883" s="10">
        <f>IF($A883="","",Ремонты!D127)</f>
        <v/>
      </c>
      <c r="D883" s="10">
        <f>IF($A883="","",Ремонты!E127)</f>
        <v/>
      </c>
      <c r="E883" s="10">
        <f>IF($A883="","","Оплата")</f>
        <v/>
      </c>
      <c r="F883" s="10">
        <f>IF($A883="","",Ремонты!T127)</f>
        <v/>
      </c>
      <c r="G883" s="10">
        <f>IF($A883="","","Автозапись из листа Ремонты")</f>
        <v/>
      </c>
    </row>
    <row r="884">
      <c r="A884" s="12">
        <f>IF(Ремонты!G128="","",Ремонты!G128)</f>
        <v/>
      </c>
      <c r="B884" s="10">
        <f>IF($A884="","",Ремонты!A128)</f>
        <v/>
      </c>
      <c r="C884" s="10">
        <f>IF($A884="","",Ремонты!D128)</f>
        <v/>
      </c>
      <c r="D884" s="10">
        <f>IF($A884="","",Ремонты!E128)</f>
        <v/>
      </c>
      <c r="E884" s="10">
        <f>IF($A884="","","Отправка в ремонт")</f>
        <v/>
      </c>
      <c r="F884" s="10">
        <f>IF($A884="","",Ремонты!T128)</f>
        <v/>
      </c>
      <c r="G884" s="10">
        <f>IF($A884="","","Автозапись из листа Ремонты")</f>
        <v/>
      </c>
    </row>
    <row r="885">
      <c r="A885" s="12">
        <f>IF(Ремонты!I128="","",Ремонты!I128)</f>
        <v/>
      </c>
      <c r="B885" s="10">
        <f>IF($A885="","",Ремонты!A128)</f>
        <v/>
      </c>
      <c r="C885" s="10">
        <f>IF($A885="","",Ремонты!D128)</f>
        <v/>
      </c>
      <c r="D885" s="10">
        <f>IF($A885="","",Ремонты!E128)</f>
        <v/>
      </c>
      <c r="E885" s="10">
        <f>IF($A885="","","Отправка из ремонта")</f>
        <v/>
      </c>
      <c r="F885" s="10">
        <f>IF($A885="","",Ремонты!T128)</f>
        <v/>
      </c>
      <c r="G885" s="10">
        <f>IF($A885="","","Автозапись из листа Ремонты")</f>
        <v/>
      </c>
    </row>
    <row r="886">
      <c r="A886" s="12">
        <f>IF(Ремонты!J128="","",Ремонты!J128)</f>
        <v/>
      </c>
      <c r="B886" s="10">
        <f>IF($A886="","",Ремонты!A128)</f>
        <v/>
      </c>
      <c r="C886" s="10">
        <f>IF($A886="","",Ремонты!D128)</f>
        <v/>
      </c>
      <c r="D886" s="10">
        <f>IF($A886="","",Ремонты!E128)</f>
        <v/>
      </c>
      <c r="E886" s="10">
        <f>IF($A886="","","Отправка из Иркутска")</f>
        <v/>
      </c>
      <c r="F886" s="10">
        <f>IF($A886="","",Ремонты!T128)</f>
        <v/>
      </c>
      <c r="G886" s="10">
        <f>IF($A886="","","Автозапись из листа Ремонты")</f>
        <v/>
      </c>
    </row>
    <row r="887">
      <c r="A887" s="12">
        <f>IF(Ремонты!K128="","",Ремонты!K128)</f>
        <v/>
      </c>
      <c r="B887" s="10">
        <f>IF($A887="","",Ремонты!A128)</f>
        <v/>
      </c>
      <c r="C887" s="10">
        <f>IF($A887="","",Ремонты!D128)</f>
        <v/>
      </c>
      <c r="D887" s="10">
        <f>IF($A887="","",Ремонты!E128)</f>
        <v/>
      </c>
      <c r="E887" s="10">
        <f>IF($A887="","","Прибытие в Ленск")</f>
        <v/>
      </c>
      <c r="F887" s="10">
        <f>IF($A887="","",Ремонты!T128)</f>
        <v/>
      </c>
      <c r="G887" s="10">
        <f>IF($A887="","","Автозапись из листа Ремонты")</f>
        <v/>
      </c>
    </row>
    <row r="888">
      <c r="A888" s="12">
        <f>IF(Ремонты!M128="","",Ремонты!M128)</f>
        <v/>
      </c>
      <c r="B888" s="10">
        <f>IF($A888="","",Ремонты!A128)</f>
        <v/>
      </c>
      <c r="C888" s="10">
        <f>IF($A888="","",Ремонты!D128)</f>
        <v/>
      </c>
      <c r="D888" s="10">
        <f>IF($A888="","",Ремонты!E128)</f>
        <v/>
      </c>
      <c r="E888" s="10">
        <f>IF($A888="","","Фактическое получение")</f>
        <v/>
      </c>
      <c r="F888" s="10">
        <f>IF($A888="","",Ремонты!T128)</f>
        <v/>
      </c>
      <c r="G888" s="10">
        <f>IF($A888="","","Автозапись из листа Ремонты")</f>
        <v/>
      </c>
    </row>
    <row r="889">
      <c r="A889" s="12">
        <f>IF(Ремонты!P128="","",Ремонты!P128)</f>
        <v/>
      </c>
      <c r="B889" s="10">
        <f>IF($A889="","",Ремонты!A128)</f>
        <v/>
      </c>
      <c r="C889" s="10">
        <f>IF($A889="","",Ремонты!D128)</f>
        <v/>
      </c>
      <c r="D889" s="10">
        <f>IF($A889="","",Ремонты!E128)</f>
        <v/>
      </c>
      <c r="E889" s="10">
        <f>IF($A889="","","Входной контроль")</f>
        <v/>
      </c>
      <c r="F889" s="10">
        <f>IF($A889="","",Ремонты!T128)</f>
        <v/>
      </c>
      <c r="G889" s="10">
        <f>IF($A889="","","Автозапись из листа Ремонты")</f>
        <v/>
      </c>
    </row>
    <row r="890">
      <c r="A890" s="12">
        <f>IF(Ремонты!S128="","",Ремонты!S128)</f>
        <v/>
      </c>
      <c r="B890" s="10">
        <f>IF($A890="","",Ремонты!A128)</f>
        <v/>
      </c>
      <c r="C890" s="10">
        <f>IF($A890="","",Ремонты!D128)</f>
        <v/>
      </c>
      <c r="D890" s="10">
        <f>IF($A890="","",Ремонты!E128)</f>
        <v/>
      </c>
      <c r="E890" s="10">
        <f>IF($A890="","","Оплата")</f>
        <v/>
      </c>
      <c r="F890" s="10">
        <f>IF($A890="","",Ремонты!T128)</f>
        <v/>
      </c>
      <c r="G890" s="10">
        <f>IF($A890="","","Автозапись из листа Ремонты")</f>
        <v/>
      </c>
    </row>
    <row r="891">
      <c r="A891" s="12">
        <f>IF(Ремонты!G129="","",Ремонты!G129)</f>
        <v/>
      </c>
      <c r="B891" s="10">
        <f>IF($A891="","",Ремонты!A129)</f>
        <v/>
      </c>
      <c r="C891" s="10">
        <f>IF($A891="","",Ремонты!D129)</f>
        <v/>
      </c>
      <c r="D891" s="10">
        <f>IF($A891="","",Ремонты!E129)</f>
        <v/>
      </c>
      <c r="E891" s="10">
        <f>IF($A891="","","Отправка в ремонт")</f>
        <v/>
      </c>
      <c r="F891" s="10">
        <f>IF($A891="","",Ремонты!T129)</f>
        <v/>
      </c>
      <c r="G891" s="10">
        <f>IF($A891="","","Автозапись из листа Ремонты")</f>
        <v/>
      </c>
    </row>
    <row r="892">
      <c r="A892" s="12">
        <f>IF(Ремонты!I129="","",Ремонты!I129)</f>
        <v/>
      </c>
      <c r="B892" s="10">
        <f>IF($A892="","",Ремонты!A129)</f>
        <v/>
      </c>
      <c r="C892" s="10">
        <f>IF($A892="","",Ремонты!D129)</f>
        <v/>
      </c>
      <c r="D892" s="10">
        <f>IF($A892="","",Ремонты!E129)</f>
        <v/>
      </c>
      <c r="E892" s="10">
        <f>IF($A892="","","Отправка из ремонта")</f>
        <v/>
      </c>
      <c r="F892" s="10">
        <f>IF($A892="","",Ремонты!T129)</f>
        <v/>
      </c>
      <c r="G892" s="10">
        <f>IF($A892="","","Автозапись из листа Ремонты")</f>
        <v/>
      </c>
    </row>
    <row r="893">
      <c r="A893" s="12">
        <f>IF(Ремонты!J129="","",Ремонты!J129)</f>
        <v/>
      </c>
      <c r="B893" s="10">
        <f>IF($A893="","",Ремонты!A129)</f>
        <v/>
      </c>
      <c r="C893" s="10">
        <f>IF($A893="","",Ремонты!D129)</f>
        <v/>
      </c>
      <c r="D893" s="10">
        <f>IF($A893="","",Ремонты!E129)</f>
        <v/>
      </c>
      <c r="E893" s="10">
        <f>IF($A893="","","Отправка из Иркутска")</f>
        <v/>
      </c>
      <c r="F893" s="10">
        <f>IF($A893="","",Ремонты!T129)</f>
        <v/>
      </c>
      <c r="G893" s="10">
        <f>IF($A893="","","Автозапись из листа Ремонты")</f>
        <v/>
      </c>
    </row>
    <row r="894">
      <c r="A894" s="12">
        <f>IF(Ремонты!K129="","",Ремонты!K129)</f>
        <v/>
      </c>
      <c r="B894" s="10">
        <f>IF($A894="","",Ремонты!A129)</f>
        <v/>
      </c>
      <c r="C894" s="10">
        <f>IF($A894="","",Ремонты!D129)</f>
        <v/>
      </c>
      <c r="D894" s="10">
        <f>IF($A894="","",Ремонты!E129)</f>
        <v/>
      </c>
      <c r="E894" s="10">
        <f>IF($A894="","","Прибытие в Ленск")</f>
        <v/>
      </c>
      <c r="F894" s="10">
        <f>IF($A894="","",Ремонты!T129)</f>
        <v/>
      </c>
      <c r="G894" s="10">
        <f>IF($A894="","","Автозапись из листа Ремонты")</f>
        <v/>
      </c>
    </row>
    <row r="895">
      <c r="A895" s="12">
        <f>IF(Ремонты!M129="","",Ремонты!M129)</f>
        <v/>
      </c>
      <c r="B895" s="10">
        <f>IF($A895="","",Ремонты!A129)</f>
        <v/>
      </c>
      <c r="C895" s="10">
        <f>IF($A895="","",Ремонты!D129)</f>
        <v/>
      </c>
      <c r="D895" s="10">
        <f>IF($A895="","",Ремонты!E129)</f>
        <v/>
      </c>
      <c r="E895" s="10">
        <f>IF($A895="","","Фактическое получение")</f>
        <v/>
      </c>
      <c r="F895" s="10">
        <f>IF($A895="","",Ремонты!T129)</f>
        <v/>
      </c>
      <c r="G895" s="10">
        <f>IF($A895="","","Автозапись из листа Ремонты")</f>
        <v/>
      </c>
    </row>
    <row r="896">
      <c r="A896" s="12">
        <f>IF(Ремонты!P129="","",Ремонты!P129)</f>
        <v/>
      </c>
      <c r="B896" s="10">
        <f>IF($A896="","",Ремонты!A129)</f>
        <v/>
      </c>
      <c r="C896" s="10">
        <f>IF($A896="","",Ремонты!D129)</f>
        <v/>
      </c>
      <c r="D896" s="10">
        <f>IF($A896="","",Ремонты!E129)</f>
        <v/>
      </c>
      <c r="E896" s="10">
        <f>IF($A896="","","Входной контроль")</f>
        <v/>
      </c>
      <c r="F896" s="10">
        <f>IF($A896="","",Ремонты!T129)</f>
        <v/>
      </c>
      <c r="G896" s="10">
        <f>IF($A896="","","Автозапись из листа Ремонты")</f>
        <v/>
      </c>
    </row>
    <row r="897">
      <c r="A897" s="12">
        <f>IF(Ремонты!S129="","",Ремонты!S129)</f>
        <v/>
      </c>
      <c r="B897" s="10">
        <f>IF($A897="","",Ремонты!A129)</f>
        <v/>
      </c>
      <c r="C897" s="10">
        <f>IF($A897="","",Ремонты!D129)</f>
        <v/>
      </c>
      <c r="D897" s="10">
        <f>IF($A897="","",Ремонты!E129)</f>
        <v/>
      </c>
      <c r="E897" s="10">
        <f>IF($A897="","","Оплата")</f>
        <v/>
      </c>
      <c r="F897" s="10">
        <f>IF($A897="","",Ремонты!T129)</f>
        <v/>
      </c>
      <c r="G897" s="10">
        <f>IF($A897="","","Автозапись из листа Ремонты")</f>
        <v/>
      </c>
    </row>
    <row r="898">
      <c r="A898" s="12">
        <f>IF(Ремонты!G130="","",Ремонты!G130)</f>
        <v/>
      </c>
      <c r="B898" s="10">
        <f>IF($A898="","",Ремонты!A130)</f>
        <v/>
      </c>
      <c r="C898" s="10">
        <f>IF($A898="","",Ремонты!D130)</f>
        <v/>
      </c>
      <c r="D898" s="10">
        <f>IF($A898="","",Ремонты!E130)</f>
        <v/>
      </c>
      <c r="E898" s="10">
        <f>IF($A898="","","Отправка в ремонт")</f>
        <v/>
      </c>
      <c r="F898" s="10">
        <f>IF($A898="","",Ремонты!T130)</f>
        <v/>
      </c>
      <c r="G898" s="10">
        <f>IF($A898="","","Автозапись из листа Ремонты")</f>
        <v/>
      </c>
    </row>
    <row r="899">
      <c r="A899" s="12">
        <f>IF(Ремонты!I130="","",Ремонты!I130)</f>
        <v/>
      </c>
      <c r="B899" s="10">
        <f>IF($A899="","",Ремонты!A130)</f>
        <v/>
      </c>
      <c r="C899" s="10">
        <f>IF($A899="","",Ремонты!D130)</f>
        <v/>
      </c>
      <c r="D899" s="10">
        <f>IF($A899="","",Ремонты!E130)</f>
        <v/>
      </c>
      <c r="E899" s="10">
        <f>IF($A899="","","Отправка из ремонта")</f>
        <v/>
      </c>
      <c r="F899" s="10">
        <f>IF($A899="","",Ремонты!T130)</f>
        <v/>
      </c>
      <c r="G899" s="10">
        <f>IF($A899="","","Автозапись из листа Ремонты")</f>
        <v/>
      </c>
    </row>
    <row r="900">
      <c r="A900" s="12">
        <f>IF(Ремонты!J130="","",Ремонты!J130)</f>
        <v/>
      </c>
      <c r="B900" s="10">
        <f>IF($A900="","",Ремонты!A130)</f>
        <v/>
      </c>
      <c r="C900" s="10">
        <f>IF($A900="","",Ремонты!D130)</f>
        <v/>
      </c>
      <c r="D900" s="10">
        <f>IF($A900="","",Ремонты!E130)</f>
        <v/>
      </c>
      <c r="E900" s="10">
        <f>IF($A900="","","Отправка из Иркутска")</f>
        <v/>
      </c>
      <c r="F900" s="10">
        <f>IF($A900="","",Ремонты!T130)</f>
        <v/>
      </c>
      <c r="G900" s="10">
        <f>IF($A900="","","Автозапись из листа Ремонты")</f>
        <v/>
      </c>
    </row>
    <row r="901">
      <c r="A901" s="12">
        <f>IF(Ремонты!K130="","",Ремонты!K130)</f>
        <v/>
      </c>
      <c r="B901" s="10">
        <f>IF($A901="","",Ремонты!A130)</f>
        <v/>
      </c>
      <c r="C901" s="10">
        <f>IF($A901="","",Ремонты!D130)</f>
        <v/>
      </c>
      <c r="D901" s="10">
        <f>IF($A901="","",Ремонты!E130)</f>
        <v/>
      </c>
      <c r="E901" s="10">
        <f>IF($A901="","","Прибытие в Ленск")</f>
        <v/>
      </c>
      <c r="F901" s="10">
        <f>IF($A901="","",Ремонты!T130)</f>
        <v/>
      </c>
      <c r="G901" s="10">
        <f>IF($A901="","","Автозапись из листа Ремонты")</f>
        <v/>
      </c>
    </row>
    <row r="902">
      <c r="A902" s="12">
        <f>IF(Ремонты!M130="","",Ремонты!M130)</f>
        <v/>
      </c>
      <c r="B902" s="10">
        <f>IF($A902="","",Ремонты!A130)</f>
        <v/>
      </c>
      <c r="C902" s="10">
        <f>IF($A902="","",Ремонты!D130)</f>
        <v/>
      </c>
      <c r="D902" s="10">
        <f>IF($A902="","",Ремонты!E130)</f>
        <v/>
      </c>
      <c r="E902" s="10">
        <f>IF($A902="","","Фактическое получение")</f>
        <v/>
      </c>
      <c r="F902" s="10">
        <f>IF($A902="","",Ремонты!T130)</f>
        <v/>
      </c>
      <c r="G902" s="10">
        <f>IF($A902="","","Автозапись из листа Ремонты")</f>
        <v/>
      </c>
    </row>
    <row r="903">
      <c r="A903" s="12">
        <f>IF(Ремонты!P130="","",Ремонты!P130)</f>
        <v/>
      </c>
      <c r="B903" s="10">
        <f>IF($A903="","",Ремонты!A130)</f>
        <v/>
      </c>
      <c r="C903" s="10">
        <f>IF($A903="","",Ремонты!D130)</f>
        <v/>
      </c>
      <c r="D903" s="10">
        <f>IF($A903="","",Ремонты!E130)</f>
        <v/>
      </c>
      <c r="E903" s="10">
        <f>IF($A903="","","Входной контроль")</f>
        <v/>
      </c>
      <c r="F903" s="10">
        <f>IF($A903="","",Ремонты!T130)</f>
        <v/>
      </c>
      <c r="G903" s="10">
        <f>IF($A903="","","Автозапись из листа Ремонты")</f>
        <v/>
      </c>
    </row>
    <row r="904">
      <c r="A904" s="12">
        <f>IF(Ремонты!S130="","",Ремонты!S130)</f>
        <v/>
      </c>
      <c r="B904" s="10">
        <f>IF($A904="","",Ремонты!A130)</f>
        <v/>
      </c>
      <c r="C904" s="10">
        <f>IF($A904="","",Ремонты!D130)</f>
        <v/>
      </c>
      <c r="D904" s="10">
        <f>IF($A904="","",Ремонты!E130)</f>
        <v/>
      </c>
      <c r="E904" s="10">
        <f>IF($A904="","","Оплата")</f>
        <v/>
      </c>
      <c r="F904" s="10">
        <f>IF($A904="","",Ремонты!T130)</f>
        <v/>
      </c>
      <c r="G904" s="10">
        <f>IF($A904="","","Автозапись из листа Ремонты")</f>
        <v/>
      </c>
    </row>
    <row r="905">
      <c r="A905" s="12">
        <f>IF(Ремонты!G131="","",Ремонты!G131)</f>
        <v/>
      </c>
      <c r="B905" s="10">
        <f>IF($A905="","",Ремонты!A131)</f>
        <v/>
      </c>
      <c r="C905" s="10">
        <f>IF($A905="","",Ремонты!D131)</f>
        <v/>
      </c>
      <c r="D905" s="10">
        <f>IF($A905="","",Ремонты!E131)</f>
        <v/>
      </c>
      <c r="E905" s="10">
        <f>IF($A905="","","Отправка в ремонт")</f>
        <v/>
      </c>
      <c r="F905" s="10">
        <f>IF($A905="","",Ремонты!T131)</f>
        <v/>
      </c>
      <c r="G905" s="10">
        <f>IF($A905="","","Автозапись из листа Ремонты")</f>
        <v/>
      </c>
    </row>
    <row r="906">
      <c r="A906" s="12">
        <f>IF(Ремонты!I131="","",Ремонты!I131)</f>
        <v/>
      </c>
      <c r="B906" s="10">
        <f>IF($A906="","",Ремонты!A131)</f>
        <v/>
      </c>
      <c r="C906" s="10">
        <f>IF($A906="","",Ремонты!D131)</f>
        <v/>
      </c>
      <c r="D906" s="10">
        <f>IF($A906="","",Ремонты!E131)</f>
        <v/>
      </c>
      <c r="E906" s="10">
        <f>IF($A906="","","Отправка из ремонта")</f>
        <v/>
      </c>
      <c r="F906" s="10">
        <f>IF($A906="","",Ремонты!T131)</f>
        <v/>
      </c>
      <c r="G906" s="10">
        <f>IF($A906="","","Автозапись из листа Ремонты")</f>
        <v/>
      </c>
    </row>
    <row r="907">
      <c r="A907" s="12">
        <f>IF(Ремонты!J131="","",Ремонты!J131)</f>
        <v/>
      </c>
      <c r="B907" s="10">
        <f>IF($A907="","",Ремонты!A131)</f>
        <v/>
      </c>
      <c r="C907" s="10">
        <f>IF($A907="","",Ремонты!D131)</f>
        <v/>
      </c>
      <c r="D907" s="10">
        <f>IF($A907="","",Ремонты!E131)</f>
        <v/>
      </c>
      <c r="E907" s="10">
        <f>IF($A907="","","Отправка из Иркутска")</f>
        <v/>
      </c>
      <c r="F907" s="10">
        <f>IF($A907="","",Ремонты!T131)</f>
        <v/>
      </c>
      <c r="G907" s="10">
        <f>IF($A907="","","Автозапись из листа Ремонты")</f>
        <v/>
      </c>
    </row>
    <row r="908">
      <c r="A908" s="12">
        <f>IF(Ремонты!K131="","",Ремонты!K131)</f>
        <v/>
      </c>
      <c r="B908" s="10">
        <f>IF($A908="","",Ремонты!A131)</f>
        <v/>
      </c>
      <c r="C908" s="10">
        <f>IF($A908="","",Ремонты!D131)</f>
        <v/>
      </c>
      <c r="D908" s="10">
        <f>IF($A908="","",Ремонты!E131)</f>
        <v/>
      </c>
      <c r="E908" s="10">
        <f>IF($A908="","","Прибытие в Ленск")</f>
        <v/>
      </c>
      <c r="F908" s="10">
        <f>IF($A908="","",Ремонты!T131)</f>
        <v/>
      </c>
      <c r="G908" s="10">
        <f>IF($A908="","","Автозапись из листа Ремонты")</f>
        <v/>
      </c>
    </row>
    <row r="909">
      <c r="A909" s="12">
        <f>IF(Ремонты!M131="","",Ремонты!M131)</f>
        <v/>
      </c>
      <c r="B909" s="10">
        <f>IF($A909="","",Ремонты!A131)</f>
        <v/>
      </c>
      <c r="C909" s="10">
        <f>IF($A909="","",Ремонты!D131)</f>
        <v/>
      </c>
      <c r="D909" s="10">
        <f>IF($A909="","",Ремонты!E131)</f>
        <v/>
      </c>
      <c r="E909" s="10">
        <f>IF($A909="","","Фактическое получение")</f>
        <v/>
      </c>
      <c r="F909" s="10">
        <f>IF($A909="","",Ремонты!T131)</f>
        <v/>
      </c>
      <c r="G909" s="10">
        <f>IF($A909="","","Автозапись из листа Ремонты")</f>
        <v/>
      </c>
    </row>
    <row r="910">
      <c r="A910" s="12">
        <f>IF(Ремонты!P131="","",Ремонты!P131)</f>
        <v/>
      </c>
      <c r="B910" s="10">
        <f>IF($A910="","",Ремонты!A131)</f>
        <v/>
      </c>
      <c r="C910" s="10">
        <f>IF($A910="","",Ремонты!D131)</f>
        <v/>
      </c>
      <c r="D910" s="10">
        <f>IF($A910="","",Ремонты!E131)</f>
        <v/>
      </c>
      <c r="E910" s="10">
        <f>IF($A910="","","Входной контроль")</f>
        <v/>
      </c>
      <c r="F910" s="10">
        <f>IF($A910="","",Ремонты!T131)</f>
        <v/>
      </c>
      <c r="G910" s="10">
        <f>IF($A910="","","Автозапись из листа Ремонты")</f>
        <v/>
      </c>
    </row>
    <row r="911">
      <c r="A911" s="12">
        <f>IF(Ремонты!S131="","",Ремонты!S131)</f>
        <v/>
      </c>
      <c r="B911" s="10">
        <f>IF($A911="","",Ремонты!A131)</f>
        <v/>
      </c>
      <c r="C911" s="10">
        <f>IF($A911="","",Ремонты!D131)</f>
        <v/>
      </c>
      <c r="D911" s="10">
        <f>IF($A911="","",Ремонты!E131)</f>
        <v/>
      </c>
      <c r="E911" s="10">
        <f>IF($A911="","","Оплата")</f>
        <v/>
      </c>
      <c r="F911" s="10">
        <f>IF($A911="","",Ремонты!T131)</f>
        <v/>
      </c>
      <c r="G911" s="10">
        <f>IF($A911="","","Автозапись из листа Ремонты")</f>
        <v/>
      </c>
    </row>
    <row r="912">
      <c r="A912" s="12">
        <f>IF(Ремонты!G132="","",Ремонты!G132)</f>
        <v/>
      </c>
      <c r="B912" s="10">
        <f>IF($A912="","",Ремонты!A132)</f>
        <v/>
      </c>
      <c r="C912" s="10">
        <f>IF($A912="","",Ремонты!D132)</f>
        <v/>
      </c>
      <c r="D912" s="10">
        <f>IF($A912="","",Ремонты!E132)</f>
        <v/>
      </c>
      <c r="E912" s="10">
        <f>IF($A912="","","Отправка в ремонт")</f>
        <v/>
      </c>
      <c r="F912" s="10">
        <f>IF($A912="","",Ремонты!T132)</f>
        <v/>
      </c>
      <c r="G912" s="10">
        <f>IF($A912="","","Автозапись из листа Ремонты")</f>
        <v/>
      </c>
    </row>
    <row r="913">
      <c r="A913" s="12">
        <f>IF(Ремонты!I132="","",Ремонты!I132)</f>
        <v/>
      </c>
      <c r="B913" s="10">
        <f>IF($A913="","",Ремонты!A132)</f>
        <v/>
      </c>
      <c r="C913" s="10">
        <f>IF($A913="","",Ремонты!D132)</f>
        <v/>
      </c>
      <c r="D913" s="10">
        <f>IF($A913="","",Ремонты!E132)</f>
        <v/>
      </c>
      <c r="E913" s="10">
        <f>IF($A913="","","Отправка из ремонта")</f>
        <v/>
      </c>
      <c r="F913" s="10">
        <f>IF($A913="","",Ремонты!T132)</f>
        <v/>
      </c>
      <c r="G913" s="10">
        <f>IF($A913="","","Автозапись из листа Ремонты")</f>
        <v/>
      </c>
    </row>
    <row r="914">
      <c r="A914" s="12">
        <f>IF(Ремонты!J132="","",Ремонты!J132)</f>
        <v/>
      </c>
      <c r="B914" s="10">
        <f>IF($A914="","",Ремонты!A132)</f>
        <v/>
      </c>
      <c r="C914" s="10">
        <f>IF($A914="","",Ремонты!D132)</f>
        <v/>
      </c>
      <c r="D914" s="10">
        <f>IF($A914="","",Ремонты!E132)</f>
        <v/>
      </c>
      <c r="E914" s="10">
        <f>IF($A914="","","Отправка из Иркутска")</f>
        <v/>
      </c>
      <c r="F914" s="10">
        <f>IF($A914="","",Ремонты!T132)</f>
        <v/>
      </c>
      <c r="G914" s="10">
        <f>IF($A914="","","Автозапись из листа Ремонты")</f>
        <v/>
      </c>
    </row>
    <row r="915">
      <c r="A915" s="12">
        <f>IF(Ремонты!K132="","",Ремонты!K132)</f>
        <v/>
      </c>
      <c r="B915" s="10">
        <f>IF($A915="","",Ремонты!A132)</f>
        <v/>
      </c>
      <c r="C915" s="10">
        <f>IF($A915="","",Ремонты!D132)</f>
        <v/>
      </c>
      <c r="D915" s="10">
        <f>IF($A915="","",Ремонты!E132)</f>
        <v/>
      </c>
      <c r="E915" s="10">
        <f>IF($A915="","","Прибытие в Ленск")</f>
        <v/>
      </c>
      <c r="F915" s="10">
        <f>IF($A915="","",Ремонты!T132)</f>
        <v/>
      </c>
      <c r="G915" s="10">
        <f>IF($A915="","","Автозапись из листа Ремонты")</f>
        <v/>
      </c>
    </row>
    <row r="916">
      <c r="A916" s="12">
        <f>IF(Ремонты!M132="","",Ремонты!M132)</f>
        <v/>
      </c>
      <c r="B916" s="10">
        <f>IF($A916="","",Ремонты!A132)</f>
        <v/>
      </c>
      <c r="C916" s="10">
        <f>IF($A916="","",Ремонты!D132)</f>
        <v/>
      </c>
      <c r="D916" s="10">
        <f>IF($A916="","",Ремонты!E132)</f>
        <v/>
      </c>
      <c r="E916" s="10">
        <f>IF($A916="","","Фактическое получение")</f>
        <v/>
      </c>
      <c r="F916" s="10">
        <f>IF($A916="","",Ремонты!T132)</f>
        <v/>
      </c>
      <c r="G916" s="10">
        <f>IF($A916="","","Автозапись из листа Ремонты")</f>
        <v/>
      </c>
    </row>
    <row r="917">
      <c r="A917" s="12">
        <f>IF(Ремонты!P132="","",Ремонты!P132)</f>
        <v/>
      </c>
      <c r="B917" s="10">
        <f>IF($A917="","",Ремонты!A132)</f>
        <v/>
      </c>
      <c r="C917" s="10">
        <f>IF($A917="","",Ремонты!D132)</f>
        <v/>
      </c>
      <c r="D917" s="10">
        <f>IF($A917="","",Ремонты!E132)</f>
        <v/>
      </c>
      <c r="E917" s="10">
        <f>IF($A917="","","Входной контроль")</f>
        <v/>
      </c>
      <c r="F917" s="10">
        <f>IF($A917="","",Ремонты!T132)</f>
        <v/>
      </c>
      <c r="G917" s="10">
        <f>IF($A917="","","Автозапись из листа Ремонты")</f>
        <v/>
      </c>
    </row>
    <row r="918">
      <c r="A918" s="12">
        <f>IF(Ремонты!S132="","",Ремонты!S132)</f>
        <v/>
      </c>
      <c r="B918" s="10">
        <f>IF($A918="","",Ремонты!A132)</f>
        <v/>
      </c>
      <c r="C918" s="10">
        <f>IF($A918="","",Ремонты!D132)</f>
        <v/>
      </c>
      <c r="D918" s="10">
        <f>IF($A918="","",Ремонты!E132)</f>
        <v/>
      </c>
      <c r="E918" s="10">
        <f>IF($A918="","","Оплата")</f>
        <v/>
      </c>
      <c r="F918" s="10">
        <f>IF($A918="","",Ремонты!T132)</f>
        <v/>
      </c>
      <c r="G918" s="10">
        <f>IF($A918="","","Автозапись из листа Ремонты")</f>
        <v/>
      </c>
    </row>
    <row r="919">
      <c r="A919" s="12">
        <f>IF(Ремонты!G133="","",Ремонты!G133)</f>
        <v/>
      </c>
      <c r="B919" s="10">
        <f>IF($A919="","",Ремонты!A133)</f>
        <v/>
      </c>
      <c r="C919" s="10">
        <f>IF($A919="","",Ремонты!D133)</f>
        <v/>
      </c>
      <c r="D919" s="10">
        <f>IF($A919="","",Ремонты!E133)</f>
        <v/>
      </c>
      <c r="E919" s="10">
        <f>IF($A919="","","Отправка в ремонт")</f>
        <v/>
      </c>
      <c r="F919" s="10">
        <f>IF($A919="","",Ремонты!T133)</f>
        <v/>
      </c>
      <c r="G919" s="10">
        <f>IF($A919="","","Автозапись из листа Ремонты")</f>
        <v/>
      </c>
    </row>
    <row r="920">
      <c r="A920" s="12">
        <f>IF(Ремонты!I133="","",Ремонты!I133)</f>
        <v/>
      </c>
      <c r="B920" s="10">
        <f>IF($A920="","",Ремонты!A133)</f>
        <v/>
      </c>
      <c r="C920" s="10">
        <f>IF($A920="","",Ремонты!D133)</f>
        <v/>
      </c>
      <c r="D920" s="10">
        <f>IF($A920="","",Ремонты!E133)</f>
        <v/>
      </c>
      <c r="E920" s="10">
        <f>IF($A920="","","Отправка из ремонта")</f>
        <v/>
      </c>
      <c r="F920" s="10">
        <f>IF($A920="","",Ремонты!T133)</f>
        <v/>
      </c>
      <c r="G920" s="10">
        <f>IF($A920="","","Автозапись из листа Ремонты")</f>
        <v/>
      </c>
    </row>
    <row r="921">
      <c r="A921" s="12">
        <f>IF(Ремонты!J133="","",Ремонты!J133)</f>
        <v/>
      </c>
      <c r="B921" s="10">
        <f>IF($A921="","",Ремонты!A133)</f>
        <v/>
      </c>
      <c r="C921" s="10">
        <f>IF($A921="","",Ремонты!D133)</f>
        <v/>
      </c>
      <c r="D921" s="10">
        <f>IF($A921="","",Ремонты!E133)</f>
        <v/>
      </c>
      <c r="E921" s="10">
        <f>IF($A921="","","Отправка из Иркутска")</f>
        <v/>
      </c>
      <c r="F921" s="10">
        <f>IF($A921="","",Ремонты!T133)</f>
        <v/>
      </c>
      <c r="G921" s="10">
        <f>IF($A921="","","Автозапись из листа Ремонты")</f>
        <v/>
      </c>
    </row>
    <row r="922">
      <c r="A922" s="12">
        <f>IF(Ремонты!K133="","",Ремонты!K133)</f>
        <v/>
      </c>
      <c r="B922" s="10">
        <f>IF($A922="","",Ремонты!A133)</f>
        <v/>
      </c>
      <c r="C922" s="10">
        <f>IF($A922="","",Ремонты!D133)</f>
        <v/>
      </c>
      <c r="D922" s="10">
        <f>IF($A922="","",Ремонты!E133)</f>
        <v/>
      </c>
      <c r="E922" s="10">
        <f>IF($A922="","","Прибытие в Ленск")</f>
        <v/>
      </c>
      <c r="F922" s="10">
        <f>IF($A922="","",Ремонты!T133)</f>
        <v/>
      </c>
      <c r="G922" s="10">
        <f>IF($A922="","","Автозапись из листа Ремонты")</f>
        <v/>
      </c>
    </row>
    <row r="923">
      <c r="A923" s="12">
        <f>IF(Ремонты!M133="","",Ремонты!M133)</f>
        <v/>
      </c>
      <c r="B923" s="10">
        <f>IF($A923="","",Ремонты!A133)</f>
        <v/>
      </c>
      <c r="C923" s="10">
        <f>IF($A923="","",Ремонты!D133)</f>
        <v/>
      </c>
      <c r="D923" s="10">
        <f>IF($A923="","",Ремонты!E133)</f>
        <v/>
      </c>
      <c r="E923" s="10">
        <f>IF($A923="","","Фактическое получение")</f>
        <v/>
      </c>
      <c r="F923" s="10">
        <f>IF($A923="","",Ремонты!T133)</f>
        <v/>
      </c>
      <c r="G923" s="10">
        <f>IF($A923="","","Автозапись из листа Ремонты")</f>
        <v/>
      </c>
    </row>
    <row r="924">
      <c r="A924" s="12">
        <f>IF(Ремонты!P133="","",Ремонты!P133)</f>
        <v/>
      </c>
      <c r="B924" s="10">
        <f>IF($A924="","",Ремонты!A133)</f>
        <v/>
      </c>
      <c r="C924" s="10">
        <f>IF($A924="","",Ремонты!D133)</f>
        <v/>
      </c>
      <c r="D924" s="10">
        <f>IF($A924="","",Ремонты!E133)</f>
        <v/>
      </c>
      <c r="E924" s="10">
        <f>IF($A924="","","Входной контроль")</f>
        <v/>
      </c>
      <c r="F924" s="10">
        <f>IF($A924="","",Ремонты!T133)</f>
        <v/>
      </c>
      <c r="G924" s="10">
        <f>IF($A924="","","Автозапись из листа Ремонты")</f>
        <v/>
      </c>
    </row>
    <row r="925">
      <c r="A925" s="12">
        <f>IF(Ремонты!S133="","",Ремонты!S133)</f>
        <v/>
      </c>
      <c r="B925" s="10">
        <f>IF($A925="","",Ремонты!A133)</f>
        <v/>
      </c>
      <c r="C925" s="10">
        <f>IF($A925="","",Ремонты!D133)</f>
        <v/>
      </c>
      <c r="D925" s="10">
        <f>IF($A925="","",Ремонты!E133)</f>
        <v/>
      </c>
      <c r="E925" s="10">
        <f>IF($A925="","","Оплата")</f>
        <v/>
      </c>
      <c r="F925" s="10">
        <f>IF($A925="","",Ремонты!T133)</f>
        <v/>
      </c>
      <c r="G925" s="10">
        <f>IF($A925="","","Автозапись из листа Ремонты")</f>
        <v/>
      </c>
    </row>
    <row r="926">
      <c r="A926" s="12">
        <f>IF(Ремонты!G134="","",Ремонты!G134)</f>
        <v/>
      </c>
      <c r="B926" s="10">
        <f>IF($A926="","",Ремонты!A134)</f>
        <v/>
      </c>
      <c r="C926" s="10">
        <f>IF($A926="","",Ремонты!D134)</f>
        <v/>
      </c>
      <c r="D926" s="10">
        <f>IF($A926="","",Ремонты!E134)</f>
        <v/>
      </c>
      <c r="E926" s="10">
        <f>IF($A926="","","Отправка в ремонт")</f>
        <v/>
      </c>
      <c r="F926" s="10">
        <f>IF($A926="","",Ремонты!T134)</f>
        <v/>
      </c>
      <c r="G926" s="10">
        <f>IF($A926="","","Автозапись из листа Ремонты")</f>
        <v/>
      </c>
    </row>
    <row r="927">
      <c r="A927" s="12">
        <f>IF(Ремонты!I134="","",Ремонты!I134)</f>
        <v/>
      </c>
      <c r="B927" s="10">
        <f>IF($A927="","",Ремонты!A134)</f>
        <v/>
      </c>
      <c r="C927" s="10">
        <f>IF($A927="","",Ремонты!D134)</f>
        <v/>
      </c>
      <c r="D927" s="10">
        <f>IF($A927="","",Ремонты!E134)</f>
        <v/>
      </c>
      <c r="E927" s="10">
        <f>IF($A927="","","Отправка из ремонта")</f>
        <v/>
      </c>
      <c r="F927" s="10">
        <f>IF($A927="","",Ремонты!T134)</f>
        <v/>
      </c>
      <c r="G927" s="10">
        <f>IF($A927="","","Автозапись из листа Ремонты")</f>
        <v/>
      </c>
    </row>
    <row r="928">
      <c r="A928" s="12">
        <f>IF(Ремонты!J134="","",Ремонты!J134)</f>
        <v/>
      </c>
      <c r="B928" s="10">
        <f>IF($A928="","",Ремонты!A134)</f>
        <v/>
      </c>
      <c r="C928" s="10">
        <f>IF($A928="","",Ремонты!D134)</f>
        <v/>
      </c>
      <c r="D928" s="10">
        <f>IF($A928="","",Ремонты!E134)</f>
        <v/>
      </c>
      <c r="E928" s="10">
        <f>IF($A928="","","Отправка из Иркутска")</f>
        <v/>
      </c>
      <c r="F928" s="10">
        <f>IF($A928="","",Ремонты!T134)</f>
        <v/>
      </c>
      <c r="G928" s="10">
        <f>IF($A928="","","Автозапись из листа Ремонты")</f>
        <v/>
      </c>
    </row>
    <row r="929">
      <c r="A929" s="12">
        <f>IF(Ремонты!K134="","",Ремонты!K134)</f>
        <v/>
      </c>
      <c r="B929" s="10">
        <f>IF($A929="","",Ремонты!A134)</f>
        <v/>
      </c>
      <c r="C929" s="10">
        <f>IF($A929="","",Ремонты!D134)</f>
        <v/>
      </c>
      <c r="D929" s="10">
        <f>IF($A929="","",Ремонты!E134)</f>
        <v/>
      </c>
      <c r="E929" s="10">
        <f>IF($A929="","","Прибытие в Ленск")</f>
        <v/>
      </c>
      <c r="F929" s="10">
        <f>IF($A929="","",Ремонты!T134)</f>
        <v/>
      </c>
      <c r="G929" s="10">
        <f>IF($A929="","","Автозапись из листа Ремонты")</f>
        <v/>
      </c>
    </row>
    <row r="930">
      <c r="A930" s="12">
        <f>IF(Ремонты!M134="","",Ремонты!M134)</f>
        <v/>
      </c>
      <c r="B930" s="10">
        <f>IF($A930="","",Ремонты!A134)</f>
        <v/>
      </c>
      <c r="C930" s="10">
        <f>IF($A930="","",Ремонты!D134)</f>
        <v/>
      </c>
      <c r="D930" s="10">
        <f>IF($A930="","",Ремонты!E134)</f>
        <v/>
      </c>
      <c r="E930" s="10">
        <f>IF($A930="","","Фактическое получение")</f>
        <v/>
      </c>
      <c r="F930" s="10">
        <f>IF($A930="","",Ремонты!T134)</f>
        <v/>
      </c>
      <c r="G930" s="10">
        <f>IF($A930="","","Автозапись из листа Ремонты")</f>
        <v/>
      </c>
    </row>
    <row r="931">
      <c r="A931" s="12">
        <f>IF(Ремонты!P134="","",Ремонты!P134)</f>
        <v/>
      </c>
      <c r="B931" s="10">
        <f>IF($A931="","",Ремонты!A134)</f>
        <v/>
      </c>
      <c r="C931" s="10">
        <f>IF($A931="","",Ремонты!D134)</f>
        <v/>
      </c>
      <c r="D931" s="10">
        <f>IF($A931="","",Ремонты!E134)</f>
        <v/>
      </c>
      <c r="E931" s="10">
        <f>IF($A931="","","Входной контроль")</f>
        <v/>
      </c>
      <c r="F931" s="10">
        <f>IF($A931="","",Ремонты!T134)</f>
        <v/>
      </c>
      <c r="G931" s="10">
        <f>IF($A931="","","Автозапись из листа Ремонты")</f>
        <v/>
      </c>
    </row>
    <row r="932">
      <c r="A932" s="12">
        <f>IF(Ремонты!S134="","",Ремонты!S134)</f>
        <v/>
      </c>
      <c r="B932" s="10">
        <f>IF($A932="","",Ремонты!A134)</f>
        <v/>
      </c>
      <c r="C932" s="10">
        <f>IF($A932="","",Ремонты!D134)</f>
        <v/>
      </c>
      <c r="D932" s="10">
        <f>IF($A932="","",Ремонты!E134)</f>
        <v/>
      </c>
      <c r="E932" s="10">
        <f>IF($A932="","","Оплата")</f>
        <v/>
      </c>
      <c r="F932" s="10">
        <f>IF($A932="","",Ремонты!T134)</f>
        <v/>
      </c>
      <c r="G932" s="10">
        <f>IF($A932="","","Автозапись из листа Ремонты")</f>
        <v/>
      </c>
    </row>
    <row r="933">
      <c r="A933" s="12">
        <f>IF(Ремонты!G135="","",Ремонты!G135)</f>
        <v/>
      </c>
      <c r="B933" s="10">
        <f>IF($A933="","",Ремонты!A135)</f>
        <v/>
      </c>
      <c r="C933" s="10">
        <f>IF($A933="","",Ремонты!D135)</f>
        <v/>
      </c>
      <c r="D933" s="10">
        <f>IF($A933="","",Ремонты!E135)</f>
        <v/>
      </c>
      <c r="E933" s="10">
        <f>IF($A933="","","Отправка в ремонт")</f>
        <v/>
      </c>
      <c r="F933" s="10">
        <f>IF($A933="","",Ремонты!T135)</f>
        <v/>
      </c>
      <c r="G933" s="10">
        <f>IF($A933="","","Автозапись из листа Ремонты")</f>
        <v/>
      </c>
    </row>
    <row r="934">
      <c r="A934" s="12">
        <f>IF(Ремонты!I135="","",Ремонты!I135)</f>
        <v/>
      </c>
      <c r="B934" s="10">
        <f>IF($A934="","",Ремонты!A135)</f>
        <v/>
      </c>
      <c r="C934" s="10">
        <f>IF($A934="","",Ремонты!D135)</f>
        <v/>
      </c>
      <c r="D934" s="10">
        <f>IF($A934="","",Ремонты!E135)</f>
        <v/>
      </c>
      <c r="E934" s="10">
        <f>IF($A934="","","Отправка из ремонта")</f>
        <v/>
      </c>
      <c r="F934" s="10">
        <f>IF($A934="","",Ремонты!T135)</f>
        <v/>
      </c>
      <c r="G934" s="10">
        <f>IF($A934="","","Автозапись из листа Ремонты")</f>
        <v/>
      </c>
    </row>
    <row r="935">
      <c r="A935" s="12">
        <f>IF(Ремонты!J135="","",Ремонты!J135)</f>
        <v/>
      </c>
      <c r="B935" s="10">
        <f>IF($A935="","",Ремонты!A135)</f>
        <v/>
      </c>
      <c r="C935" s="10">
        <f>IF($A935="","",Ремонты!D135)</f>
        <v/>
      </c>
      <c r="D935" s="10">
        <f>IF($A935="","",Ремонты!E135)</f>
        <v/>
      </c>
      <c r="E935" s="10">
        <f>IF($A935="","","Отправка из Иркутска")</f>
        <v/>
      </c>
      <c r="F935" s="10">
        <f>IF($A935="","",Ремонты!T135)</f>
        <v/>
      </c>
      <c r="G935" s="10">
        <f>IF($A935="","","Автозапись из листа Ремонты")</f>
        <v/>
      </c>
    </row>
    <row r="936">
      <c r="A936" s="12">
        <f>IF(Ремонты!K135="","",Ремонты!K135)</f>
        <v/>
      </c>
      <c r="B936" s="10">
        <f>IF($A936="","",Ремонты!A135)</f>
        <v/>
      </c>
      <c r="C936" s="10">
        <f>IF($A936="","",Ремонты!D135)</f>
        <v/>
      </c>
      <c r="D936" s="10">
        <f>IF($A936="","",Ремонты!E135)</f>
        <v/>
      </c>
      <c r="E936" s="10">
        <f>IF($A936="","","Прибытие в Ленск")</f>
        <v/>
      </c>
      <c r="F936" s="10">
        <f>IF($A936="","",Ремонты!T135)</f>
        <v/>
      </c>
      <c r="G936" s="10">
        <f>IF($A936="","","Автозапись из листа Ремонты")</f>
        <v/>
      </c>
    </row>
    <row r="937">
      <c r="A937" s="12">
        <f>IF(Ремонты!M135="","",Ремонты!M135)</f>
        <v/>
      </c>
      <c r="B937" s="10">
        <f>IF($A937="","",Ремонты!A135)</f>
        <v/>
      </c>
      <c r="C937" s="10">
        <f>IF($A937="","",Ремонты!D135)</f>
        <v/>
      </c>
      <c r="D937" s="10">
        <f>IF($A937="","",Ремонты!E135)</f>
        <v/>
      </c>
      <c r="E937" s="10">
        <f>IF($A937="","","Фактическое получение")</f>
        <v/>
      </c>
      <c r="F937" s="10">
        <f>IF($A937="","",Ремонты!T135)</f>
        <v/>
      </c>
      <c r="G937" s="10">
        <f>IF($A937="","","Автозапись из листа Ремонты")</f>
        <v/>
      </c>
    </row>
    <row r="938">
      <c r="A938" s="12">
        <f>IF(Ремонты!P135="","",Ремонты!P135)</f>
        <v/>
      </c>
      <c r="B938" s="10">
        <f>IF($A938="","",Ремонты!A135)</f>
        <v/>
      </c>
      <c r="C938" s="10">
        <f>IF($A938="","",Ремонты!D135)</f>
        <v/>
      </c>
      <c r="D938" s="10">
        <f>IF($A938="","",Ремонты!E135)</f>
        <v/>
      </c>
      <c r="E938" s="10">
        <f>IF($A938="","","Входной контроль")</f>
        <v/>
      </c>
      <c r="F938" s="10">
        <f>IF($A938="","",Ремонты!T135)</f>
        <v/>
      </c>
      <c r="G938" s="10">
        <f>IF($A938="","","Автозапись из листа Ремонты")</f>
        <v/>
      </c>
    </row>
    <row r="939">
      <c r="A939" s="12">
        <f>IF(Ремонты!S135="","",Ремонты!S135)</f>
        <v/>
      </c>
      <c r="B939" s="10">
        <f>IF($A939="","",Ремонты!A135)</f>
        <v/>
      </c>
      <c r="C939" s="10">
        <f>IF($A939="","",Ремонты!D135)</f>
        <v/>
      </c>
      <c r="D939" s="10">
        <f>IF($A939="","",Ремонты!E135)</f>
        <v/>
      </c>
      <c r="E939" s="10">
        <f>IF($A939="","","Оплата")</f>
        <v/>
      </c>
      <c r="F939" s="10">
        <f>IF($A939="","",Ремонты!T135)</f>
        <v/>
      </c>
      <c r="G939" s="10">
        <f>IF($A939="","","Автозапись из листа Ремонты")</f>
        <v/>
      </c>
    </row>
    <row r="940">
      <c r="A940" s="12">
        <f>IF(Ремонты!G136="","",Ремонты!G136)</f>
        <v/>
      </c>
      <c r="B940" s="10">
        <f>IF($A940="","",Ремонты!A136)</f>
        <v/>
      </c>
      <c r="C940" s="10">
        <f>IF($A940="","",Ремонты!D136)</f>
        <v/>
      </c>
      <c r="D940" s="10">
        <f>IF($A940="","",Ремонты!E136)</f>
        <v/>
      </c>
      <c r="E940" s="10">
        <f>IF($A940="","","Отправка в ремонт")</f>
        <v/>
      </c>
      <c r="F940" s="10">
        <f>IF($A940="","",Ремонты!T136)</f>
        <v/>
      </c>
      <c r="G940" s="10">
        <f>IF($A940="","","Автозапись из листа Ремонты")</f>
        <v/>
      </c>
    </row>
    <row r="941">
      <c r="A941" s="12">
        <f>IF(Ремонты!I136="","",Ремонты!I136)</f>
        <v/>
      </c>
      <c r="B941" s="10">
        <f>IF($A941="","",Ремонты!A136)</f>
        <v/>
      </c>
      <c r="C941" s="10">
        <f>IF($A941="","",Ремонты!D136)</f>
        <v/>
      </c>
      <c r="D941" s="10">
        <f>IF($A941="","",Ремонты!E136)</f>
        <v/>
      </c>
      <c r="E941" s="10">
        <f>IF($A941="","","Отправка из ремонта")</f>
        <v/>
      </c>
      <c r="F941" s="10">
        <f>IF($A941="","",Ремонты!T136)</f>
        <v/>
      </c>
      <c r="G941" s="10">
        <f>IF($A941="","","Автозапись из листа Ремонты")</f>
        <v/>
      </c>
    </row>
    <row r="942">
      <c r="A942" s="12">
        <f>IF(Ремонты!J136="","",Ремонты!J136)</f>
        <v/>
      </c>
      <c r="B942" s="10">
        <f>IF($A942="","",Ремонты!A136)</f>
        <v/>
      </c>
      <c r="C942" s="10">
        <f>IF($A942="","",Ремонты!D136)</f>
        <v/>
      </c>
      <c r="D942" s="10">
        <f>IF($A942="","",Ремонты!E136)</f>
        <v/>
      </c>
      <c r="E942" s="10">
        <f>IF($A942="","","Отправка из Иркутска")</f>
        <v/>
      </c>
      <c r="F942" s="10">
        <f>IF($A942="","",Ремонты!T136)</f>
        <v/>
      </c>
      <c r="G942" s="10">
        <f>IF($A942="","","Автозапись из листа Ремонты")</f>
        <v/>
      </c>
    </row>
    <row r="943">
      <c r="A943" s="12">
        <f>IF(Ремонты!K136="","",Ремонты!K136)</f>
        <v/>
      </c>
      <c r="B943" s="10">
        <f>IF($A943="","",Ремонты!A136)</f>
        <v/>
      </c>
      <c r="C943" s="10">
        <f>IF($A943="","",Ремонты!D136)</f>
        <v/>
      </c>
      <c r="D943" s="10">
        <f>IF($A943="","",Ремонты!E136)</f>
        <v/>
      </c>
      <c r="E943" s="10">
        <f>IF($A943="","","Прибытие в Ленск")</f>
        <v/>
      </c>
      <c r="F943" s="10">
        <f>IF($A943="","",Ремонты!T136)</f>
        <v/>
      </c>
      <c r="G943" s="10">
        <f>IF($A943="","","Автозапись из листа Ремонты")</f>
        <v/>
      </c>
    </row>
    <row r="944">
      <c r="A944" s="12">
        <f>IF(Ремонты!M136="","",Ремонты!M136)</f>
        <v/>
      </c>
      <c r="B944" s="10">
        <f>IF($A944="","",Ремонты!A136)</f>
        <v/>
      </c>
      <c r="C944" s="10">
        <f>IF($A944="","",Ремонты!D136)</f>
        <v/>
      </c>
      <c r="D944" s="10">
        <f>IF($A944="","",Ремонты!E136)</f>
        <v/>
      </c>
      <c r="E944" s="10">
        <f>IF($A944="","","Фактическое получение")</f>
        <v/>
      </c>
      <c r="F944" s="10">
        <f>IF($A944="","",Ремонты!T136)</f>
        <v/>
      </c>
      <c r="G944" s="10">
        <f>IF($A944="","","Автозапись из листа Ремонты")</f>
        <v/>
      </c>
    </row>
    <row r="945">
      <c r="A945" s="12">
        <f>IF(Ремонты!P136="","",Ремонты!P136)</f>
        <v/>
      </c>
      <c r="B945" s="10">
        <f>IF($A945="","",Ремонты!A136)</f>
        <v/>
      </c>
      <c r="C945" s="10">
        <f>IF($A945="","",Ремонты!D136)</f>
        <v/>
      </c>
      <c r="D945" s="10">
        <f>IF($A945="","",Ремонты!E136)</f>
        <v/>
      </c>
      <c r="E945" s="10">
        <f>IF($A945="","","Входной контроль")</f>
        <v/>
      </c>
      <c r="F945" s="10">
        <f>IF($A945="","",Ремонты!T136)</f>
        <v/>
      </c>
      <c r="G945" s="10">
        <f>IF($A945="","","Автозапись из листа Ремонты")</f>
        <v/>
      </c>
    </row>
    <row r="946">
      <c r="A946" s="12">
        <f>IF(Ремонты!S136="","",Ремонты!S136)</f>
        <v/>
      </c>
      <c r="B946" s="10">
        <f>IF($A946="","",Ремонты!A136)</f>
        <v/>
      </c>
      <c r="C946" s="10">
        <f>IF($A946="","",Ремонты!D136)</f>
        <v/>
      </c>
      <c r="D946" s="10">
        <f>IF($A946="","",Ремонты!E136)</f>
        <v/>
      </c>
      <c r="E946" s="10">
        <f>IF($A946="","","Оплата")</f>
        <v/>
      </c>
      <c r="F946" s="10">
        <f>IF($A946="","",Ремонты!T136)</f>
        <v/>
      </c>
      <c r="G946" s="10">
        <f>IF($A946="","","Автозапись из листа Ремонты")</f>
        <v/>
      </c>
    </row>
    <row r="947">
      <c r="A947" s="12">
        <f>IF(Ремонты!G137="","",Ремонты!G137)</f>
        <v/>
      </c>
      <c r="B947" s="10">
        <f>IF($A947="","",Ремонты!A137)</f>
        <v/>
      </c>
      <c r="C947" s="10">
        <f>IF($A947="","",Ремонты!D137)</f>
        <v/>
      </c>
      <c r="D947" s="10">
        <f>IF($A947="","",Ремонты!E137)</f>
        <v/>
      </c>
      <c r="E947" s="10">
        <f>IF($A947="","","Отправка в ремонт")</f>
        <v/>
      </c>
      <c r="F947" s="10">
        <f>IF($A947="","",Ремонты!T137)</f>
        <v/>
      </c>
      <c r="G947" s="10">
        <f>IF($A947="","","Автозапись из листа Ремонты")</f>
        <v/>
      </c>
    </row>
    <row r="948">
      <c r="A948" s="12">
        <f>IF(Ремонты!I137="","",Ремонты!I137)</f>
        <v/>
      </c>
      <c r="B948" s="10">
        <f>IF($A948="","",Ремонты!A137)</f>
        <v/>
      </c>
      <c r="C948" s="10">
        <f>IF($A948="","",Ремонты!D137)</f>
        <v/>
      </c>
      <c r="D948" s="10">
        <f>IF($A948="","",Ремонты!E137)</f>
        <v/>
      </c>
      <c r="E948" s="10">
        <f>IF($A948="","","Отправка из ремонта")</f>
        <v/>
      </c>
      <c r="F948" s="10">
        <f>IF($A948="","",Ремонты!T137)</f>
        <v/>
      </c>
      <c r="G948" s="10">
        <f>IF($A948="","","Автозапись из листа Ремонты")</f>
        <v/>
      </c>
    </row>
    <row r="949">
      <c r="A949" s="12">
        <f>IF(Ремонты!J137="","",Ремонты!J137)</f>
        <v/>
      </c>
      <c r="B949" s="10">
        <f>IF($A949="","",Ремонты!A137)</f>
        <v/>
      </c>
      <c r="C949" s="10">
        <f>IF($A949="","",Ремонты!D137)</f>
        <v/>
      </c>
      <c r="D949" s="10">
        <f>IF($A949="","",Ремонты!E137)</f>
        <v/>
      </c>
      <c r="E949" s="10">
        <f>IF($A949="","","Отправка из Иркутска")</f>
        <v/>
      </c>
      <c r="F949" s="10">
        <f>IF($A949="","",Ремонты!T137)</f>
        <v/>
      </c>
      <c r="G949" s="10">
        <f>IF($A949="","","Автозапись из листа Ремонты")</f>
        <v/>
      </c>
    </row>
    <row r="950">
      <c r="A950" s="12">
        <f>IF(Ремонты!K137="","",Ремонты!K137)</f>
        <v/>
      </c>
      <c r="B950" s="10">
        <f>IF($A950="","",Ремонты!A137)</f>
        <v/>
      </c>
      <c r="C950" s="10">
        <f>IF($A950="","",Ремонты!D137)</f>
        <v/>
      </c>
      <c r="D950" s="10">
        <f>IF($A950="","",Ремонты!E137)</f>
        <v/>
      </c>
      <c r="E950" s="10">
        <f>IF($A950="","","Прибытие в Ленск")</f>
        <v/>
      </c>
      <c r="F950" s="10">
        <f>IF($A950="","",Ремонты!T137)</f>
        <v/>
      </c>
      <c r="G950" s="10">
        <f>IF($A950="","","Автозапись из листа Ремонты")</f>
        <v/>
      </c>
    </row>
    <row r="951">
      <c r="A951" s="12">
        <f>IF(Ремонты!M137="","",Ремонты!M137)</f>
        <v/>
      </c>
      <c r="B951" s="10">
        <f>IF($A951="","",Ремонты!A137)</f>
        <v/>
      </c>
      <c r="C951" s="10">
        <f>IF($A951="","",Ремонты!D137)</f>
        <v/>
      </c>
      <c r="D951" s="10">
        <f>IF($A951="","",Ремонты!E137)</f>
        <v/>
      </c>
      <c r="E951" s="10">
        <f>IF($A951="","","Фактическое получение")</f>
        <v/>
      </c>
      <c r="F951" s="10">
        <f>IF($A951="","",Ремонты!T137)</f>
        <v/>
      </c>
      <c r="G951" s="10">
        <f>IF($A951="","","Автозапись из листа Ремонты")</f>
        <v/>
      </c>
    </row>
    <row r="952">
      <c r="A952" s="12">
        <f>IF(Ремонты!P137="","",Ремонты!P137)</f>
        <v/>
      </c>
      <c r="B952" s="10">
        <f>IF($A952="","",Ремонты!A137)</f>
        <v/>
      </c>
      <c r="C952" s="10">
        <f>IF($A952="","",Ремонты!D137)</f>
        <v/>
      </c>
      <c r="D952" s="10">
        <f>IF($A952="","",Ремонты!E137)</f>
        <v/>
      </c>
      <c r="E952" s="10">
        <f>IF($A952="","","Входной контроль")</f>
        <v/>
      </c>
      <c r="F952" s="10">
        <f>IF($A952="","",Ремонты!T137)</f>
        <v/>
      </c>
      <c r="G952" s="10">
        <f>IF($A952="","","Автозапись из листа Ремонты")</f>
        <v/>
      </c>
    </row>
    <row r="953">
      <c r="A953" s="12">
        <f>IF(Ремонты!S137="","",Ремонты!S137)</f>
        <v/>
      </c>
      <c r="B953" s="10">
        <f>IF($A953="","",Ремонты!A137)</f>
        <v/>
      </c>
      <c r="C953" s="10">
        <f>IF($A953="","",Ремонты!D137)</f>
        <v/>
      </c>
      <c r="D953" s="10">
        <f>IF($A953="","",Ремонты!E137)</f>
        <v/>
      </c>
      <c r="E953" s="10">
        <f>IF($A953="","","Оплата")</f>
        <v/>
      </c>
      <c r="F953" s="10">
        <f>IF($A953="","",Ремонты!T137)</f>
        <v/>
      </c>
      <c r="G953" s="10">
        <f>IF($A953="","","Автозапись из листа Ремонты")</f>
        <v/>
      </c>
    </row>
    <row r="954">
      <c r="A954" s="12">
        <f>IF(Ремонты!G138="","",Ремонты!G138)</f>
        <v/>
      </c>
      <c r="B954" s="10">
        <f>IF($A954="","",Ремонты!A138)</f>
        <v/>
      </c>
      <c r="C954" s="10">
        <f>IF($A954="","",Ремонты!D138)</f>
        <v/>
      </c>
      <c r="D954" s="10">
        <f>IF($A954="","",Ремонты!E138)</f>
        <v/>
      </c>
      <c r="E954" s="10">
        <f>IF($A954="","","Отправка в ремонт")</f>
        <v/>
      </c>
      <c r="F954" s="10">
        <f>IF($A954="","",Ремонты!T138)</f>
        <v/>
      </c>
      <c r="G954" s="10">
        <f>IF($A954="","","Автозапись из листа Ремонты")</f>
        <v/>
      </c>
    </row>
    <row r="955">
      <c r="A955" s="12">
        <f>IF(Ремонты!I138="","",Ремонты!I138)</f>
        <v/>
      </c>
      <c r="B955" s="10">
        <f>IF($A955="","",Ремонты!A138)</f>
        <v/>
      </c>
      <c r="C955" s="10">
        <f>IF($A955="","",Ремонты!D138)</f>
        <v/>
      </c>
      <c r="D955" s="10">
        <f>IF($A955="","",Ремонты!E138)</f>
        <v/>
      </c>
      <c r="E955" s="10">
        <f>IF($A955="","","Отправка из ремонта")</f>
        <v/>
      </c>
      <c r="F955" s="10">
        <f>IF($A955="","",Ремонты!T138)</f>
        <v/>
      </c>
      <c r="G955" s="10">
        <f>IF($A955="","","Автозапись из листа Ремонты")</f>
        <v/>
      </c>
    </row>
    <row r="956">
      <c r="A956" s="12">
        <f>IF(Ремонты!J138="","",Ремонты!J138)</f>
        <v/>
      </c>
      <c r="B956" s="10">
        <f>IF($A956="","",Ремонты!A138)</f>
        <v/>
      </c>
      <c r="C956" s="10">
        <f>IF($A956="","",Ремонты!D138)</f>
        <v/>
      </c>
      <c r="D956" s="10">
        <f>IF($A956="","",Ремонты!E138)</f>
        <v/>
      </c>
      <c r="E956" s="10">
        <f>IF($A956="","","Отправка из Иркутска")</f>
        <v/>
      </c>
      <c r="F956" s="10">
        <f>IF($A956="","",Ремонты!T138)</f>
        <v/>
      </c>
      <c r="G956" s="10">
        <f>IF($A956="","","Автозапись из листа Ремонты")</f>
        <v/>
      </c>
    </row>
    <row r="957">
      <c r="A957" s="12">
        <f>IF(Ремонты!K138="","",Ремонты!K138)</f>
        <v/>
      </c>
      <c r="B957" s="10">
        <f>IF($A957="","",Ремонты!A138)</f>
        <v/>
      </c>
      <c r="C957" s="10">
        <f>IF($A957="","",Ремонты!D138)</f>
        <v/>
      </c>
      <c r="D957" s="10">
        <f>IF($A957="","",Ремонты!E138)</f>
        <v/>
      </c>
      <c r="E957" s="10">
        <f>IF($A957="","","Прибытие в Ленск")</f>
        <v/>
      </c>
      <c r="F957" s="10">
        <f>IF($A957="","",Ремонты!T138)</f>
        <v/>
      </c>
      <c r="G957" s="10">
        <f>IF($A957="","","Автозапись из листа Ремонты")</f>
        <v/>
      </c>
    </row>
    <row r="958">
      <c r="A958" s="12">
        <f>IF(Ремонты!M138="","",Ремонты!M138)</f>
        <v/>
      </c>
      <c r="B958" s="10">
        <f>IF($A958="","",Ремонты!A138)</f>
        <v/>
      </c>
      <c r="C958" s="10">
        <f>IF($A958="","",Ремонты!D138)</f>
        <v/>
      </c>
      <c r="D958" s="10">
        <f>IF($A958="","",Ремонты!E138)</f>
        <v/>
      </c>
      <c r="E958" s="10">
        <f>IF($A958="","","Фактическое получение")</f>
        <v/>
      </c>
      <c r="F958" s="10">
        <f>IF($A958="","",Ремонты!T138)</f>
        <v/>
      </c>
      <c r="G958" s="10">
        <f>IF($A958="","","Автозапись из листа Ремонты")</f>
        <v/>
      </c>
    </row>
    <row r="959">
      <c r="A959" s="12">
        <f>IF(Ремонты!P138="","",Ремонты!P138)</f>
        <v/>
      </c>
      <c r="B959" s="10">
        <f>IF($A959="","",Ремонты!A138)</f>
        <v/>
      </c>
      <c r="C959" s="10">
        <f>IF($A959="","",Ремонты!D138)</f>
        <v/>
      </c>
      <c r="D959" s="10">
        <f>IF($A959="","",Ремонты!E138)</f>
        <v/>
      </c>
      <c r="E959" s="10">
        <f>IF($A959="","","Входной контроль")</f>
        <v/>
      </c>
      <c r="F959" s="10">
        <f>IF($A959="","",Ремонты!T138)</f>
        <v/>
      </c>
      <c r="G959" s="10">
        <f>IF($A959="","","Автозапись из листа Ремонты")</f>
        <v/>
      </c>
    </row>
    <row r="960">
      <c r="A960" s="12">
        <f>IF(Ремонты!S138="","",Ремонты!S138)</f>
        <v/>
      </c>
      <c r="B960" s="10">
        <f>IF($A960="","",Ремонты!A138)</f>
        <v/>
      </c>
      <c r="C960" s="10">
        <f>IF($A960="","",Ремонты!D138)</f>
        <v/>
      </c>
      <c r="D960" s="10">
        <f>IF($A960="","",Ремонты!E138)</f>
        <v/>
      </c>
      <c r="E960" s="10">
        <f>IF($A960="","","Оплата")</f>
        <v/>
      </c>
      <c r="F960" s="10">
        <f>IF($A960="","",Ремонты!T138)</f>
        <v/>
      </c>
      <c r="G960" s="10">
        <f>IF($A960="","","Автозапись из листа Ремонты")</f>
        <v/>
      </c>
    </row>
    <row r="961">
      <c r="A961" s="12">
        <f>IF(Ремонты!G139="","",Ремонты!G139)</f>
        <v/>
      </c>
      <c r="B961" s="10">
        <f>IF($A961="","",Ремонты!A139)</f>
        <v/>
      </c>
      <c r="C961" s="10">
        <f>IF($A961="","",Ремонты!D139)</f>
        <v/>
      </c>
      <c r="D961" s="10">
        <f>IF($A961="","",Ремонты!E139)</f>
        <v/>
      </c>
      <c r="E961" s="10">
        <f>IF($A961="","","Отправка в ремонт")</f>
        <v/>
      </c>
      <c r="F961" s="10">
        <f>IF($A961="","",Ремонты!T139)</f>
        <v/>
      </c>
      <c r="G961" s="10">
        <f>IF($A961="","","Автозапись из листа Ремонты")</f>
        <v/>
      </c>
    </row>
    <row r="962">
      <c r="A962" s="12">
        <f>IF(Ремонты!I139="","",Ремонты!I139)</f>
        <v/>
      </c>
      <c r="B962" s="10">
        <f>IF($A962="","",Ремонты!A139)</f>
        <v/>
      </c>
      <c r="C962" s="10">
        <f>IF($A962="","",Ремонты!D139)</f>
        <v/>
      </c>
      <c r="D962" s="10">
        <f>IF($A962="","",Ремонты!E139)</f>
        <v/>
      </c>
      <c r="E962" s="10">
        <f>IF($A962="","","Отправка из ремонта")</f>
        <v/>
      </c>
      <c r="F962" s="10">
        <f>IF($A962="","",Ремонты!T139)</f>
        <v/>
      </c>
      <c r="G962" s="10">
        <f>IF($A962="","","Автозапись из листа Ремонты")</f>
        <v/>
      </c>
    </row>
    <row r="963">
      <c r="A963" s="12">
        <f>IF(Ремонты!J139="","",Ремонты!J139)</f>
        <v/>
      </c>
      <c r="B963" s="10">
        <f>IF($A963="","",Ремонты!A139)</f>
        <v/>
      </c>
      <c r="C963" s="10">
        <f>IF($A963="","",Ремонты!D139)</f>
        <v/>
      </c>
      <c r="D963" s="10">
        <f>IF($A963="","",Ремонты!E139)</f>
        <v/>
      </c>
      <c r="E963" s="10">
        <f>IF($A963="","","Отправка из Иркутска")</f>
        <v/>
      </c>
      <c r="F963" s="10">
        <f>IF($A963="","",Ремонты!T139)</f>
        <v/>
      </c>
      <c r="G963" s="10">
        <f>IF($A963="","","Автозапись из листа Ремонты")</f>
        <v/>
      </c>
    </row>
    <row r="964">
      <c r="A964" s="12">
        <f>IF(Ремонты!K139="","",Ремонты!K139)</f>
        <v/>
      </c>
      <c r="B964" s="10">
        <f>IF($A964="","",Ремонты!A139)</f>
        <v/>
      </c>
      <c r="C964" s="10">
        <f>IF($A964="","",Ремонты!D139)</f>
        <v/>
      </c>
      <c r="D964" s="10">
        <f>IF($A964="","",Ремонты!E139)</f>
        <v/>
      </c>
      <c r="E964" s="10">
        <f>IF($A964="","","Прибытие в Ленск")</f>
        <v/>
      </c>
      <c r="F964" s="10">
        <f>IF($A964="","",Ремонты!T139)</f>
        <v/>
      </c>
      <c r="G964" s="10">
        <f>IF($A964="","","Автозапись из листа Ремонты")</f>
        <v/>
      </c>
    </row>
    <row r="965">
      <c r="A965" s="12">
        <f>IF(Ремонты!M139="","",Ремонты!M139)</f>
        <v/>
      </c>
      <c r="B965" s="10">
        <f>IF($A965="","",Ремонты!A139)</f>
        <v/>
      </c>
      <c r="C965" s="10">
        <f>IF($A965="","",Ремонты!D139)</f>
        <v/>
      </c>
      <c r="D965" s="10">
        <f>IF($A965="","",Ремонты!E139)</f>
        <v/>
      </c>
      <c r="E965" s="10">
        <f>IF($A965="","","Фактическое получение")</f>
        <v/>
      </c>
      <c r="F965" s="10">
        <f>IF($A965="","",Ремонты!T139)</f>
        <v/>
      </c>
      <c r="G965" s="10">
        <f>IF($A965="","","Автозапись из листа Ремонты")</f>
        <v/>
      </c>
    </row>
    <row r="966">
      <c r="A966" s="12">
        <f>IF(Ремонты!P139="","",Ремонты!P139)</f>
        <v/>
      </c>
      <c r="B966" s="10">
        <f>IF($A966="","",Ремонты!A139)</f>
        <v/>
      </c>
      <c r="C966" s="10">
        <f>IF($A966="","",Ремонты!D139)</f>
        <v/>
      </c>
      <c r="D966" s="10">
        <f>IF($A966="","",Ремонты!E139)</f>
        <v/>
      </c>
      <c r="E966" s="10">
        <f>IF($A966="","","Входной контроль")</f>
        <v/>
      </c>
      <c r="F966" s="10">
        <f>IF($A966="","",Ремонты!T139)</f>
        <v/>
      </c>
      <c r="G966" s="10">
        <f>IF($A966="","","Автозапись из листа Ремонты")</f>
        <v/>
      </c>
    </row>
    <row r="967">
      <c r="A967" s="12">
        <f>IF(Ремонты!S139="","",Ремонты!S139)</f>
        <v/>
      </c>
      <c r="B967" s="10">
        <f>IF($A967="","",Ремонты!A139)</f>
        <v/>
      </c>
      <c r="C967" s="10">
        <f>IF($A967="","",Ремонты!D139)</f>
        <v/>
      </c>
      <c r="D967" s="10">
        <f>IF($A967="","",Ремонты!E139)</f>
        <v/>
      </c>
      <c r="E967" s="10">
        <f>IF($A967="","","Оплата")</f>
        <v/>
      </c>
      <c r="F967" s="10">
        <f>IF($A967="","",Ремонты!T139)</f>
        <v/>
      </c>
      <c r="G967" s="10">
        <f>IF($A967="","","Автозапись из листа Ремонты")</f>
        <v/>
      </c>
    </row>
    <row r="968">
      <c r="A968" s="12">
        <f>IF(Ремонты!G140="","",Ремонты!G140)</f>
        <v/>
      </c>
      <c r="B968" s="10">
        <f>IF($A968="","",Ремонты!A140)</f>
        <v/>
      </c>
      <c r="C968" s="10">
        <f>IF($A968="","",Ремонты!D140)</f>
        <v/>
      </c>
      <c r="D968" s="10">
        <f>IF($A968="","",Ремонты!E140)</f>
        <v/>
      </c>
      <c r="E968" s="10">
        <f>IF($A968="","","Отправка в ремонт")</f>
        <v/>
      </c>
      <c r="F968" s="10">
        <f>IF($A968="","",Ремонты!T140)</f>
        <v/>
      </c>
      <c r="G968" s="10">
        <f>IF($A968="","","Автозапись из листа Ремонты")</f>
        <v/>
      </c>
    </row>
    <row r="969">
      <c r="A969" s="12">
        <f>IF(Ремонты!I140="","",Ремонты!I140)</f>
        <v/>
      </c>
      <c r="B969" s="10">
        <f>IF($A969="","",Ремонты!A140)</f>
        <v/>
      </c>
      <c r="C969" s="10">
        <f>IF($A969="","",Ремонты!D140)</f>
        <v/>
      </c>
      <c r="D969" s="10">
        <f>IF($A969="","",Ремонты!E140)</f>
        <v/>
      </c>
      <c r="E969" s="10">
        <f>IF($A969="","","Отправка из ремонта")</f>
        <v/>
      </c>
      <c r="F969" s="10">
        <f>IF($A969="","",Ремонты!T140)</f>
        <v/>
      </c>
      <c r="G969" s="10">
        <f>IF($A969="","","Автозапись из листа Ремонты")</f>
        <v/>
      </c>
    </row>
    <row r="970">
      <c r="A970" s="12">
        <f>IF(Ремонты!J140="","",Ремонты!J140)</f>
        <v/>
      </c>
      <c r="B970" s="10">
        <f>IF($A970="","",Ремонты!A140)</f>
        <v/>
      </c>
      <c r="C970" s="10">
        <f>IF($A970="","",Ремонты!D140)</f>
        <v/>
      </c>
      <c r="D970" s="10">
        <f>IF($A970="","",Ремонты!E140)</f>
        <v/>
      </c>
      <c r="E970" s="10">
        <f>IF($A970="","","Отправка из Иркутска")</f>
        <v/>
      </c>
      <c r="F970" s="10">
        <f>IF($A970="","",Ремонты!T140)</f>
        <v/>
      </c>
      <c r="G970" s="10">
        <f>IF($A970="","","Автозапись из листа Ремонты")</f>
        <v/>
      </c>
    </row>
    <row r="971">
      <c r="A971" s="12">
        <f>IF(Ремонты!K140="","",Ремонты!K140)</f>
        <v/>
      </c>
      <c r="B971" s="10">
        <f>IF($A971="","",Ремонты!A140)</f>
        <v/>
      </c>
      <c r="C971" s="10">
        <f>IF($A971="","",Ремонты!D140)</f>
        <v/>
      </c>
      <c r="D971" s="10">
        <f>IF($A971="","",Ремонты!E140)</f>
        <v/>
      </c>
      <c r="E971" s="10">
        <f>IF($A971="","","Прибытие в Ленск")</f>
        <v/>
      </c>
      <c r="F971" s="10">
        <f>IF($A971="","",Ремонты!T140)</f>
        <v/>
      </c>
      <c r="G971" s="10">
        <f>IF($A971="","","Автозапись из листа Ремонты")</f>
        <v/>
      </c>
    </row>
    <row r="972">
      <c r="A972" s="12">
        <f>IF(Ремонты!M140="","",Ремонты!M140)</f>
        <v/>
      </c>
      <c r="B972" s="10">
        <f>IF($A972="","",Ремонты!A140)</f>
        <v/>
      </c>
      <c r="C972" s="10">
        <f>IF($A972="","",Ремонты!D140)</f>
        <v/>
      </c>
      <c r="D972" s="10">
        <f>IF($A972="","",Ремонты!E140)</f>
        <v/>
      </c>
      <c r="E972" s="10">
        <f>IF($A972="","","Фактическое получение")</f>
        <v/>
      </c>
      <c r="F972" s="10">
        <f>IF($A972="","",Ремонты!T140)</f>
        <v/>
      </c>
      <c r="G972" s="10">
        <f>IF($A972="","","Автозапись из листа Ремонты")</f>
        <v/>
      </c>
    </row>
    <row r="973">
      <c r="A973" s="12">
        <f>IF(Ремонты!P140="","",Ремонты!P140)</f>
        <v/>
      </c>
      <c r="B973" s="10">
        <f>IF($A973="","",Ремонты!A140)</f>
        <v/>
      </c>
      <c r="C973" s="10">
        <f>IF($A973="","",Ремонты!D140)</f>
        <v/>
      </c>
      <c r="D973" s="10">
        <f>IF($A973="","",Ремонты!E140)</f>
        <v/>
      </c>
      <c r="E973" s="10">
        <f>IF($A973="","","Входной контроль")</f>
        <v/>
      </c>
      <c r="F973" s="10">
        <f>IF($A973="","",Ремонты!T140)</f>
        <v/>
      </c>
      <c r="G973" s="10">
        <f>IF($A973="","","Автозапись из листа Ремонты")</f>
        <v/>
      </c>
    </row>
    <row r="974">
      <c r="A974" s="12">
        <f>IF(Ремонты!S140="","",Ремонты!S140)</f>
        <v/>
      </c>
      <c r="B974" s="10">
        <f>IF($A974="","",Ремонты!A140)</f>
        <v/>
      </c>
      <c r="C974" s="10">
        <f>IF($A974="","",Ремонты!D140)</f>
        <v/>
      </c>
      <c r="D974" s="10">
        <f>IF($A974="","",Ремонты!E140)</f>
        <v/>
      </c>
      <c r="E974" s="10">
        <f>IF($A974="","","Оплата")</f>
        <v/>
      </c>
      <c r="F974" s="10">
        <f>IF($A974="","",Ремонты!T140)</f>
        <v/>
      </c>
      <c r="G974" s="10">
        <f>IF($A974="","","Автозапись из листа Ремонты")</f>
        <v/>
      </c>
    </row>
    <row r="975">
      <c r="A975" s="12">
        <f>IF(Ремонты!G141="","",Ремонты!G141)</f>
        <v/>
      </c>
      <c r="B975" s="10">
        <f>IF($A975="","",Ремонты!A141)</f>
        <v/>
      </c>
      <c r="C975" s="10">
        <f>IF($A975="","",Ремонты!D141)</f>
        <v/>
      </c>
      <c r="D975" s="10">
        <f>IF($A975="","",Ремонты!E141)</f>
        <v/>
      </c>
      <c r="E975" s="10">
        <f>IF($A975="","","Отправка в ремонт")</f>
        <v/>
      </c>
      <c r="F975" s="10">
        <f>IF($A975="","",Ремонты!T141)</f>
        <v/>
      </c>
      <c r="G975" s="10">
        <f>IF($A975="","","Автозапись из листа Ремонты")</f>
        <v/>
      </c>
    </row>
    <row r="976">
      <c r="A976" s="12">
        <f>IF(Ремонты!I141="","",Ремонты!I141)</f>
        <v/>
      </c>
      <c r="B976" s="10">
        <f>IF($A976="","",Ремонты!A141)</f>
        <v/>
      </c>
      <c r="C976" s="10">
        <f>IF($A976="","",Ремонты!D141)</f>
        <v/>
      </c>
      <c r="D976" s="10">
        <f>IF($A976="","",Ремонты!E141)</f>
        <v/>
      </c>
      <c r="E976" s="10">
        <f>IF($A976="","","Отправка из ремонта")</f>
        <v/>
      </c>
      <c r="F976" s="10">
        <f>IF($A976="","",Ремонты!T141)</f>
        <v/>
      </c>
      <c r="G976" s="10">
        <f>IF($A976="","","Автозапись из листа Ремонты")</f>
        <v/>
      </c>
    </row>
    <row r="977">
      <c r="A977" s="12">
        <f>IF(Ремонты!J141="","",Ремонты!J141)</f>
        <v/>
      </c>
      <c r="B977" s="10">
        <f>IF($A977="","",Ремонты!A141)</f>
        <v/>
      </c>
      <c r="C977" s="10">
        <f>IF($A977="","",Ремонты!D141)</f>
        <v/>
      </c>
      <c r="D977" s="10">
        <f>IF($A977="","",Ремонты!E141)</f>
        <v/>
      </c>
      <c r="E977" s="10">
        <f>IF($A977="","","Отправка из Иркутска")</f>
        <v/>
      </c>
      <c r="F977" s="10">
        <f>IF($A977="","",Ремонты!T141)</f>
        <v/>
      </c>
      <c r="G977" s="10">
        <f>IF($A977="","","Автозапись из листа Ремонты")</f>
        <v/>
      </c>
    </row>
    <row r="978">
      <c r="A978" s="12">
        <f>IF(Ремонты!K141="","",Ремонты!K141)</f>
        <v/>
      </c>
      <c r="B978" s="10">
        <f>IF($A978="","",Ремонты!A141)</f>
        <v/>
      </c>
      <c r="C978" s="10">
        <f>IF($A978="","",Ремонты!D141)</f>
        <v/>
      </c>
      <c r="D978" s="10">
        <f>IF($A978="","",Ремонты!E141)</f>
        <v/>
      </c>
      <c r="E978" s="10">
        <f>IF($A978="","","Прибытие в Ленск")</f>
        <v/>
      </c>
      <c r="F978" s="10">
        <f>IF($A978="","",Ремонты!T141)</f>
        <v/>
      </c>
      <c r="G978" s="10">
        <f>IF($A978="","","Автозапись из листа Ремонты")</f>
        <v/>
      </c>
    </row>
    <row r="979">
      <c r="A979" s="12">
        <f>IF(Ремонты!M141="","",Ремонты!M141)</f>
        <v/>
      </c>
      <c r="B979" s="10">
        <f>IF($A979="","",Ремонты!A141)</f>
        <v/>
      </c>
      <c r="C979" s="10">
        <f>IF($A979="","",Ремонты!D141)</f>
        <v/>
      </c>
      <c r="D979" s="10">
        <f>IF($A979="","",Ремонты!E141)</f>
        <v/>
      </c>
      <c r="E979" s="10">
        <f>IF($A979="","","Фактическое получение")</f>
        <v/>
      </c>
      <c r="F979" s="10">
        <f>IF($A979="","",Ремонты!T141)</f>
        <v/>
      </c>
      <c r="G979" s="10">
        <f>IF($A979="","","Автозапись из листа Ремонты")</f>
        <v/>
      </c>
    </row>
    <row r="980">
      <c r="A980" s="12">
        <f>IF(Ремонты!P141="","",Ремонты!P141)</f>
        <v/>
      </c>
      <c r="B980" s="10">
        <f>IF($A980="","",Ремонты!A141)</f>
        <v/>
      </c>
      <c r="C980" s="10">
        <f>IF($A980="","",Ремонты!D141)</f>
        <v/>
      </c>
      <c r="D980" s="10">
        <f>IF($A980="","",Ремонты!E141)</f>
        <v/>
      </c>
      <c r="E980" s="10">
        <f>IF($A980="","","Входной контроль")</f>
        <v/>
      </c>
      <c r="F980" s="10">
        <f>IF($A980="","",Ремонты!T141)</f>
        <v/>
      </c>
      <c r="G980" s="10">
        <f>IF($A980="","","Автозапись из листа Ремонты")</f>
        <v/>
      </c>
    </row>
    <row r="981">
      <c r="A981" s="12">
        <f>IF(Ремонты!S141="","",Ремонты!S141)</f>
        <v/>
      </c>
      <c r="B981" s="10">
        <f>IF($A981="","",Ремонты!A141)</f>
        <v/>
      </c>
      <c r="C981" s="10">
        <f>IF($A981="","",Ремонты!D141)</f>
        <v/>
      </c>
      <c r="D981" s="10">
        <f>IF($A981="","",Ремонты!E141)</f>
        <v/>
      </c>
      <c r="E981" s="10">
        <f>IF($A981="","","Оплата")</f>
        <v/>
      </c>
      <c r="F981" s="10">
        <f>IF($A981="","",Ремонты!T141)</f>
        <v/>
      </c>
      <c r="G981" s="10">
        <f>IF($A981="","","Автозапись из листа Ремонты")</f>
        <v/>
      </c>
    </row>
    <row r="982">
      <c r="A982" s="12">
        <f>IF(Ремонты!G142="","",Ремонты!G142)</f>
        <v/>
      </c>
      <c r="B982" s="10">
        <f>IF($A982="","",Ремонты!A142)</f>
        <v/>
      </c>
      <c r="C982" s="10">
        <f>IF($A982="","",Ремонты!D142)</f>
        <v/>
      </c>
      <c r="D982" s="10">
        <f>IF($A982="","",Ремонты!E142)</f>
        <v/>
      </c>
      <c r="E982" s="10">
        <f>IF($A982="","","Отправка в ремонт")</f>
        <v/>
      </c>
      <c r="F982" s="10">
        <f>IF($A982="","",Ремонты!T142)</f>
        <v/>
      </c>
      <c r="G982" s="10">
        <f>IF($A982="","","Автозапись из листа Ремонты")</f>
        <v/>
      </c>
    </row>
    <row r="983">
      <c r="A983" s="12">
        <f>IF(Ремонты!I142="","",Ремонты!I142)</f>
        <v/>
      </c>
      <c r="B983" s="10">
        <f>IF($A983="","",Ремонты!A142)</f>
        <v/>
      </c>
      <c r="C983" s="10">
        <f>IF($A983="","",Ремонты!D142)</f>
        <v/>
      </c>
      <c r="D983" s="10">
        <f>IF($A983="","",Ремонты!E142)</f>
        <v/>
      </c>
      <c r="E983" s="10">
        <f>IF($A983="","","Отправка из ремонта")</f>
        <v/>
      </c>
      <c r="F983" s="10">
        <f>IF($A983="","",Ремонты!T142)</f>
        <v/>
      </c>
      <c r="G983" s="10">
        <f>IF($A983="","","Автозапись из листа Ремонты")</f>
        <v/>
      </c>
    </row>
    <row r="984">
      <c r="A984" s="12">
        <f>IF(Ремонты!J142="","",Ремонты!J142)</f>
        <v/>
      </c>
      <c r="B984" s="10">
        <f>IF($A984="","",Ремонты!A142)</f>
        <v/>
      </c>
      <c r="C984" s="10">
        <f>IF($A984="","",Ремонты!D142)</f>
        <v/>
      </c>
      <c r="D984" s="10">
        <f>IF($A984="","",Ремонты!E142)</f>
        <v/>
      </c>
      <c r="E984" s="10">
        <f>IF($A984="","","Отправка из Иркутска")</f>
        <v/>
      </c>
      <c r="F984" s="10">
        <f>IF($A984="","",Ремонты!T142)</f>
        <v/>
      </c>
      <c r="G984" s="10">
        <f>IF($A984="","","Автозапись из листа Ремонты")</f>
        <v/>
      </c>
    </row>
    <row r="985">
      <c r="A985" s="12">
        <f>IF(Ремонты!K142="","",Ремонты!K142)</f>
        <v/>
      </c>
      <c r="B985" s="10">
        <f>IF($A985="","",Ремонты!A142)</f>
        <v/>
      </c>
      <c r="C985" s="10">
        <f>IF($A985="","",Ремонты!D142)</f>
        <v/>
      </c>
      <c r="D985" s="10">
        <f>IF($A985="","",Ремонты!E142)</f>
        <v/>
      </c>
      <c r="E985" s="10">
        <f>IF($A985="","","Прибытие в Ленск")</f>
        <v/>
      </c>
      <c r="F985" s="10">
        <f>IF($A985="","",Ремонты!T142)</f>
        <v/>
      </c>
      <c r="G985" s="10">
        <f>IF($A985="","","Автозапись из листа Ремонты")</f>
        <v/>
      </c>
    </row>
    <row r="986">
      <c r="A986" s="12">
        <f>IF(Ремонты!M142="","",Ремонты!M142)</f>
        <v/>
      </c>
      <c r="B986" s="10">
        <f>IF($A986="","",Ремонты!A142)</f>
        <v/>
      </c>
      <c r="C986" s="10">
        <f>IF($A986="","",Ремонты!D142)</f>
        <v/>
      </c>
      <c r="D986" s="10">
        <f>IF($A986="","",Ремонты!E142)</f>
        <v/>
      </c>
      <c r="E986" s="10">
        <f>IF($A986="","","Фактическое получение")</f>
        <v/>
      </c>
      <c r="F986" s="10">
        <f>IF($A986="","",Ремонты!T142)</f>
        <v/>
      </c>
      <c r="G986" s="10">
        <f>IF($A986="","","Автозапись из листа Ремонты")</f>
        <v/>
      </c>
    </row>
    <row r="987">
      <c r="A987" s="12">
        <f>IF(Ремонты!P142="","",Ремонты!P142)</f>
        <v/>
      </c>
      <c r="B987" s="10">
        <f>IF($A987="","",Ремонты!A142)</f>
        <v/>
      </c>
      <c r="C987" s="10">
        <f>IF($A987="","",Ремонты!D142)</f>
        <v/>
      </c>
      <c r="D987" s="10">
        <f>IF($A987="","",Ремонты!E142)</f>
        <v/>
      </c>
      <c r="E987" s="10">
        <f>IF($A987="","","Входной контроль")</f>
        <v/>
      </c>
      <c r="F987" s="10">
        <f>IF($A987="","",Ремонты!T142)</f>
        <v/>
      </c>
      <c r="G987" s="10">
        <f>IF($A987="","","Автозапись из листа Ремонты")</f>
        <v/>
      </c>
    </row>
    <row r="988">
      <c r="A988" s="12">
        <f>IF(Ремонты!S142="","",Ремонты!S142)</f>
        <v/>
      </c>
      <c r="B988" s="10">
        <f>IF($A988="","",Ремонты!A142)</f>
        <v/>
      </c>
      <c r="C988" s="10">
        <f>IF($A988="","",Ремонты!D142)</f>
        <v/>
      </c>
      <c r="D988" s="10">
        <f>IF($A988="","",Ремонты!E142)</f>
        <v/>
      </c>
      <c r="E988" s="10">
        <f>IF($A988="","","Оплата")</f>
        <v/>
      </c>
      <c r="F988" s="10">
        <f>IF($A988="","",Ремонты!T142)</f>
        <v/>
      </c>
      <c r="G988" s="10">
        <f>IF($A988="","","Автозапись из листа Ремонты")</f>
        <v/>
      </c>
    </row>
    <row r="989">
      <c r="A989" s="12">
        <f>IF(Ремонты!G143="","",Ремонты!G143)</f>
        <v/>
      </c>
      <c r="B989" s="10">
        <f>IF($A989="","",Ремонты!A143)</f>
        <v/>
      </c>
      <c r="C989" s="10">
        <f>IF($A989="","",Ремонты!D143)</f>
        <v/>
      </c>
      <c r="D989" s="10">
        <f>IF($A989="","",Ремонты!E143)</f>
        <v/>
      </c>
      <c r="E989" s="10">
        <f>IF($A989="","","Отправка в ремонт")</f>
        <v/>
      </c>
      <c r="F989" s="10">
        <f>IF($A989="","",Ремонты!T143)</f>
        <v/>
      </c>
      <c r="G989" s="10">
        <f>IF($A989="","","Автозапись из листа Ремонты")</f>
        <v/>
      </c>
    </row>
    <row r="990">
      <c r="A990" s="12">
        <f>IF(Ремонты!I143="","",Ремонты!I143)</f>
        <v/>
      </c>
      <c r="B990" s="10">
        <f>IF($A990="","",Ремонты!A143)</f>
        <v/>
      </c>
      <c r="C990" s="10">
        <f>IF($A990="","",Ремонты!D143)</f>
        <v/>
      </c>
      <c r="D990" s="10">
        <f>IF($A990="","",Ремонты!E143)</f>
        <v/>
      </c>
      <c r="E990" s="10">
        <f>IF($A990="","","Отправка из ремонта")</f>
        <v/>
      </c>
      <c r="F990" s="10">
        <f>IF($A990="","",Ремонты!T143)</f>
        <v/>
      </c>
      <c r="G990" s="10">
        <f>IF($A990="","","Автозапись из листа Ремонты")</f>
        <v/>
      </c>
    </row>
    <row r="991">
      <c r="A991" s="12">
        <f>IF(Ремонты!J143="","",Ремонты!J143)</f>
        <v/>
      </c>
      <c r="B991" s="10">
        <f>IF($A991="","",Ремонты!A143)</f>
        <v/>
      </c>
      <c r="C991" s="10">
        <f>IF($A991="","",Ремонты!D143)</f>
        <v/>
      </c>
      <c r="D991" s="10">
        <f>IF($A991="","",Ремонты!E143)</f>
        <v/>
      </c>
      <c r="E991" s="10">
        <f>IF($A991="","","Отправка из Иркутска")</f>
        <v/>
      </c>
      <c r="F991" s="10">
        <f>IF($A991="","",Ремонты!T143)</f>
        <v/>
      </c>
      <c r="G991" s="10">
        <f>IF($A991="","","Автозапись из листа Ремонты")</f>
        <v/>
      </c>
    </row>
    <row r="992">
      <c r="A992" s="12">
        <f>IF(Ремонты!K143="","",Ремонты!K143)</f>
        <v/>
      </c>
      <c r="B992" s="10">
        <f>IF($A992="","",Ремонты!A143)</f>
        <v/>
      </c>
      <c r="C992" s="10">
        <f>IF($A992="","",Ремонты!D143)</f>
        <v/>
      </c>
      <c r="D992" s="10">
        <f>IF($A992="","",Ремонты!E143)</f>
        <v/>
      </c>
      <c r="E992" s="10">
        <f>IF($A992="","","Прибытие в Ленск")</f>
        <v/>
      </c>
      <c r="F992" s="10">
        <f>IF($A992="","",Ремонты!T143)</f>
        <v/>
      </c>
      <c r="G992" s="10">
        <f>IF($A992="","","Автозапись из листа Ремонты")</f>
        <v/>
      </c>
    </row>
    <row r="993">
      <c r="A993" s="12">
        <f>IF(Ремонты!M143="","",Ремонты!M143)</f>
        <v/>
      </c>
      <c r="B993" s="10">
        <f>IF($A993="","",Ремонты!A143)</f>
        <v/>
      </c>
      <c r="C993" s="10">
        <f>IF($A993="","",Ремонты!D143)</f>
        <v/>
      </c>
      <c r="D993" s="10">
        <f>IF($A993="","",Ремонты!E143)</f>
        <v/>
      </c>
      <c r="E993" s="10">
        <f>IF($A993="","","Фактическое получение")</f>
        <v/>
      </c>
      <c r="F993" s="10">
        <f>IF($A993="","",Ремонты!T143)</f>
        <v/>
      </c>
      <c r="G993" s="10">
        <f>IF($A993="","","Автозапись из листа Ремонты")</f>
        <v/>
      </c>
    </row>
    <row r="994">
      <c r="A994" s="12">
        <f>IF(Ремонты!P143="","",Ремонты!P143)</f>
        <v/>
      </c>
      <c r="B994" s="10">
        <f>IF($A994="","",Ремонты!A143)</f>
        <v/>
      </c>
      <c r="C994" s="10">
        <f>IF($A994="","",Ремонты!D143)</f>
        <v/>
      </c>
      <c r="D994" s="10">
        <f>IF($A994="","",Ремонты!E143)</f>
        <v/>
      </c>
      <c r="E994" s="10">
        <f>IF($A994="","","Входной контроль")</f>
        <v/>
      </c>
      <c r="F994" s="10">
        <f>IF($A994="","",Ремонты!T143)</f>
        <v/>
      </c>
      <c r="G994" s="10">
        <f>IF($A994="","","Автозапись из листа Ремонты")</f>
        <v/>
      </c>
    </row>
    <row r="995">
      <c r="A995" s="12">
        <f>IF(Ремонты!S143="","",Ремонты!S143)</f>
        <v/>
      </c>
      <c r="B995" s="10">
        <f>IF($A995="","",Ремонты!A143)</f>
        <v/>
      </c>
      <c r="C995" s="10">
        <f>IF($A995="","",Ремонты!D143)</f>
        <v/>
      </c>
      <c r="D995" s="10">
        <f>IF($A995="","",Ремонты!E143)</f>
        <v/>
      </c>
      <c r="E995" s="10">
        <f>IF($A995="","","Оплата")</f>
        <v/>
      </c>
      <c r="F995" s="10">
        <f>IF($A995="","",Ремонты!T143)</f>
        <v/>
      </c>
      <c r="G995" s="10">
        <f>IF($A995="","","Автозапись из листа Ремонты")</f>
        <v/>
      </c>
    </row>
    <row r="996">
      <c r="A996" s="12">
        <f>IF(Ремонты!G144="","",Ремонты!G144)</f>
        <v/>
      </c>
      <c r="B996" s="10">
        <f>IF($A996="","",Ремонты!A144)</f>
        <v/>
      </c>
      <c r="C996" s="10">
        <f>IF($A996="","",Ремонты!D144)</f>
        <v/>
      </c>
      <c r="D996" s="10">
        <f>IF($A996="","",Ремонты!E144)</f>
        <v/>
      </c>
      <c r="E996" s="10">
        <f>IF($A996="","","Отправка в ремонт")</f>
        <v/>
      </c>
      <c r="F996" s="10">
        <f>IF($A996="","",Ремонты!T144)</f>
        <v/>
      </c>
      <c r="G996" s="10">
        <f>IF($A996="","","Автозапись из листа Ремонты")</f>
        <v/>
      </c>
    </row>
    <row r="997">
      <c r="A997" s="12">
        <f>IF(Ремонты!I144="","",Ремонты!I144)</f>
        <v/>
      </c>
      <c r="B997" s="10">
        <f>IF($A997="","",Ремонты!A144)</f>
        <v/>
      </c>
      <c r="C997" s="10">
        <f>IF($A997="","",Ремонты!D144)</f>
        <v/>
      </c>
      <c r="D997" s="10">
        <f>IF($A997="","",Ремонты!E144)</f>
        <v/>
      </c>
      <c r="E997" s="10">
        <f>IF($A997="","","Отправка из ремонта")</f>
        <v/>
      </c>
      <c r="F997" s="10">
        <f>IF($A997="","",Ремонты!T144)</f>
        <v/>
      </c>
      <c r="G997" s="10">
        <f>IF($A997="","","Автозапись из листа Ремонты")</f>
        <v/>
      </c>
    </row>
    <row r="998">
      <c r="A998" s="12">
        <f>IF(Ремонты!J144="","",Ремонты!J144)</f>
        <v/>
      </c>
      <c r="B998" s="10">
        <f>IF($A998="","",Ремонты!A144)</f>
        <v/>
      </c>
      <c r="C998" s="10">
        <f>IF($A998="","",Ремонты!D144)</f>
        <v/>
      </c>
      <c r="D998" s="10">
        <f>IF($A998="","",Ремонты!E144)</f>
        <v/>
      </c>
      <c r="E998" s="10">
        <f>IF($A998="","","Отправка из Иркутска")</f>
        <v/>
      </c>
      <c r="F998" s="10">
        <f>IF($A998="","",Ремонты!T144)</f>
        <v/>
      </c>
      <c r="G998" s="10">
        <f>IF($A998="","","Автозапись из листа Ремонты")</f>
        <v/>
      </c>
    </row>
    <row r="999">
      <c r="A999" s="12">
        <f>IF(Ремонты!K144="","",Ремонты!K144)</f>
        <v/>
      </c>
      <c r="B999" s="10">
        <f>IF($A999="","",Ремонты!A144)</f>
        <v/>
      </c>
      <c r="C999" s="10">
        <f>IF($A999="","",Ремонты!D144)</f>
        <v/>
      </c>
      <c r="D999" s="10">
        <f>IF($A999="","",Ремонты!E144)</f>
        <v/>
      </c>
      <c r="E999" s="10">
        <f>IF($A999="","","Прибытие в Ленск")</f>
        <v/>
      </c>
      <c r="F999" s="10">
        <f>IF($A999="","",Ремонты!T144)</f>
        <v/>
      </c>
      <c r="G999" s="10">
        <f>IF($A999="","","Автозапись из листа Ремонты")</f>
        <v/>
      </c>
    </row>
    <row r="1000">
      <c r="A1000" s="12">
        <f>IF(Ремонты!M144="","",Ремонты!M144)</f>
        <v/>
      </c>
      <c r="B1000" s="10">
        <f>IF($A1000="","",Ремонты!A144)</f>
        <v/>
      </c>
      <c r="C1000" s="10">
        <f>IF($A1000="","",Ремонты!D144)</f>
        <v/>
      </c>
      <c r="D1000" s="10">
        <f>IF($A1000="","",Ремонты!E144)</f>
        <v/>
      </c>
      <c r="E1000" s="10">
        <f>IF($A1000="","","Фактическое получение")</f>
        <v/>
      </c>
      <c r="F1000" s="10">
        <f>IF($A1000="","",Ремонты!T144)</f>
        <v/>
      </c>
      <c r="G1000" s="10">
        <f>IF($A1000="","","Автозапись из листа Ремонты")</f>
        <v/>
      </c>
    </row>
    <row r="1001">
      <c r="A1001" s="12">
        <f>IF(Ремонты!P144="","",Ремонты!P144)</f>
        <v/>
      </c>
      <c r="B1001" s="10">
        <f>IF($A1001="","",Ремонты!A144)</f>
        <v/>
      </c>
      <c r="C1001" s="10">
        <f>IF($A1001="","",Ремонты!D144)</f>
        <v/>
      </c>
      <c r="D1001" s="10">
        <f>IF($A1001="","",Ремонты!E144)</f>
        <v/>
      </c>
      <c r="E1001" s="10">
        <f>IF($A1001="","","Входной контроль")</f>
        <v/>
      </c>
      <c r="F1001" s="10">
        <f>IF($A1001="","",Ремонты!T144)</f>
        <v/>
      </c>
      <c r="G1001" s="10">
        <f>IF($A1001="","","Автозапись из листа Ремонты")</f>
        <v/>
      </c>
    </row>
    <row r="1002">
      <c r="A1002" s="12">
        <f>IF(Ремонты!S144="","",Ремонты!S144)</f>
        <v/>
      </c>
      <c r="B1002" s="10">
        <f>IF($A1002="","",Ремонты!A144)</f>
        <v/>
      </c>
      <c r="C1002" s="10">
        <f>IF($A1002="","",Ремонты!D144)</f>
        <v/>
      </c>
      <c r="D1002" s="10">
        <f>IF($A1002="","",Ремонты!E144)</f>
        <v/>
      </c>
      <c r="E1002" s="10">
        <f>IF($A1002="","","Оплата")</f>
        <v/>
      </c>
      <c r="F1002" s="10">
        <f>IF($A1002="","",Ремонты!T144)</f>
        <v/>
      </c>
      <c r="G1002" s="10">
        <f>IF($A1002="","","Автозапись из листа Ремонты")</f>
        <v/>
      </c>
    </row>
    <row r="1003">
      <c r="A1003" s="12">
        <f>IF(Ремонты!G145="","",Ремонты!G145)</f>
        <v/>
      </c>
      <c r="B1003" s="10">
        <f>IF($A1003="","",Ремонты!A145)</f>
        <v/>
      </c>
      <c r="C1003" s="10">
        <f>IF($A1003="","",Ремонты!D145)</f>
        <v/>
      </c>
      <c r="D1003" s="10">
        <f>IF($A1003="","",Ремонты!E145)</f>
        <v/>
      </c>
      <c r="E1003" s="10">
        <f>IF($A1003="","","Отправка в ремонт")</f>
        <v/>
      </c>
      <c r="F1003" s="10">
        <f>IF($A1003="","",Ремонты!T145)</f>
        <v/>
      </c>
      <c r="G1003" s="10">
        <f>IF($A1003="","","Автозапись из листа Ремонты")</f>
        <v/>
      </c>
    </row>
    <row r="1004">
      <c r="A1004" s="12">
        <f>IF(Ремонты!I145="","",Ремонты!I145)</f>
        <v/>
      </c>
      <c r="B1004" s="10">
        <f>IF($A1004="","",Ремонты!A145)</f>
        <v/>
      </c>
      <c r="C1004" s="10">
        <f>IF($A1004="","",Ремонты!D145)</f>
        <v/>
      </c>
      <c r="D1004" s="10">
        <f>IF($A1004="","",Ремонты!E145)</f>
        <v/>
      </c>
      <c r="E1004" s="10">
        <f>IF($A1004="","","Отправка из ремонта")</f>
        <v/>
      </c>
      <c r="F1004" s="10">
        <f>IF($A1004="","",Ремонты!T145)</f>
        <v/>
      </c>
      <c r="G1004" s="10">
        <f>IF($A1004="","","Автозапись из листа Ремонты")</f>
        <v/>
      </c>
    </row>
    <row r="1005">
      <c r="A1005" s="12">
        <f>IF(Ремонты!J145="","",Ремонты!J145)</f>
        <v/>
      </c>
      <c r="B1005" s="10">
        <f>IF($A1005="","",Ремонты!A145)</f>
        <v/>
      </c>
      <c r="C1005" s="10">
        <f>IF($A1005="","",Ремонты!D145)</f>
        <v/>
      </c>
      <c r="D1005" s="10">
        <f>IF($A1005="","",Ремонты!E145)</f>
        <v/>
      </c>
      <c r="E1005" s="10">
        <f>IF($A1005="","","Отправка из Иркутска")</f>
        <v/>
      </c>
      <c r="F1005" s="10">
        <f>IF($A1005="","",Ремонты!T145)</f>
        <v/>
      </c>
      <c r="G1005" s="10">
        <f>IF($A1005="","","Автозапись из листа Ремонты")</f>
        <v/>
      </c>
    </row>
    <row r="1006">
      <c r="A1006" s="12">
        <f>IF(Ремонты!K145="","",Ремонты!K145)</f>
        <v/>
      </c>
      <c r="B1006" s="10">
        <f>IF($A1006="","",Ремонты!A145)</f>
        <v/>
      </c>
      <c r="C1006" s="10">
        <f>IF($A1006="","",Ремонты!D145)</f>
        <v/>
      </c>
      <c r="D1006" s="10">
        <f>IF($A1006="","",Ремонты!E145)</f>
        <v/>
      </c>
      <c r="E1006" s="10">
        <f>IF($A1006="","","Прибытие в Ленск")</f>
        <v/>
      </c>
      <c r="F1006" s="10">
        <f>IF($A1006="","",Ремонты!T145)</f>
        <v/>
      </c>
      <c r="G1006" s="10">
        <f>IF($A1006="","","Автозапись из листа Ремонты")</f>
        <v/>
      </c>
    </row>
    <row r="1007">
      <c r="A1007" s="12">
        <f>IF(Ремонты!M145="","",Ремонты!M145)</f>
        <v/>
      </c>
      <c r="B1007" s="10">
        <f>IF($A1007="","",Ремонты!A145)</f>
        <v/>
      </c>
      <c r="C1007" s="10">
        <f>IF($A1007="","",Ремонты!D145)</f>
        <v/>
      </c>
      <c r="D1007" s="10">
        <f>IF($A1007="","",Ремонты!E145)</f>
        <v/>
      </c>
      <c r="E1007" s="10">
        <f>IF($A1007="","","Фактическое получение")</f>
        <v/>
      </c>
      <c r="F1007" s="10">
        <f>IF($A1007="","",Ремонты!T145)</f>
        <v/>
      </c>
      <c r="G1007" s="10">
        <f>IF($A1007="","","Автозапись из листа Ремонты")</f>
        <v/>
      </c>
    </row>
    <row r="1008">
      <c r="A1008" s="12">
        <f>IF(Ремонты!P145="","",Ремонты!P145)</f>
        <v/>
      </c>
      <c r="B1008" s="10">
        <f>IF($A1008="","",Ремонты!A145)</f>
        <v/>
      </c>
      <c r="C1008" s="10">
        <f>IF($A1008="","",Ремонты!D145)</f>
        <v/>
      </c>
      <c r="D1008" s="10">
        <f>IF($A1008="","",Ремонты!E145)</f>
        <v/>
      </c>
      <c r="E1008" s="10">
        <f>IF($A1008="","","Входной контроль")</f>
        <v/>
      </c>
      <c r="F1008" s="10">
        <f>IF($A1008="","",Ремонты!T145)</f>
        <v/>
      </c>
      <c r="G1008" s="10">
        <f>IF($A1008="","","Автозапись из листа Ремонты")</f>
        <v/>
      </c>
    </row>
    <row r="1009">
      <c r="A1009" s="12">
        <f>IF(Ремонты!S145="","",Ремонты!S145)</f>
        <v/>
      </c>
      <c r="B1009" s="10">
        <f>IF($A1009="","",Ремонты!A145)</f>
        <v/>
      </c>
      <c r="C1009" s="10">
        <f>IF($A1009="","",Ремонты!D145)</f>
        <v/>
      </c>
      <c r="D1009" s="10">
        <f>IF($A1009="","",Ремонты!E145)</f>
        <v/>
      </c>
      <c r="E1009" s="10">
        <f>IF($A1009="","","Оплата")</f>
        <v/>
      </c>
      <c r="F1009" s="10">
        <f>IF($A1009="","",Ремонты!T145)</f>
        <v/>
      </c>
      <c r="G1009" s="10">
        <f>IF($A1009="","","Автозапись из листа Ремонты")</f>
        <v/>
      </c>
    </row>
    <row r="1010">
      <c r="A1010" s="12">
        <f>IF(Ремонты!G146="","",Ремонты!G146)</f>
        <v/>
      </c>
      <c r="B1010" s="10">
        <f>IF($A1010="","",Ремонты!A146)</f>
        <v/>
      </c>
      <c r="C1010" s="10">
        <f>IF($A1010="","",Ремонты!D146)</f>
        <v/>
      </c>
      <c r="D1010" s="10">
        <f>IF($A1010="","",Ремонты!E146)</f>
        <v/>
      </c>
      <c r="E1010" s="10">
        <f>IF($A1010="","","Отправка в ремонт")</f>
        <v/>
      </c>
      <c r="F1010" s="10">
        <f>IF($A1010="","",Ремонты!T146)</f>
        <v/>
      </c>
      <c r="G1010" s="10">
        <f>IF($A1010="","","Автозапись из листа Ремонты")</f>
        <v/>
      </c>
    </row>
    <row r="1011">
      <c r="A1011" s="12">
        <f>IF(Ремонты!I146="","",Ремонты!I146)</f>
        <v/>
      </c>
      <c r="B1011" s="10">
        <f>IF($A1011="","",Ремонты!A146)</f>
        <v/>
      </c>
      <c r="C1011" s="10">
        <f>IF($A1011="","",Ремонты!D146)</f>
        <v/>
      </c>
      <c r="D1011" s="10">
        <f>IF($A1011="","",Ремонты!E146)</f>
        <v/>
      </c>
      <c r="E1011" s="10">
        <f>IF($A1011="","","Отправка из ремонта")</f>
        <v/>
      </c>
      <c r="F1011" s="10">
        <f>IF($A1011="","",Ремонты!T146)</f>
        <v/>
      </c>
      <c r="G1011" s="10">
        <f>IF($A1011="","","Автозапись из листа Ремонты")</f>
        <v/>
      </c>
    </row>
    <row r="1012">
      <c r="A1012" s="12">
        <f>IF(Ремонты!J146="","",Ремонты!J146)</f>
        <v/>
      </c>
      <c r="B1012" s="10">
        <f>IF($A1012="","",Ремонты!A146)</f>
        <v/>
      </c>
      <c r="C1012" s="10">
        <f>IF($A1012="","",Ремонты!D146)</f>
        <v/>
      </c>
      <c r="D1012" s="10">
        <f>IF($A1012="","",Ремонты!E146)</f>
        <v/>
      </c>
      <c r="E1012" s="10">
        <f>IF($A1012="","","Отправка из Иркутска")</f>
        <v/>
      </c>
      <c r="F1012" s="10">
        <f>IF($A1012="","",Ремонты!T146)</f>
        <v/>
      </c>
      <c r="G1012" s="10">
        <f>IF($A1012="","","Автозапись из листа Ремонты")</f>
        <v/>
      </c>
    </row>
    <row r="1013">
      <c r="A1013" s="12">
        <f>IF(Ремонты!K146="","",Ремонты!K146)</f>
        <v/>
      </c>
      <c r="B1013" s="10">
        <f>IF($A1013="","",Ремонты!A146)</f>
        <v/>
      </c>
      <c r="C1013" s="10">
        <f>IF($A1013="","",Ремонты!D146)</f>
        <v/>
      </c>
      <c r="D1013" s="10">
        <f>IF($A1013="","",Ремонты!E146)</f>
        <v/>
      </c>
      <c r="E1013" s="10">
        <f>IF($A1013="","","Прибытие в Ленск")</f>
        <v/>
      </c>
      <c r="F1013" s="10">
        <f>IF($A1013="","",Ремонты!T146)</f>
        <v/>
      </c>
      <c r="G1013" s="10">
        <f>IF($A1013="","","Автозапись из листа Ремонты")</f>
        <v/>
      </c>
    </row>
    <row r="1014">
      <c r="A1014" s="12">
        <f>IF(Ремонты!M146="","",Ремонты!M146)</f>
        <v/>
      </c>
      <c r="B1014" s="10">
        <f>IF($A1014="","",Ремонты!A146)</f>
        <v/>
      </c>
      <c r="C1014" s="10">
        <f>IF($A1014="","",Ремонты!D146)</f>
        <v/>
      </c>
      <c r="D1014" s="10">
        <f>IF($A1014="","",Ремонты!E146)</f>
        <v/>
      </c>
      <c r="E1014" s="10">
        <f>IF($A1014="","","Фактическое получение")</f>
        <v/>
      </c>
      <c r="F1014" s="10">
        <f>IF($A1014="","",Ремонты!T146)</f>
        <v/>
      </c>
      <c r="G1014" s="10">
        <f>IF($A1014="","","Автозапись из листа Ремонты")</f>
        <v/>
      </c>
    </row>
    <row r="1015">
      <c r="A1015" s="12">
        <f>IF(Ремонты!P146="","",Ремонты!P146)</f>
        <v/>
      </c>
      <c r="B1015" s="10">
        <f>IF($A1015="","",Ремонты!A146)</f>
        <v/>
      </c>
      <c r="C1015" s="10">
        <f>IF($A1015="","",Ремонты!D146)</f>
        <v/>
      </c>
      <c r="D1015" s="10">
        <f>IF($A1015="","",Ремонты!E146)</f>
        <v/>
      </c>
      <c r="E1015" s="10">
        <f>IF($A1015="","","Входной контроль")</f>
        <v/>
      </c>
      <c r="F1015" s="10">
        <f>IF($A1015="","",Ремонты!T146)</f>
        <v/>
      </c>
      <c r="G1015" s="10">
        <f>IF($A1015="","","Автозапись из листа Ремонты")</f>
        <v/>
      </c>
    </row>
    <row r="1016">
      <c r="A1016" s="12">
        <f>IF(Ремонты!S146="","",Ремонты!S146)</f>
        <v/>
      </c>
      <c r="B1016" s="10">
        <f>IF($A1016="","",Ремонты!A146)</f>
        <v/>
      </c>
      <c r="C1016" s="10">
        <f>IF($A1016="","",Ремонты!D146)</f>
        <v/>
      </c>
      <c r="D1016" s="10">
        <f>IF($A1016="","",Ремонты!E146)</f>
        <v/>
      </c>
      <c r="E1016" s="10">
        <f>IF($A1016="","","Оплата")</f>
        <v/>
      </c>
      <c r="F1016" s="10">
        <f>IF($A1016="","",Ремонты!T146)</f>
        <v/>
      </c>
      <c r="G1016" s="10">
        <f>IF($A1016="","","Автозапись из листа Ремонты")</f>
        <v/>
      </c>
    </row>
    <row r="1017">
      <c r="A1017" s="12">
        <f>IF(Ремонты!G147="","",Ремонты!G147)</f>
        <v/>
      </c>
      <c r="B1017" s="10">
        <f>IF($A1017="","",Ремонты!A147)</f>
        <v/>
      </c>
      <c r="C1017" s="10">
        <f>IF($A1017="","",Ремонты!D147)</f>
        <v/>
      </c>
      <c r="D1017" s="10">
        <f>IF($A1017="","",Ремонты!E147)</f>
        <v/>
      </c>
      <c r="E1017" s="10">
        <f>IF($A1017="","","Отправка в ремонт")</f>
        <v/>
      </c>
      <c r="F1017" s="10">
        <f>IF($A1017="","",Ремонты!T147)</f>
        <v/>
      </c>
      <c r="G1017" s="10">
        <f>IF($A1017="","","Автозапись из листа Ремонты")</f>
        <v/>
      </c>
    </row>
    <row r="1018">
      <c r="A1018" s="12">
        <f>IF(Ремонты!I147="","",Ремонты!I147)</f>
        <v/>
      </c>
      <c r="B1018" s="10">
        <f>IF($A1018="","",Ремонты!A147)</f>
        <v/>
      </c>
      <c r="C1018" s="10">
        <f>IF($A1018="","",Ремонты!D147)</f>
        <v/>
      </c>
      <c r="D1018" s="10">
        <f>IF($A1018="","",Ремонты!E147)</f>
        <v/>
      </c>
      <c r="E1018" s="10">
        <f>IF($A1018="","","Отправка из ремонта")</f>
        <v/>
      </c>
      <c r="F1018" s="10">
        <f>IF($A1018="","",Ремонты!T147)</f>
        <v/>
      </c>
      <c r="G1018" s="10">
        <f>IF($A1018="","","Автозапись из листа Ремонты")</f>
        <v/>
      </c>
    </row>
    <row r="1019">
      <c r="A1019" s="12">
        <f>IF(Ремонты!J147="","",Ремонты!J147)</f>
        <v/>
      </c>
      <c r="B1019" s="10">
        <f>IF($A1019="","",Ремонты!A147)</f>
        <v/>
      </c>
      <c r="C1019" s="10">
        <f>IF($A1019="","",Ремонты!D147)</f>
        <v/>
      </c>
      <c r="D1019" s="10">
        <f>IF($A1019="","",Ремонты!E147)</f>
        <v/>
      </c>
      <c r="E1019" s="10">
        <f>IF($A1019="","","Отправка из Иркутска")</f>
        <v/>
      </c>
      <c r="F1019" s="10">
        <f>IF($A1019="","",Ремонты!T147)</f>
        <v/>
      </c>
      <c r="G1019" s="10">
        <f>IF($A1019="","","Автозапись из листа Ремонты")</f>
        <v/>
      </c>
    </row>
    <row r="1020">
      <c r="A1020" s="12">
        <f>IF(Ремонты!K147="","",Ремонты!K147)</f>
        <v/>
      </c>
      <c r="B1020" s="10">
        <f>IF($A1020="","",Ремонты!A147)</f>
        <v/>
      </c>
      <c r="C1020" s="10">
        <f>IF($A1020="","",Ремонты!D147)</f>
        <v/>
      </c>
      <c r="D1020" s="10">
        <f>IF($A1020="","",Ремонты!E147)</f>
        <v/>
      </c>
      <c r="E1020" s="10">
        <f>IF($A1020="","","Прибытие в Ленск")</f>
        <v/>
      </c>
      <c r="F1020" s="10">
        <f>IF($A1020="","",Ремонты!T147)</f>
        <v/>
      </c>
      <c r="G1020" s="10">
        <f>IF($A1020="","","Автозапись из листа Ремонты")</f>
        <v/>
      </c>
    </row>
    <row r="1021">
      <c r="A1021" s="12">
        <f>IF(Ремонты!M147="","",Ремонты!M147)</f>
        <v/>
      </c>
      <c r="B1021" s="10">
        <f>IF($A1021="","",Ремонты!A147)</f>
        <v/>
      </c>
      <c r="C1021" s="10">
        <f>IF($A1021="","",Ремонты!D147)</f>
        <v/>
      </c>
      <c r="D1021" s="10">
        <f>IF($A1021="","",Ремонты!E147)</f>
        <v/>
      </c>
      <c r="E1021" s="10">
        <f>IF($A1021="","","Фактическое получение")</f>
        <v/>
      </c>
      <c r="F1021" s="10">
        <f>IF($A1021="","",Ремонты!T147)</f>
        <v/>
      </c>
      <c r="G1021" s="10">
        <f>IF($A1021="","","Автозапись из листа Ремонты")</f>
        <v/>
      </c>
    </row>
    <row r="1022">
      <c r="A1022" s="12">
        <f>IF(Ремонты!P147="","",Ремонты!P147)</f>
        <v/>
      </c>
      <c r="B1022" s="10">
        <f>IF($A1022="","",Ремонты!A147)</f>
        <v/>
      </c>
      <c r="C1022" s="10">
        <f>IF($A1022="","",Ремонты!D147)</f>
        <v/>
      </c>
      <c r="D1022" s="10">
        <f>IF($A1022="","",Ремонты!E147)</f>
        <v/>
      </c>
      <c r="E1022" s="10">
        <f>IF($A1022="","","Входной контроль")</f>
        <v/>
      </c>
      <c r="F1022" s="10">
        <f>IF($A1022="","",Ремонты!T147)</f>
        <v/>
      </c>
      <c r="G1022" s="10">
        <f>IF($A1022="","","Автозапись из листа Ремонты")</f>
        <v/>
      </c>
    </row>
    <row r="1023">
      <c r="A1023" s="12">
        <f>IF(Ремонты!S147="","",Ремонты!S147)</f>
        <v/>
      </c>
      <c r="B1023" s="10">
        <f>IF($A1023="","",Ремонты!A147)</f>
        <v/>
      </c>
      <c r="C1023" s="10">
        <f>IF($A1023="","",Ремонты!D147)</f>
        <v/>
      </c>
      <c r="D1023" s="10">
        <f>IF($A1023="","",Ремонты!E147)</f>
        <v/>
      </c>
      <c r="E1023" s="10">
        <f>IF($A1023="","","Оплата")</f>
        <v/>
      </c>
      <c r="F1023" s="10">
        <f>IF($A1023="","",Ремонты!T147)</f>
        <v/>
      </c>
      <c r="G1023" s="10">
        <f>IF($A1023="","","Автозапись из листа Ремонты")</f>
        <v/>
      </c>
    </row>
    <row r="1024">
      <c r="A1024" s="12">
        <f>IF(Ремонты!G148="","",Ремонты!G148)</f>
        <v/>
      </c>
      <c r="B1024" s="10">
        <f>IF($A1024="","",Ремонты!A148)</f>
        <v/>
      </c>
      <c r="C1024" s="10">
        <f>IF($A1024="","",Ремонты!D148)</f>
        <v/>
      </c>
      <c r="D1024" s="10">
        <f>IF($A1024="","",Ремонты!E148)</f>
        <v/>
      </c>
      <c r="E1024" s="10">
        <f>IF($A1024="","","Отправка в ремонт")</f>
        <v/>
      </c>
      <c r="F1024" s="10">
        <f>IF($A1024="","",Ремонты!T148)</f>
        <v/>
      </c>
      <c r="G1024" s="10">
        <f>IF($A1024="","","Автозапись из листа Ремонты")</f>
        <v/>
      </c>
    </row>
    <row r="1025">
      <c r="A1025" s="12">
        <f>IF(Ремонты!I148="","",Ремонты!I148)</f>
        <v/>
      </c>
      <c r="B1025" s="10">
        <f>IF($A1025="","",Ремонты!A148)</f>
        <v/>
      </c>
      <c r="C1025" s="10">
        <f>IF($A1025="","",Ремонты!D148)</f>
        <v/>
      </c>
      <c r="D1025" s="10">
        <f>IF($A1025="","",Ремонты!E148)</f>
        <v/>
      </c>
      <c r="E1025" s="10">
        <f>IF($A1025="","","Отправка из ремонта")</f>
        <v/>
      </c>
      <c r="F1025" s="10">
        <f>IF($A1025="","",Ремонты!T148)</f>
        <v/>
      </c>
      <c r="G1025" s="10">
        <f>IF($A1025="","","Автозапись из листа Ремонты")</f>
        <v/>
      </c>
    </row>
    <row r="1026">
      <c r="A1026" s="12">
        <f>IF(Ремонты!J148="","",Ремонты!J148)</f>
        <v/>
      </c>
      <c r="B1026" s="10">
        <f>IF($A1026="","",Ремонты!A148)</f>
        <v/>
      </c>
      <c r="C1026" s="10">
        <f>IF($A1026="","",Ремонты!D148)</f>
        <v/>
      </c>
      <c r="D1026" s="10">
        <f>IF($A1026="","",Ремонты!E148)</f>
        <v/>
      </c>
      <c r="E1026" s="10">
        <f>IF($A1026="","","Отправка из Иркутска")</f>
        <v/>
      </c>
      <c r="F1026" s="10">
        <f>IF($A1026="","",Ремонты!T148)</f>
        <v/>
      </c>
      <c r="G1026" s="10">
        <f>IF($A1026="","","Автозапись из листа Ремонты")</f>
        <v/>
      </c>
    </row>
    <row r="1027">
      <c r="A1027" s="12">
        <f>IF(Ремонты!K148="","",Ремонты!K148)</f>
        <v/>
      </c>
      <c r="B1027" s="10">
        <f>IF($A1027="","",Ремонты!A148)</f>
        <v/>
      </c>
      <c r="C1027" s="10">
        <f>IF($A1027="","",Ремонты!D148)</f>
        <v/>
      </c>
      <c r="D1027" s="10">
        <f>IF($A1027="","",Ремонты!E148)</f>
        <v/>
      </c>
      <c r="E1027" s="10">
        <f>IF($A1027="","","Прибытие в Ленск")</f>
        <v/>
      </c>
      <c r="F1027" s="10">
        <f>IF($A1027="","",Ремонты!T148)</f>
        <v/>
      </c>
      <c r="G1027" s="10">
        <f>IF($A1027="","","Автозапись из листа Ремонты")</f>
        <v/>
      </c>
    </row>
    <row r="1028">
      <c r="A1028" s="12">
        <f>IF(Ремонты!M148="","",Ремонты!M148)</f>
        <v/>
      </c>
      <c r="B1028" s="10">
        <f>IF($A1028="","",Ремонты!A148)</f>
        <v/>
      </c>
      <c r="C1028" s="10">
        <f>IF($A1028="","",Ремонты!D148)</f>
        <v/>
      </c>
      <c r="D1028" s="10">
        <f>IF($A1028="","",Ремонты!E148)</f>
        <v/>
      </c>
      <c r="E1028" s="10">
        <f>IF($A1028="","","Фактическое получение")</f>
        <v/>
      </c>
      <c r="F1028" s="10">
        <f>IF($A1028="","",Ремонты!T148)</f>
        <v/>
      </c>
      <c r="G1028" s="10">
        <f>IF($A1028="","","Автозапись из листа Ремонты")</f>
        <v/>
      </c>
    </row>
    <row r="1029">
      <c r="A1029" s="12">
        <f>IF(Ремонты!P148="","",Ремонты!P148)</f>
        <v/>
      </c>
      <c r="B1029" s="10">
        <f>IF($A1029="","",Ремонты!A148)</f>
        <v/>
      </c>
      <c r="C1029" s="10">
        <f>IF($A1029="","",Ремонты!D148)</f>
        <v/>
      </c>
      <c r="D1029" s="10">
        <f>IF($A1029="","",Ремонты!E148)</f>
        <v/>
      </c>
      <c r="E1029" s="10">
        <f>IF($A1029="","","Входной контроль")</f>
        <v/>
      </c>
      <c r="F1029" s="10">
        <f>IF($A1029="","",Ремонты!T148)</f>
        <v/>
      </c>
      <c r="G1029" s="10">
        <f>IF($A1029="","","Автозапись из листа Ремонты")</f>
        <v/>
      </c>
    </row>
    <row r="1030">
      <c r="A1030" s="12">
        <f>IF(Ремонты!S148="","",Ремонты!S148)</f>
        <v/>
      </c>
      <c r="B1030" s="10">
        <f>IF($A1030="","",Ремонты!A148)</f>
        <v/>
      </c>
      <c r="C1030" s="10">
        <f>IF($A1030="","",Ремонты!D148)</f>
        <v/>
      </c>
      <c r="D1030" s="10">
        <f>IF($A1030="","",Ремонты!E148)</f>
        <v/>
      </c>
      <c r="E1030" s="10">
        <f>IF($A1030="","","Оплата")</f>
        <v/>
      </c>
      <c r="F1030" s="10">
        <f>IF($A1030="","",Ремонты!T148)</f>
        <v/>
      </c>
      <c r="G1030" s="10">
        <f>IF($A1030="","","Автозапись из листа Ремонты")</f>
        <v/>
      </c>
    </row>
    <row r="1031">
      <c r="A1031" s="12">
        <f>IF(Ремонты!G149="","",Ремонты!G149)</f>
        <v/>
      </c>
      <c r="B1031" s="10">
        <f>IF($A1031="","",Ремонты!A149)</f>
        <v/>
      </c>
      <c r="C1031" s="10">
        <f>IF($A1031="","",Ремонты!D149)</f>
        <v/>
      </c>
      <c r="D1031" s="10">
        <f>IF($A1031="","",Ремонты!E149)</f>
        <v/>
      </c>
      <c r="E1031" s="10">
        <f>IF($A1031="","","Отправка в ремонт")</f>
        <v/>
      </c>
      <c r="F1031" s="10">
        <f>IF($A1031="","",Ремонты!T149)</f>
        <v/>
      </c>
      <c r="G1031" s="10">
        <f>IF($A1031="","","Автозапись из листа Ремонты")</f>
        <v/>
      </c>
    </row>
    <row r="1032">
      <c r="A1032" s="12">
        <f>IF(Ремонты!I149="","",Ремонты!I149)</f>
        <v/>
      </c>
      <c r="B1032" s="10">
        <f>IF($A1032="","",Ремонты!A149)</f>
        <v/>
      </c>
      <c r="C1032" s="10">
        <f>IF($A1032="","",Ремонты!D149)</f>
        <v/>
      </c>
      <c r="D1032" s="10">
        <f>IF($A1032="","",Ремонты!E149)</f>
        <v/>
      </c>
      <c r="E1032" s="10">
        <f>IF($A1032="","","Отправка из ремонта")</f>
        <v/>
      </c>
      <c r="F1032" s="10">
        <f>IF($A1032="","",Ремонты!T149)</f>
        <v/>
      </c>
      <c r="G1032" s="10">
        <f>IF($A1032="","","Автозапись из листа Ремонты")</f>
        <v/>
      </c>
    </row>
    <row r="1033">
      <c r="A1033" s="12">
        <f>IF(Ремонты!J149="","",Ремонты!J149)</f>
        <v/>
      </c>
      <c r="B1033" s="10">
        <f>IF($A1033="","",Ремонты!A149)</f>
        <v/>
      </c>
      <c r="C1033" s="10">
        <f>IF($A1033="","",Ремонты!D149)</f>
        <v/>
      </c>
      <c r="D1033" s="10">
        <f>IF($A1033="","",Ремонты!E149)</f>
        <v/>
      </c>
      <c r="E1033" s="10">
        <f>IF($A1033="","","Отправка из Иркутска")</f>
        <v/>
      </c>
      <c r="F1033" s="10">
        <f>IF($A1033="","",Ремонты!T149)</f>
        <v/>
      </c>
      <c r="G1033" s="10">
        <f>IF($A1033="","","Автозапись из листа Ремонты")</f>
        <v/>
      </c>
    </row>
    <row r="1034">
      <c r="A1034" s="12">
        <f>IF(Ремонты!K149="","",Ремонты!K149)</f>
        <v/>
      </c>
      <c r="B1034" s="10">
        <f>IF($A1034="","",Ремонты!A149)</f>
        <v/>
      </c>
      <c r="C1034" s="10">
        <f>IF($A1034="","",Ремонты!D149)</f>
        <v/>
      </c>
      <c r="D1034" s="10">
        <f>IF($A1034="","",Ремонты!E149)</f>
        <v/>
      </c>
      <c r="E1034" s="10">
        <f>IF($A1034="","","Прибытие в Ленск")</f>
        <v/>
      </c>
      <c r="F1034" s="10">
        <f>IF($A1034="","",Ремонты!T149)</f>
        <v/>
      </c>
      <c r="G1034" s="10">
        <f>IF($A1034="","","Автозапись из листа Ремонты")</f>
        <v/>
      </c>
    </row>
    <row r="1035">
      <c r="A1035" s="12">
        <f>IF(Ремонты!M149="","",Ремонты!M149)</f>
        <v/>
      </c>
      <c r="B1035" s="10">
        <f>IF($A1035="","",Ремонты!A149)</f>
        <v/>
      </c>
      <c r="C1035" s="10">
        <f>IF($A1035="","",Ремонты!D149)</f>
        <v/>
      </c>
      <c r="D1035" s="10">
        <f>IF($A1035="","",Ремонты!E149)</f>
        <v/>
      </c>
      <c r="E1035" s="10">
        <f>IF($A1035="","","Фактическое получение")</f>
        <v/>
      </c>
      <c r="F1035" s="10">
        <f>IF($A1035="","",Ремонты!T149)</f>
        <v/>
      </c>
      <c r="G1035" s="10">
        <f>IF($A1035="","","Автозапись из листа Ремонты")</f>
        <v/>
      </c>
    </row>
    <row r="1036">
      <c r="A1036" s="12">
        <f>IF(Ремонты!P149="","",Ремонты!P149)</f>
        <v/>
      </c>
      <c r="B1036" s="10">
        <f>IF($A1036="","",Ремонты!A149)</f>
        <v/>
      </c>
      <c r="C1036" s="10">
        <f>IF($A1036="","",Ремонты!D149)</f>
        <v/>
      </c>
      <c r="D1036" s="10">
        <f>IF($A1036="","",Ремонты!E149)</f>
        <v/>
      </c>
      <c r="E1036" s="10">
        <f>IF($A1036="","","Входной контроль")</f>
        <v/>
      </c>
      <c r="F1036" s="10">
        <f>IF($A1036="","",Ремонты!T149)</f>
        <v/>
      </c>
      <c r="G1036" s="10">
        <f>IF($A1036="","","Автозапись из листа Ремонты")</f>
        <v/>
      </c>
    </row>
    <row r="1037">
      <c r="A1037" s="12">
        <f>IF(Ремонты!S149="","",Ремонты!S149)</f>
        <v/>
      </c>
      <c r="B1037" s="10">
        <f>IF($A1037="","",Ремонты!A149)</f>
        <v/>
      </c>
      <c r="C1037" s="10">
        <f>IF($A1037="","",Ремонты!D149)</f>
        <v/>
      </c>
      <c r="D1037" s="10">
        <f>IF($A1037="","",Ремонты!E149)</f>
        <v/>
      </c>
      <c r="E1037" s="10">
        <f>IF($A1037="","","Оплата")</f>
        <v/>
      </c>
      <c r="F1037" s="10">
        <f>IF($A1037="","",Ремонты!T149)</f>
        <v/>
      </c>
      <c r="G1037" s="10">
        <f>IF($A1037="","","Автозапись из листа Ремонты")</f>
        <v/>
      </c>
    </row>
    <row r="1038">
      <c r="A1038" s="12">
        <f>IF(Ремонты!G150="","",Ремонты!G150)</f>
        <v/>
      </c>
      <c r="B1038" s="10">
        <f>IF($A1038="","",Ремонты!A150)</f>
        <v/>
      </c>
      <c r="C1038" s="10">
        <f>IF($A1038="","",Ремонты!D150)</f>
        <v/>
      </c>
      <c r="D1038" s="10">
        <f>IF($A1038="","",Ремонты!E150)</f>
        <v/>
      </c>
      <c r="E1038" s="10">
        <f>IF($A1038="","","Отправка в ремонт")</f>
        <v/>
      </c>
      <c r="F1038" s="10">
        <f>IF($A1038="","",Ремонты!T150)</f>
        <v/>
      </c>
      <c r="G1038" s="10">
        <f>IF($A1038="","","Автозапись из листа Ремонты")</f>
        <v/>
      </c>
    </row>
    <row r="1039">
      <c r="A1039" s="12">
        <f>IF(Ремонты!I150="","",Ремонты!I150)</f>
        <v/>
      </c>
      <c r="B1039" s="10">
        <f>IF($A1039="","",Ремонты!A150)</f>
        <v/>
      </c>
      <c r="C1039" s="10">
        <f>IF($A1039="","",Ремонты!D150)</f>
        <v/>
      </c>
      <c r="D1039" s="10">
        <f>IF($A1039="","",Ремонты!E150)</f>
        <v/>
      </c>
      <c r="E1039" s="10">
        <f>IF($A1039="","","Отправка из ремонта")</f>
        <v/>
      </c>
      <c r="F1039" s="10">
        <f>IF($A1039="","",Ремонты!T150)</f>
        <v/>
      </c>
      <c r="G1039" s="10">
        <f>IF($A1039="","","Автозапись из листа Ремонты")</f>
        <v/>
      </c>
    </row>
    <row r="1040">
      <c r="A1040" s="12">
        <f>IF(Ремонты!J150="","",Ремонты!J150)</f>
        <v/>
      </c>
      <c r="B1040" s="10">
        <f>IF($A1040="","",Ремонты!A150)</f>
        <v/>
      </c>
      <c r="C1040" s="10">
        <f>IF($A1040="","",Ремонты!D150)</f>
        <v/>
      </c>
      <c r="D1040" s="10">
        <f>IF($A1040="","",Ремонты!E150)</f>
        <v/>
      </c>
      <c r="E1040" s="10">
        <f>IF($A1040="","","Отправка из Иркутска")</f>
        <v/>
      </c>
      <c r="F1040" s="10">
        <f>IF($A1040="","",Ремонты!T150)</f>
        <v/>
      </c>
      <c r="G1040" s="10">
        <f>IF($A1040="","","Автозапись из листа Ремонты")</f>
        <v/>
      </c>
    </row>
    <row r="1041">
      <c r="A1041" s="12">
        <f>IF(Ремонты!K150="","",Ремонты!K150)</f>
        <v/>
      </c>
      <c r="B1041" s="10">
        <f>IF($A1041="","",Ремонты!A150)</f>
        <v/>
      </c>
      <c r="C1041" s="10">
        <f>IF($A1041="","",Ремонты!D150)</f>
        <v/>
      </c>
      <c r="D1041" s="10">
        <f>IF($A1041="","",Ремонты!E150)</f>
        <v/>
      </c>
      <c r="E1041" s="10">
        <f>IF($A1041="","","Прибытие в Ленск")</f>
        <v/>
      </c>
      <c r="F1041" s="10">
        <f>IF($A1041="","",Ремонты!T150)</f>
        <v/>
      </c>
      <c r="G1041" s="10">
        <f>IF($A1041="","","Автозапись из листа Ремонты")</f>
        <v/>
      </c>
    </row>
    <row r="1042">
      <c r="A1042" s="12">
        <f>IF(Ремонты!M150="","",Ремонты!M150)</f>
        <v/>
      </c>
      <c r="B1042" s="10">
        <f>IF($A1042="","",Ремонты!A150)</f>
        <v/>
      </c>
      <c r="C1042" s="10">
        <f>IF($A1042="","",Ремонты!D150)</f>
        <v/>
      </c>
      <c r="D1042" s="10">
        <f>IF($A1042="","",Ремонты!E150)</f>
        <v/>
      </c>
      <c r="E1042" s="10">
        <f>IF($A1042="","","Фактическое получение")</f>
        <v/>
      </c>
      <c r="F1042" s="10">
        <f>IF($A1042="","",Ремонты!T150)</f>
        <v/>
      </c>
      <c r="G1042" s="10">
        <f>IF($A1042="","","Автозапись из листа Ремонты")</f>
        <v/>
      </c>
    </row>
    <row r="1043">
      <c r="A1043" s="12">
        <f>IF(Ремонты!P150="","",Ремонты!P150)</f>
        <v/>
      </c>
      <c r="B1043" s="10">
        <f>IF($A1043="","",Ремонты!A150)</f>
        <v/>
      </c>
      <c r="C1043" s="10">
        <f>IF($A1043="","",Ремонты!D150)</f>
        <v/>
      </c>
      <c r="D1043" s="10">
        <f>IF($A1043="","",Ремонты!E150)</f>
        <v/>
      </c>
      <c r="E1043" s="10">
        <f>IF($A1043="","","Входной контроль")</f>
        <v/>
      </c>
      <c r="F1043" s="10">
        <f>IF($A1043="","",Ремонты!T150)</f>
        <v/>
      </c>
      <c r="G1043" s="10">
        <f>IF($A1043="","","Автозапись из листа Ремонты")</f>
        <v/>
      </c>
    </row>
    <row r="1044">
      <c r="A1044" s="12">
        <f>IF(Ремонты!S150="","",Ремонты!S150)</f>
        <v/>
      </c>
      <c r="B1044" s="10">
        <f>IF($A1044="","",Ремонты!A150)</f>
        <v/>
      </c>
      <c r="C1044" s="10">
        <f>IF($A1044="","",Ремонты!D150)</f>
        <v/>
      </c>
      <c r="D1044" s="10">
        <f>IF($A1044="","",Ремонты!E150)</f>
        <v/>
      </c>
      <c r="E1044" s="10">
        <f>IF($A1044="","","Оплата")</f>
        <v/>
      </c>
      <c r="F1044" s="10">
        <f>IF($A1044="","",Ремонты!T150)</f>
        <v/>
      </c>
      <c r="G1044" s="10">
        <f>IF($A1044="","","Автозапись из листа Ремонты")</f>
        <v/>
      </c>
    </row>
    <row r="1045">
      <c r="A1045" s="12">
        <f>IF(Ремонты!G151="","",Ремонты!G151)</f>
        <v/>
      </c>
      <c r="B1045" s="10">
        <f>IF($A1045="","",Ремонты!A151)</f>
        <v/>
      </c>
      <c r="C1045" s="10">
        <f>IF($A1045="","",Ремонты!D151)</f>
        <v/>
      </c>
      <c r="D1045" s="10">
        <f>IF($A1045="","",Ремонты!E151)</f>
        <v/>
      </c>
      <c r="E1045" s="10">
        <f>IF($A1045="","","Отправка в ремонт")</f>
        <v/>
      </c>
      <c r="F1045" s="10">
        <f>IF($A1045="","",Ремонты!T151)</f>
        <v/>
      </c>
      <c r="G1045" s="10">
        <f>IF($A1045="","","Автозапись из листа Ремонты")</f>
        <v/>
      </c>
    </row>
    <row r="1046">
      <c r="A1046" s="12">
        <f>IF(Ремонты!I151="","",Ремонты!I151)</f>
        <v/>
      </c>
      <c r="B1046" s="10">
        <f>IF($A1046="","",Ремонты!A151)</f>
        <v/>
      </c>
      <c r="C1046" s="10">
        <f>IF($A1046="","",Ремонты!D151)</f>
        <v/>
      </c>
      <c r="D1046" s="10">
        <f>IF($A1046="","",Ремонты!E151)</f>
        <v/>
      </c>
      <c r="E1046" s="10">
        <f>IF($A1046="","","Отправка из ремонта")</f>
        <v/>
      </c>
      <c r="F1046" s="10">
        <f>IF($A1046="","",Ремонты!T151)</f>
        <v/>
      </c>
      <c r="G1046" s="10">
        <f>IF($A1046="","","Автозапись из листа Ремонты")</f>
        <v/>
      </c>
    </row>
    <row r="1047">
      <c r="A1047" s="12">
        <f>IF(Ремонты!J151="","",Ремонты!J151)</f>
        <v/>
      </c>
      <c r="B1047" s="10">
        <f>IF($A1047="","",Ремонты!A151)</f>
        <v/>
      </c>
      <c r="C1047" s="10">
        <f>IF($A1047="","",Ремонты!D151)</f>
        <v/>
      </c>
      <c r="D1047" s="10">
        <f>IF($A1047="","",Ремонты!E151)</f>
        <v/>
      </c>
      <c r="E1047" s="10">
        <f>IF($A1047="","","Отправка из Иркутска")</f>
        <v/>
      </c>
      <c r="F1047" s="10">
        <f>IF($A1047="","",Ремонты!T151)</f>
        <v/>
      </c>
      <c r="G1047" s="10">
        <f>IF($A1047="","","Автозапись из листа Ремонты")</f>
        <v/>
      </c>
    </row>
    <row r="1048">
      <c r="A1048" s="12">
        <f>IF(Ремонты!K151="","",Ремонты!K151)</f>
        <v/>
      </c>
      <c r="B1048" s="10">
        <f>IF($A1048="","",Ремонты!A151)</f>
        <v/>
      </c>
      <c r="C1048" s="10">
        <f>IF($A1048="","",Ремонты!D151)</f>
        <v/>
      </c>
      <c r="D1048" s="10">
        <f>IF($A1048="","",Ремонты!E151)</f>
        <v/>
      </c>
      <c r="E1048" s="10">
        <f>IF($A1048="","","Прибытие в Ленск")</f>
        <v/>
      </c>
      <c r="F1048" s="10">
        <f>IF($A1048="","",Ремонты!T151)</f>
        <v/>
      </c>
      <c r="G1048" s="10">
        <f>IF($A1048="","","Автозапись из листа Ремонты")</f>
        <v/>
      </c>
    </row>
    <row r="1049">
      <c r="A1049" s="12">
        <f>IF(Ремонты!M151="","",Ремонты!M151)</f>
        <v/>
      </c>
      <c r="B1049" s="10">
        <f>IF($A1049="","",Ремонты!A151)</f>
        <v/>
      </c>
      <c r="C1049" s="10">
        <f>IF($A1049="","",Ремонты!D151)</f>
        <v/>
      </c>
      <c r="D1049" s="10">
        <f>IF($A1049="","",Ремонты!E151)</f>
        <v/>
      </c>
      <c r="E1049" s="10">
        <f>IF($A1049="","","Фактическое получение")</f>
        <v/>
      </c>
      <c r="F1049" s="10">
        <f>IF($A1049="","",Ремонты!T151)</f>
        <v/>
      </c>
      <c r="G1049" s="10">
        <f>IF($A1049="","","Автозапись из листа Ремонты")</f>
        <v/>
      </c>
    </row>
    <row r="1050">
      <c r="A1050" s="12">
        <f>IF(Ремонты!P151="","",Ремонты!P151)</f>
        <v/>
      </c>
      <c r="B1050" s="10">
        <f>IF($A1050="","",Ремонты!A151)</f>
        <v/>
      </c>
      <c r="C1050" s="10">
        <f>IF($A1050="","",Ремонты!D151)</f>
        <v/>
      </c>
      <c r="D1050" s="10">
        <f>IF($A1050="","",Ремонты!E151)</f>
        <v/>
      </c>
      <c r="E1050" s="10">
        <f>IF($A1050="","","Входной контроль")</f>
        <v/>
      </c>
      <c r="F1050" s="10">
        <f>IF($A1050="","",Ремонты!T151)</f>
        <v/>
      </c>
      <c r="G1050" s="10">
        <f>IF($A1050="","","Автозапись из листа Ремонты")</f>
        <v/>
      </c>
    </row>
    <row r="1051">
      <c r="A1051" s="12">
        <f>IF(Ремонты!S151="","",Ремонты!S151)</f>
        <v/>
      </c>
      <c r="B1051" s="10">
        <f>IF($A1051="","",Ремонты!A151)</f>
        <v/>
      </c>
      <c r="C1051" s="10">
        <f>IF($A1051="","",Ремонты!D151)</f>
        <v/>
      </c>
      <c r="D1051" s="10">
        <f>IF($A1051="","",Ремонты!E151)</f>
        <v/>
      </c>
      <c r="E1051" s="10">
        <f>IF($A1051="","","Оплата")</f>
        <v/>
      </c>
      <c r="F1051" s="10">
        <f>IF($A1051="","",Ремонты!T151)</f>
        <v/>
      </c>
      <c r="G1051" s="10">
        <f>IF($A1051="","","Автозапись из листа Ремонты")</f>
        <v/>
      </c>
    </row>
    <row r="1052">
      <c r="A1052" s="12">
        <f>IF(Ремонты!G152="","",Ремонты!G152)</f>
        <v/>
      </c>
      <c r="B1052" s="10">
        <f>IF($A1052="","",Ремонты!A152)</f>
        <v/>
      </c>
      <c r="C1052" s="10">
        <f>IF($A1052="","",Ремонты!D152)</f>
        <v/>
      </c>
      <c r="D1052" s="10">
        <f>IF($A1052="","",Ремонты!E152)</f>
        <v/>
      </c>
      <c r="E1052" s="10">
        <f>IF($A1052="","","Отправка в ремонт")</f>
        <v/>
      </c>
      <c r="F1052" s="10">
        <f>IF($A1052="","",Ремонты!T152)</f>
        <v/>
      </c>
      <c r="G1052" s="10">
        <f>IF($A1052="","","Автозапись из листа Ремонты")</f>
        <v/>
      </c>
    </row>
    <row r="1053">
      <c r="A1053" s="12">
        <f>IF(Ремонты!I152="","",Ремонты!I152)</f>
        <v/>
      </c>
      <c r="B1053" s="10">
        <f>IF($A1053="","",Ремонты!A152)</f>
        <v/>
      </c>
      <c r="C1053" s="10">
        <f>IF($A1053="","",Ремонты!D152)</f>
        <v/>
      </c>
      <c r="D1053" s="10">
        <f>IF($A1053="","",Ремонты!E152)</f>
        <v/>
      </c>
      <c r="E1053" s="10">
        <f>IF($A1053="","","Отправка из ремонта")</f>
        <v/>
      </c>
      <c r="F1053" s="10">
        <f>IF($A1053="","",Ремонты!T152)</f>
        <v/>
      </c>
      <c r="G1053" s="10">
        <f>IF($A1053="","","Автозапись из листа Ремонты")</f>
        <v/>
      </c>
    </row>
    <row r="1054">
      <c r="A1054" s="12">
        <f>IF(Ремонты!J152="","",Ремонты!J152)</f>
        <v/>
      </c>
      <c r="B1054" s="10">
        <f>IF($A1054="","",Ремонты!A152)</f>
        <v/>
      </c>
      <c r="C1054" s="10">
        <f>IF($A1054="","",Ремонты!D152)</f>
        <v/>
      </c>
      <c r="D1054" s="10">
        <f>IF($A1054="","",Ремонты!E152)</f>
        <v/>
      </c>
      <c r="E1054" s="10">
        <f>IF($A1054="","","Отправка из Иркутска")</f>
        <v/>
      </c>
      <c r="F1054" s="10">
        <f>IF($A1054="","",Ремонты!T152)</f>
        <v/>
      </c>
      <c r="G1054" s="10">
        <f>IF($A1054="","","Автозапись из листа Ремонты")</f>
        <v/>
      </c>
    </row>
    <row r="1055">
      <c r="A1055" s="12">
        <f>IF(Ремонты!K152="","",Ремонты!K152)</f>
        <v/>
      </c>
      <c r="B1055" s="10">
        <f>IF($A1055="","",Ремонты!A152)</f>
        <v/>
      </c>
      <c r="C1055" s="10">
        <f>IF($A1055="","",Ремонты!D152)</f>
        <v/>
      </c>
      <c r="D1055" s="10">
        <f>IF($A1055="","",Ремонты!E152)</f>
        <v/>
      </c>
      <c r="E1055" s="10">
        <f>IF($A1055="","","Прибытие в Ленск")</f>
        <v/>
      </c>
      <c r="F1055" s="10">
        <f>IF($A1055="","",Ремонты!T152)</f>
        <v/>
      </c>
      <c r="G1055" s="10">
        <f>IF($A1055="","","Автозапись из листа Ремонты")</f>
        <v/>
      </c>
    </row>
    <row r="1056">
      <c r="A1056" s="12">
        <f>IF(Ремонты!M152="","",Ремонты!M152)</f>
        <v/>
      </c>
      <c r="B1056" s="10">
        <f>IF($A1056="","",Ремонты!A152)</f>
        <v/>
      </c>
      <c r="C1056" s="10">
        <f>IF($A1056="","",Ремонты!D152)</f>
        <v/>
      </c>
      <c r="D1056" s="10">
        <f>IF($A1056="","",Ремонты!E152)</f>
        <v/>
      </c>
      <c r="E1056" s="10">
        <f>IF($A1056="","","Фактическое получение")</f>
        <v/>
      </c>
      <c r="F1056" s="10">
        <f>IF($A1056="","",Ремонты!T152)</f>
        <v/>
      </c>
      <c r="G1056" s="10">
        <f>IF($A1056="","","Автозапись из листа Ремонты")</f>
        <v/>
      </c>
    </row>
    <row r="1057">
      <c r="A1057" s="12">
        <f>IF(Ремонты!P152="","",Ремонты!P152)</f>
        <v/>
      </c>
      <c r="B1057" s="10">
        <f>IF($A1057="","",Ремонты!A152)</f>
        <v/>
      </c>
      <c r="C1057" s="10">
        <f>IF($A1057="","",Ремонты!D152)</f>
        <v/>
      </c>
      <c r="D1057" s="10">
        <f>IF($A1057="","",Ремонты!E152)</f>
        <v/>
      </c>
      <c r="E1057" s="10">
        <f>IF($A1057="","","Входной контроль")</f>
        <v/>
      </c>
      <c r="F1057" s="10">
        <f>IF($A1057="","",Ремонты!T152)</f>
        <v/>
      </c>
      <c r="G1057" s="10">
        <f>IF($A1057="","","Автозапись из листа Ремонты")</f>
        <v/>
      </c>
    </row>
    <row r="1058">
      <c r="A1058" s="12">
        <f>IF(Ремонты!S152="","",Ремонты!S152)</f>
        <v/>
      </c>
      <c r="B1058" s="10">
        <f>IF($A1058="","",Ремонты!A152)</f>
        <v/>
      </c>
      <c r="C1058" s="10">
        <f>IF($A1058="","",Ремонты!D152)</f>
        <v/>
      </c>
      <c r="D1058" s="10">
        <f>IF($A1058="","",Ремонты!E152)</f>
        <v/>
      </c>
      <c r="E1058" s="10">
        <f>IF($A1058="","","Оплата")</f>
        <v/>
      </c>
      <c r="F1058" s="10">
        <f>IF($A1058="","",Ремонты!T152)</f>
        <v/>
      </c>
      <c r="G1058" s="10">
        <f>IF($A1058="","","Автозапись из листа Ремонты")</f>
        <v/>
      </c>
    </row>
    <row r="1059">
      <c r="A1059" s="12">
        <f>IF(Ремонты!G153="","",Ремонты!G153)</f>
        <v/>
      </c>
      <c r="B1059" s="10">
        <f>IF($A1059="","",Ремонты!A153)</f>
        <v/>
      </c>
      <c r="C1059" s="10">
        <f>IF($A1059="","",Ремонты!D153)</f>
        <v/>
      </c>
      <c r="D1059" s="10">
        <f>IF($A1059="","",Ремонты!E153)</f>
        <v/>
      </c>
      <c r="E1059" s="10">
        <f>IF($A1059="","","Отправка в ремонт")</f>
        <v/>
      </c>
      <c r="F1059" s="10">
        <f>IF($A1059="","",Ремонты!T153)</f>
        <v/>
      </c>
      <c r="G1059" s="10">
        <f>IF($A1059="","","Автозапись из листа Ремонты")</f>
        <v/>
      </c>
    </row>
    <row r="1060">
      <c r="A1060" s="12">
        <f>IF(Ремонты!I153="","",Ремонты!I153)</f>
        <v/>
      </c>
      <c r="B1060" s="10">
        <f>IF($A1060="","",Ремонты!A153)</f>
        <v/>
      </c>
      <c r="C1060" s="10">
        <f>IF($A1060="","",Ремонты!D153)</f>
        <v/>
      </c>
      <c r="D1060" s="10">
        <f>IF($A1060="","",Ремонты!E153)</f>
        <v/>
      </c>
      <c r="E1060" s="10">
        <f>IF($A1060="","","Отправка из ремонта")</f>
        <v/>
      </c>
      <c r="F1060" s="10">
        <f>IF($A1060="","",Ремонты!T153)</f>
        <v/>
      </c>
      <c r="G1060" s="10">
        <f>IF($A1060="","","Автозапись из листа Ремонты")</f>
        <v/>
      </c>
    </row>
    <row r="1061">
      <c r="A1061" s="12">
        <f>IF(Ремонты!J153="","",Ремонты!J153)</f>
        <v/>
      </c>
      <c r="B1061" s="10">
        <f>IF($A1061="","",Ремонты!A153)</f>
        <v/>
      </c>
      <c r="C1061" s="10">
        <f>IF($A1061="","",Ремонты!D153)</f>
        <v/>
      </c>
      <c r="D1061" s="10">
        <f>IF($A1061="","",Ремонты!E153)</f>
        <v/>
      </c>
      <c r="E1061" s="10">
        <f>IF($A1061="","","Отправка из Иркутска")</f>
        <v/>
      </c>
      <c r="F1061" s="10">
        <f>IF($A1061="","",Ремонты!T153)</f>
        <v/>
      </c>
      <c r="G1061" s="10">
        <f>IF($A1061="","","Автозапись из листа Ремонты")</f>
        <v/>
      </c>
    </row>
    <row r="1062">
      <c r="A1062" s="12">
        <f>IF(Ремонты!K153="","",Ремонты!K153)</f>
        <v/>
      </c>
      <c r="B1062" s="10">
        <f>IF($A1062="","",Ремонты!A153)</f>
        <v/>
      </c>
      <c r="C1062" s="10">
        <f>IF($A1062="","",Ремонты!D153)</f>
        <v/>
      </c>
      <c r="D1062" s="10">
        <f>IF($A1062="","",Ремонты!E153)</f>
        <v/>
      </c>
      <c r="E1062" s="10">
        <f>IF($A1062="","","Прибытие в Ленск")</f>
        <v/>
      </c>
      <c r="F1062" s="10">
        <f>IF($A1062="","",Ремонты!T153)</f>
        <v/>
      </c>
      <c r="G1062" s="10">
        <f>IF($A1062="","","Автозапись из листа Ремонты")</f>
        <v/>
      </c>
    </row>
    <row r="1063">
      <c r="A1063" s="12">
        <f>IF(Ремонты!M153="","",Ремонты!M153)</f>
        <v/>
      </c>
      <c r="B1063" s="10">
        <f>IF($A1063="","",Ремонты!A153)</f>
        <v/>
      </c>
      <c r="C1063" s="10">
        <f>IF($A1063="","",Ремонты!D153)</f>
        <v/>
      </c>
      <c r="D1063" s="10">
        <f>IF($A1063="","",Ремонты!E153)</f>
        <v/>
      </c>
      <c r="E1063" s="10">
        <f>IF($A1063="","","Фактическое получение")</f>
        <v/>
      </c>
      <c r="F1063" s="10">
        <f>IF($A1063="","",Ремонты!T153)</f>
        <v/>
      </c>
      <c r="G1063" s="10">
        <f>IF($A1063="","","Автозапись из листа Ремонты")</f>
        <v/>
      </c>
    </row>
    <row r="1064">
      <c r="A1064" s="12">
        <f>IF(Ремонты!P153="","",Ремонты!P153)</f>
        <v/>
      </c>
      <c r="B1064" s="10">
        <f>IF($A1064="","",Ремонты!A153)</f>
        <v/>
      </c>
      <c r="C1064" s="10">
        <f>IF($A1064="","",Ремонты!D153)</f>
        <v/>
      </c>
      <c r="D1064" s="10">
        <f>IF($A1064="","",Ремонты!E153)</f>
        <v/>
      </c>
      <c r="E1064" s="10">
        <f>IF($A1064="","","Входной контроль")</f>
        <v/>
      </c>
      <c r="F1064" s="10">
        <f>IF($A1064="","",Ремонты!T153)</f>
        <v/>
      </c>
      <c r="G1064" s="10">
        <f>IF($A1064="","","Автозапись из листа Ремонты")</f>
        <v/>
      </c>
    </row>
    <row r="1065">
      <c r="A1065" s="12">
        <f>IF(Ремонты!S153="","",Ремонты!S153)</f>
        <v/>
      </c>
      <c r="B1065" s="10">
        <f>IF($A1065="","",Ремонты!A153)</f>
        <v/>
      </c>
      <c r="C1065" s="10">
        <f>IF($A1065="","",Ремонты!D153)</f>
        <v/>
      </c>
      <c r="D1065" s="10">
        <f>IF($A1065="","",Ремонты!E153)</f>
        <v/>
      </c>
      <c r="E1065" s="10">
        <f>IF($A1065="","","Оплата")</f>
        <v/>
      </c>
      <c r="F1065" s="10">
        <f>IF($A1065="","",Ремонты!T153)</f>
        <v/>
      </c>
      <c r="G1065" s="10">
        <f>IF($A1065="","","Автозапись из листа Ремонты")</f>
        <v/>
      </c>
    </row>
    <row r="1066">
      <c r="A1066" s="12">
        <f>IF(Ремонты!G154="","",Ремонты!G154)</f>
        <v/>
      </c>
      <c r="B1066" s="10">
        <f>IF($A1066="","",Ремонты!A154)</f>
        <v/>
      </c>
      <c r="C1066" s="10">
        <f>IF($A1066="","",Ремонты!D154)</f>
        <v/>
      </c>
      <c r="D1066" s="10">
        <f>IF($A1066="","",Ремонты!E154)</f>
        <v/>
      </c>
      <c r="E1066" s="10">
        <f>IF($A1066="","","Отправка в ремонт")</f>
        <v/>
      </c>
      <c r="F1066" s="10">
        <f>IF($A1066="","",Ремонты!T154)</f>
        <v/>
      </c>
      <c r="G1066" s="10">
        <f>IF($A1066="","","Автозапись из листа Ремонты")</f>
        <v/>
      </c>
    </row>
    <row r="1067">
      <c r="A1067" s="12">
        <f>IF(Ремонты!I154="","",Ремонты!I154)</f>
        <v/>
      </c>
      <c r="B1067" s="10">
        <f>IF($A1067="","",Ремонты!A154)</f>
        <v/>
      </c>
      <c r="C1067" s="10">
        <f>IF($A1067="","",Ремонты!D154)</f>
        <v/>
      </c>
      <c r="D1067" s="10">
        <f>IF($A1067="","",Ремонты!E154)</f>
        <v/>
      </c>
      <c r="E1067" s="10">
        <f>IF($A1067="","","Отправка из ремонта")</f>
        <v/>
      </c>
      <c r="F1067" s="10">
        <f>IF($A1067="","",Ремонты!T154)</f>
        <v/>
      </c>
      <c r="G1067" s="10">
        <f>IF($A1067="","","Автозапись из листа Ремонты")</f>
        <v/>
      </c>
    </row>
    <row r="1068">
      <c r="A1068" s="12">
        <f>IF(Ремонты!J154="","",Ремонты!J154)</f>
        <v/>
      </c>
      <c r="B1068" s="10">
        <f>IF($A1068="","",Ремонты!A154)</f>
        <v/>
      </c>
      <c r="C1068" s="10">
        <f>IF($A1068="","",Ремонты!D154)</f>
        <v/>
      </c>
      <c r="D1068" s="10">
        <f>IF($A1068="","",Ремонты!E154)</f>
        <v/>
      </c>
      <c r="E1068" s="10">
        <f>IF($A1068="","","Отправка из Иркутска")</f>
        <v/>
      </c>
      <c r="F1068" s="10">
        <f>IF($A1068="","",Ремонты!T154)</f>
        <v/>
      </c>
      <c r="G1068" s="10">
        <f>IF($A1068="","","Автозапись из листа Ремонты")</f>
        <v/>
      </c>
    </row>
    <row r="1069">
      <c r="A1069" s="12">
        <f>IF(Ремонты!K154="","",Ремонты!K154)</f>
        <v/>
      </c>
      <c r="B1069" s="10">
        <f>IF($A1069="","",Ремонты!A154)</f>
        <v/>
      </c>
      <c r="C1069" s="10">
        <f>IF($A1069="","",Ремонты!D154)</f>
        <v/>
      </c>
      <c r="D1069" s="10">
        <f>IF($A1069="","",Ремонты!E154)</f>
        <v/>
      </c>
      <c r="E1069" s="10">
        <f>IF($A1069="","","Прибытие в Ленск")</f>
        <v/>
      </c>
      <c r="F1069" s="10">
        <f>IF($A1069="","",Ремонты!T154)</f>
        <v/>
      </c>
      <c r="G1069" s="10">
        <f>IF($A1069="","","Автозапись из листа Ремонты")</f>
        <v/>
      </c>
    </row>
    <row r="1070">
      <c r="A1070" s="12">
        <f>IF(Ремонты!M154="","",Ремонты!M154)</f>
        <v/>
      </c>
      <c r="B1070" s="10">
        <f>IF($A1070="","",Ремонты!A154)</f>
        <v/>
      </c>
      <c r="C1070" s="10">
        <f>IF($A1070="","",Ремонты!D154)</f>
        <v/>
      </c>
      <c r="D1070" s="10">
        <f>IF($A1070="","",Ремонты!E154)</f>
        <v/>
      </c>
      <c r="E1070" s="10">
        <f>IF($A1070="","","Фактическое получение")</f>
        <v/>
      </c>
      <c r="F1070" s="10">
        <f>IF($A1070="","",Ремонты!T154)</f>
        <v/>
      </c>
      <c r="G1070" s="10">
        <f>IF($A1070="","","Автозапись из листа Ремонты")</f>
        <v/>
      </c>
    </row>
    <row r="1071">
      <c r="A1071" s="12">
        <f>IF(Ремонты!P154="","",Ремонты!P154)</f>
        <v/>
      </c>
      <c r="B1071" s="10">
        <f>IF($A1071="","",Ремонты!A154)</f>
        <v/>
      </c>
      <c r="C1071" s="10">
        <f>IF($A1071="","",Ремонты!D154)</f>
        <v/>
      </c>
      <c r="D1071" s="10">
        <f>IF($A1071="","",Ремонты!E154)</f>
        <v/>
      </c>
      <c r="E1071" s="10">
        <f>IF($A1071="","","Входной контроль")</f>
        <v/>
      </c>
      <c r="F1071" s="10">
        <f>IF($A1071="","",Ремонты!T154)</f>
        <v/>
      </c>
      <c r="G1071" s="10">
        <f>IF($A1071="","","Автозапись из листа Ремонты")</f>
        <v/>
      </c>
    </row>
    <row r="1072">
      <c r="A1072" s="12">
        <f>IF(Ремонты!S154="","",Ремонты!S154)</f>
        <v/>
      </c>
      <c r="B1072" s="10">
        <f>IF($A1072="","",Ремонты!A154)</f>
        <v/>
      </c>
      <c r="C1072" s="10">
        <f>IF($A1072="","",Ремонты!D154)</f>
        <v/>
      </c>
      <c r="D1072" s="10">
        <f>IF($A1072="","",Ремонты!E154)</f>
        <v/>
      </c>
      <c r="E1072" s="10">
        <f>IF($A1072="","","Оплата")</f>
        <v/>
      </c>
      <c r="F1072" s="10">
        <f>IF($A1072="","",Ремонты!T154)</f>
        <v/>
      </c>
      <c r="G1072" s="10">
        <f>IF($A1072="","","Автозапись из листа Ремонты")</f>
        <v/>
      </c>
    </row>
    <row r="1073">
      <c r="A1073" s="12">
        <f>IF(Ремонты!G155="","",Ремонты!G155)</f>
        <v/>
      </c>
      <c r="B1073" s="10">
        <f>IF($A1073="","",Ремонты!A155)</f>
        <v/>
      </c>
      <c r="C1073" s="10">
        <f>IF($A1073="","",Ремонты!D155)</f>
        <v/>
      </c>
      <c r="D1073" s="10">
        <f>IF($A1073="","",Ремонты!E155)</f>
        <v/>
      </c>
      <c r="E1073" s="10">
        <f>IF($A1073="","","Отправка в ремонт")</f>
        <v/>
      </c>
      <c r="F1073" s="10">
        <f>IF($A1073="","",Ремонты!T155)</f>
        <v/>
      </c>
      <c r="G1073" s="10">
        <f>IF($A1073="","","Автозапись из листа Ремонты")</f>
        <v/>
      </c>
    </row>
    <row r="1074">
      <c r="A1074" s="12">
        <f>IF(Ремонты!I155="","",Ремонты!I155)</f>
        <v/>
      </c>
      <c r="B1074" s="10">
        <f>IF($A1074="","",Ремонты!A155)</f>
        <v/>
      </c>
      <c r="C1074" s="10">
        <f>IF($A1074="","",Ремонты!D155)</f>
        <v/>
      </c>
      <c r="D1074" s="10">
        <f>IF($A1074="","",Ремонты!E155)</f>
        <v/>
      </c>
      <c r="E1074" s="10">
        <f>IF($A1074="","","Отправка из ремонта")</f>
        <v/>
      </c>
      <c r="F1074" s="10">
        <f>IF($A1074="","",Ремонты!T155)</f>
        <v/>
      </c>
      <c r="G1074" s="10">
        <f>IF($A1074="","","Автозапись из листа Ремонты")</f>
        <v/>
      </c>
    </row>
    <row r="1075">
      <c r="A1075" s="12">
        <f>IF(Ремонты!J155="","",Ремонты!J155)</f>
        <v/>
      </c>
      <c r="B1075" s="10">
        <f>IF($A1075="","",Ремонты!A155)</f>
        <v/>
      </c>
      <c r="C1075" s="10">
        <f>IF($A1075="","",Ремонты!D155)</f>
        <v/>
      </c>
      <c r="D1075" s="10">
        <f>IF($A1075="","",Ремонты!E155)</f>
        <v/>
      </c>
      <c r="E1075" s="10">
        <f>IF($A1075="","","Отправка из Иркутска")</f>
        <v/>
      </c>
      <c r="F1075" s="10">
        <f>IF($A1075="","",Ремонты!T155)</f>
        <v/>
      </c>
      <c r="G1075" s="10">
        <f>IF($A1075="","","Автозапись из листа Ремонты")</f>
        <v/>
      </c>
    </row>
    <row r="1076">
      <c r="A1076" s="12">
        <f>IF(Ремонты!K155="","",Ремонты!K155)</f>
        <v/>
      </c>
      <c r="B1076" s="10">
        <f>IF($A1076="","",Ремонты!A155)</f>
        <v/>
      </c>
      <c r="C1076" s="10">
        <f>IF($A1076="","",Ремонты!D155)</f>
        <v/>
      </c>
      <c r="D1076" s="10">
        <f>IF($A1076="","",Ремонты!E155)</f>
        <v/>
      </c>
      <c r="E1076" s="10">
        <f>IF($A1076="","","Прибытие в Ленск")</f>
        <v/>
      </c>
      <c r="F1076" s="10">
        <f>IF($A1076="","",Ремонты!T155)</f>
        <v/>
      </c>
      <c r="G1076" s="10">
        <f>IF($A1076="","","Автозапись из листа Ремонты")</f>
        <v/>
      </c>
    </row>
    <row r="1077">
      <c r="A1077" s="12">
        <f>IF(Ремонты!M155="","",Ремонты!M155)</f>
        <v/>
      </c>
      <c r="B1077" s="10">
        <f>IF($A1077="","",Ремонты!A155)</f>
        <v/>
      </c>
      <c r="C1077" s="10">
        <f>IF($A1077="","",Ремонты!D155)</f>
        <v/>
      </c>
      <c r="D1077" s="10">
        <f>IF($A1077="","",Ремонты!E155)</f>
        <v/>
      </c>
      <c r="E1077" s="10">
        <f>IF($A1077="","","Фактическое получение")</f>
        <v/>
      </c>
      <c r="F1077" s="10">
        <f>IF($A1077="","",Ремонты!T155)</f>
        <v/>
      </c>
      <c r="G1077" s="10">
        <f>IF($A1077="","","Автозапись из листа Ремонты")</f>
        <v/>
      </c>
    </row>
    <row r="1078">
      <c r="A1078" s="12">
        <f>IF(Ремонты!P155="","",Ремонты!P155)</f>
        <v/>
      </c>
      <c r="B1078" s="10">
        <f>IF($A1078="","",Ремонты!A155)</f>
        <v/>
      </c>
      <c r="C1078" s="10">
        <f>IF($A1078="","",Ремонты!D155)</f>
        <v/>
      </c>
      <c r="D1078" s="10">
        <f>IF($A1078="","",Ремонты!E155)</f>
        <v/>
      </c>
      <c r="E1078" s="10">
        <f>IF($A1078="","","Входной контроль")</f>
        <v/>
      </c>
      <c r="F1078" s="10">
        <f>IF($A1078="","",Ремонты!T155)</f>
        <v/>
      </c>
      <c r="G1078" s="10">
        <f>IF($A1078="","","Автозапись из листа Ремонты")</f>
        <v/>
      </c>
    </row>
    <row r="1079">
      <c r="A1079" s="12">
        <f>IF(Ремонты!S155="","",Ремонты!S155)</f>
        <v/>
      </c>
      <c r="B1079" s="10">
        <f>IF($A1079="","",Ремонты!A155)</f>
        <v/>
      </c>
      <c r="C1079" s="10">
        <f>IF($A1079="","",Ремонты!D155)</f>
        <v/>
      </c>
      <c r="D1079" s="10">
        <f>IF($A1079="","",Ремонты!E155)</f>
        <v/>
      </c>
      <c r="E1079" s="10">
        <f>IF($A1079="","","Оплата")</f>
        <v/>
      </c>
      <c r="F1079" s="10">
        <f>IF($A1079="","",Ремонты!T155)</f>
        <v/>
      </c>
      <c r="G1079" s="10">
        <f>IF($A1079="","","Автозапись из листа Ремонты")</f>
        <v/>
      </c>
    </row>
    <row r="1080">
      <c r="A1080" s="12">
        <f>IF(Ремонты!G156="","",Ремонты!G156)</f>
        <v/>
      </c>
      <c r="B1080" s="10">
        <f>IF($A1080="","",Ремонты!A156)</f>
        <v/>
      </c>
      <c r="C1080" s="10">
        <f>IF($A1080="","",Ремонты!D156)</f>
        <v/>
      </c>
      <c r="D1080" s="10">
        <f>IF($A1080="","",Ремонты!E156)</f>
        <v/>
      </c>
      <c r="E1080" s="10">
        <f>IF($A1080="","","Отправка в ремонт")</f>
        <v/>
      </c>
      <c r="F1080" s="10">
        <f>IF($A1080="","",Ремонты!T156)</f>
        <v/>
      </c>
      <c r="G1080" s="10">
        <f>IF($A1080="","","Автозапись из листа Ремонты")</f>
        <v/>
      </c>
    </row>
    <row r="1081">
      <c r="A1081" s="12">
        <f>IF(Ремонты!I156="","",Ремонты!I156)</f>
        <v/>
      </c>
      <c r="B1081" s="10">
        <f>IF($A1081="","",Ремонты!A156)</f>
        <v/>
      </c>
      <c r="C1081" s="10">
        <f>IF($A1081="","",Ремонты!D156)</f>
        <v/>
      </c>
      <c r="D1081" s="10">
        <f>IF($A1081="","",Ремонты!E156)</f>
        <v/>
      </c>
      <c r="E1081" s="10">
        <f>IF($A1081="","","Отправка из ремонта")</f>
        <v/>
      </c>
      <c r="F1081" s="10">
        <f>IF($A1081="","",Ремонты!T156)</f>
        <v/>
      </c>
      <c r="G1081" s="10">
        <f>IF($A1081="","","Автозапись из листа Ремонты")</f>
        <v/>
      </c>
    </row>
    <row r="1082">
      <c r="A1082" s="12">
        <f>IF(Ремонты!J156="","",Ремонты!J156)</f>
        <v/>
      </c>
      <c r="B1082" s="10">
        <f>IF($A1082="","",Ремонты!A156)</f>
        <v/>
      </c>
      <c r="C1082" s="10">
        <f>IF($A1082="","",Ремонты!D156)</f>
        <v/>
      </c>
      <c r="D1082" s="10">
        <f>IF($A1082="","",Ремонты!E156)</f>
        <v/>
      </c>
      <c r="E1082" s="10">
        <f>IF($A1082="","","Отправка из Иркутска")</f>
        <v/>
      </c>
      <c r="F1082" s="10">
        <f>IF($A1082="","",Ремонты!T156)</f>
        <v/>
      </c>
      <c r="G1082" s="10">
        <f>IF($A1082="","","Автозапись из листа Ремонты")</f>
        <v/>
      </c>
    </row>
    <row r="1083">
      <c r="A1083" s="12">
        <f>IF(Ремонты!K156="","",Ремонты!K156)</f>
        <v/>
      </c>
      <c r="B1083" s="10">
        <f>IF($A1083="","",Ремонты!A156)</f>
        <v/>
      </c>
      <c r="C1083" s="10">
        <f>IF($A1083="","",Ремонты!D156)</f>
        <v/>
      </c>
      <c r="D1083" s="10">
        <f>IF($A1083="","",Ремонты!E156)</f>
        <v/>
      </c>
      <c r="E1083" s="10">
        <f>IF($A1083="","","Прибытие в Ленск")</f>
        <v/>
      </c>
      <c r="F1083" s="10">
        <f>IF($A1083="","",Ремонты!T156)</f>
        <v/>
      </c>
      <c r="G1083" s="10">
        <f>IF($A1083="","","Автозапись из листа Ремонты")</f>
        <v/>
      </c>
    </row>
    <row r="1084">
      <c r="A1084" s="12">
        <f>IF(Ремонты!M156="","",Ремонты!M156)</f>
        <v/>
      </c>
      <c r="B1084" s="10">
        <f>IF($A1084="","",Ремонты!A156)</f>
        <v/>
      </c>
      <c r="C1084" s="10">
        <f>IF($A1084="","",Ремонты!D156)</f>
        <v/>
      </c>
      <c r="D1084" s="10">
        <f>IF($A1084="","",Ремонты!E156)</f>
        <v/>
      </c>
      <c r="E1084" s="10">
        <f>IF($A1084="","","Фактическое получение")</f>
        <v/>
      </c>
      <c r="F1084" s="10">
        <f>IF($A1084="","",Ремонты!T156)</f>
        <v/>
      </c>
      <c r="G1084" s="10">
        <f>IF($A1084="","","Автозапись из листа Ремонты")</f>
        <v/>
      </c>
    </row>
    <row r="1085">
      <c r="A1085" s="12">
        <f>IF(Ремонты!P156="","",Ремонты!P156)</f>
        <v/>
      </c>
      <c r="B1085" s="10">
        <f>IF($A1085="","",Ремонты!A156)</f>
        <v/>
      </c>
      <c r="C1085" s="10">
        <f>IF($A1085="","",Ремонты!D156)</f>
        <v/>
      </c>
      <c r="D1085" s="10">
        <f>IF($A1085="","",Ремонты!E156)</f>
        <v/>
      </c>
      <c r="E1085" s="10">
        <f>IF($A1085="","","Входной контроль")</f>
        <v/>
      </c>
      <c r="F1085" s="10">
        <f>IF($A1085="","",Ремонты!T156)</f>
        <v/>
      </c>
      <c r="G1085" s="10">
        <f>IF($A1085="","","Автозапись из листа Ремонты")</f>
        <v/>
      </c>
    </row>
    <row r="1086">
      <c r="A1086" s="12">
        <f>IF(Ремонты!S156="","",Ремонты!S156)</f>
        <v/>
      </c>
      <c r="B1086" s="10">
        <f>IF($A1086="","",Ремонты!A156)</f>
        <v/>
      </c>
      <c r="C1086" s="10">
        <f>IF($A1086="","",Ремонты!D156)</f>
        <v/>
      </c>
      <c r="D1086" s="10">
        <f>IF($A1086="","",Ремонты!E156)</f>
        <v/>
      </c>
      <c r="E1086" s="10">
        <f>IF($A1086="","","Оплата")</f>
        <v/>
      </c>
      <c r="F1086" s="10">
        <f>IF($A1086="","",Ремонты!T156)</f>
        <v/>
      </c>
      <c r="G1086" s="10">
        <f>IF($A1086="","","Автозапись из листа Ремонты")</f>
        <v/>
      </c>
    </row>
    <row r="1087">
      <c r="A1087" s="12">
        <f>IF(Ремонты!G157="","",Ремонты!G157)</f>
        <v/>
      </c>
      <c r="B1087" s="10">
        <f>IF($A1087="","",Ремонты!A157)</f>
        <v/>
      </c>
      <c r="C1087" s="10">
        <f>IF($A1087="","",Ремонты!D157)</f>
        <v/>
      </c>
      <c r="D1087" s="10">
        <f>IF($A1087="","",Ремонты!E157)</f>
        <v/>
      </c>
      <c r="E1087" s="10">
        <f>IF($A1087="","","Отправка в ремонт")</f>
        <v/>
      </c>
      <c r="F1087" s="10">
        <f>IF($A1087="","",Ремонты!T157)</f>
        <v/>
      </c>
      <c r="G1087" s="10">
        <f>IF($A1087="","","Автозапись из листа Ремонты")</f>
        <v/>
      </c>
    </row>
    <row r="1088">
      <c r="A1088" s="12">
        <f>IF(Ремонты!I157="","",Ремонты!I157)</f>
        <v/>
      </c>
      <c r="B1088" s="10">
        <f>IF($A1088="","",Ремонты!A157)</f>
        <v/>
      </c>
      <c r="C1088" s="10">
        <f>IF($A1088="","",Ремонты!D157)</f>
        <v/>
      </c>
      <c r="D1088" s="10">
        <f>IF($A1088="","",Ремонты!E157)</f>
        <v/>
      </c>
      <c r="E1088" s="10">
        <f>IF($A1088="","","Отправка из ремонта")</f>
        <v/>
      </c>
      <c r="F1088" s="10">
        <f>IF($A1088="","",Ремонты!T157)</f>
        <v/>
      </c>
      <c r="G1088" s="10">
        <f>IF($A1088="","","Автозапись из листа Ремонты")</f>
        <v/>
      </c>
    </row>
    <row r="1089">
      <c r="A1089" s="12">
        <f>IF(Ремонты!J157="","",Ремонты!J157)</f>
        <v/>
      </c>
      <c r="B1089" s="10">
        <f>IF($A1089="","",Ремонты!A157)</f>
        <v/>
      </c>
      <c r="C1089" s="10">
        <f>IF($A1089="","",Ремонты!D157)</f>
        <v/>
      </c>
      <c r="D1089" s="10">
        <f>IF($A1089="","",Ремонты!E157)</f>
        <v/>
      </c>
      <c r="E1089" s="10">
        <f>IF($A1089="","","Отправка из Иркутска")</f>
        <v/>
      </c>
      <c r="F1089" s="10">
        <f>IF($A1089="","",Ремонты!T157)</f>
        <v/>
      </c>
      <c r="G1089" s="10">
        <f>IF($A1089="","","Автозапись из листа Ремонты")</f>
        <v/>
      </c>
    </row>
    <row r="1090">
      <c r="A1090" s="12">
        <f>IF(Ремонты!K157="","",Ремонты!K157)</f>
        <v/>
      </c>
      <c r="B1090" s="10">
        <f>IF($A1090="","",Ремонты!A157)</f>
        <v/>
      </c>
      <c r="C1090" s="10">
        <f>IF($A1090="","",Ремонты!D157)</f>
        <v/>
      </c>
      <c r="D1090" s="10">
        <f>IF($A1090="","",Ремонты!E157)</f>
        <v/>
      </c>
      <c r="E1090" s="10">
        <f>IF($A1090="","","Прибытие в Ленск")</f>
        <v/>
      </c>
      <c r="F1090" s="10">
        <f>IF($A1090="","",Ремонты!T157)</f>
        <v/>
      </c>
      <c r="G1090" s="10">
        <f>IF($A1090="","","Автозапись из листа Ремонты")</f>
        <v/>
      </c>
    </row>
    <row r="1091">
      <c r="A1091" s="12">
        <f>IF(Ремонты!M157="","",Ремонты!M157)</f>
        <v/>
      </c>
      <c r="B1091" s="10">
        <f>IF($A1091="","",Ремонты!A157)</f>
        <v/>
      </c>
      <c r="C1091" s="10">
        <f>IF($A1091="","",Ремонты!D157)</f>
        <v/>
      </c>
      <c r="D1091" s="10">
        <f>IF($A1091="","",Ремонты!E157)</f>
        <v/>
      </c>
      <c r="E1091" s="10">
        <f>IF($A1091="","","Фактическое получение")</f>
        <v/>
      </c>
      <c r="F1091" s="10">
        <f>IF($A1091="","",Ремонты!T157)</f>
        <v/>
      </c>
      <c r="G1091" s="10">
        <f>IF($A1091="","","Автозапись из листа Ремонты")</f>
        <v/>
      </c>
    </row>
    <row r="1092">
      <c r="A1092" s="12">
        <f>IF(Ремонты!P157="","",Ремонты!P157)</f>
        <v/>
      </c>
      <c r="B1092" s="10">
        <f>IF($A1092="","",Ремонты!A157)</f>
        <v/>
      </c>
      <c r="C1092" s="10">
        <f>IF($A1092="","",Ремонты!D157)</f>
        <v/>
      </c>
      <c r="D1092" s="10">
        <f>IF($A1092="","",Ремонты!E157)</f>
        <v/>
      </c>
      <c r="E1092" s="10">
        <f>IF($A1092="","","Входной контроль")</f>
        <v/>
      </c>
      <c r="F1092" s="10">
        <f>IF($A1092="","",Ремонты!T157)</f>
        <v/>
      </c>
      <c r="G1092" s="10">
        <f>IF($A1092="","","Автозапись из листа Ремонты")</f>
        <v/>
      </c>
    </row>
    <row r="1093">
      <c r="A1093" s="12">
        <f>IF(Ремонты!S157="","",Ремонты!S157)</f>
        <v/>
      </c>
      <c r="B1093" s="10">
        <f>IF($A1093="","",Ремонты!A157)</f>
        <v/>
      </c>
      <c r="C1093" s="10">
        <f>IF($A1093="","",Ремонты!D157)</f>
        <v/>
      </c>
      <c r="D1093" s="10">
        <f>IF($A1093="","",Ремонты!E157)</f>
        <v/>
      </c>
      <c r="E1093" s="10">
        <f>IF($A1093="","","Оплата")</f>
        <v/>
      </c>
      <c r="F1093" s="10">
        <f>IF($A1093="","",Ремонты!T157)</f>
        <v/>
      </c>
      <c r="G1093" s="10">
        <f>IF($A1093="","","Автозапись из листа Ремонты")</f>
        <v/>
      </c>
    </row>
    <row r="1094">
      <c r="A1094" s="12">
        <f>IF(Ремонты!G158="","",Ремонты!G158)</f>
        <v/>
      </c>
      <c r="B1094" s="10">
        <f>IF($A1094="","",Ремонты!A158)</f>
        <v/>
      </c>
      <c r="C1094" s="10">
        <f>IF($A1094="","",Ремонты!D158)</f>
        <v/>
      </c>
      <c r="D1094" s="10">
        <f>IF($A1094="","",Ремонты!E158)</f>
        <v/>
      </c>
      <c r="E1094" s="10">
        <f>IF($A1094="","","Отправка в ремонт")</f>
        <v/>
      </c>
      <c r="F1094" s="10">
        <f>IF($A1094="","",Ремонты!T158)</f>
        <v/>
      </c>
      <c r="G1094" s="10">
        <f>IF($A1094="","","Автозапись из листа Ремонты")</f>
        <v/>
      </c>
    </row>
    <row r="1095">
      <c r="A1095" s="12">
        <f>IF(Ремонты!I158="","",Ремонты!I158)</f>
        <v/>
      </c>
      <c r="B1095" s="10">
        <f>IF($A1095="","",Ремонты!A158)</f>
        <v/>
      </c>
      <c r="C1095" s="10">
        <f>IF($A1095="","",Ремонты!D158)</f>
        <v/>
      </c>
      <c r="D1095" s="10">
        <f>IF($A1095="","",Ремонты!E158)</f>
        <v/>
      </c>
      <c r="E1095" s="10">
        <f>IF($A1095="","","Отправка из ремонта")</f>
        <v/>
      </c>
      <c r="F1095" s="10">
        <f>IF($A1095="","",Ремонты!T158)</f>
        <v/>
      </c>
      <c r="G1095" s="10">
        <f>IF($A1095="","","Автозапись из листа Ремонты")</f>
        <v/>
      </c>
    </row>
    <row r="1096">
      <c r="A1096" s="12">
        <f>IF(Ремонты!J158="","",Ремонты!J158)</f>
        <v/>
      </c>
      <c r="B1096" s="10">
        <f>IF($A1096="","",Ремонты!A158)</f>
        <v/>
      </c>
      <c r="C1096" s="10">
        <f>IF($A1096="","",Ремонты!D158)</f>
        <v/>
      </c>
      <c r="D1096" s="10">
        <f>IF($A1096="","",Ремонты!E158)</f>
        <v/>
      </c>
      <c r="E1096" s="10">
        <f>IF($A1096="","","Отправка из Иркутска")</f>
        <v/>
      </c>
      <c r="F1096" s="10">
        <f>IF($A1096="","",Ремонты!T158)</f>
        <v/>
      </c>
      <c r="G1096" s="10">
        <f>IF($A1096="","","Автозапись из листа Ремонты")</f>
        <v/>
      </c>
    </row>
    <row r="1097">
      <c r="A1097" s="12">
        <f>IF(Ремонты!K158="","",Ремонты!K158)</f>
        <v/>
      </c>
      <c r="B1097" s="10">
        <f>IF($A1097="","",Ремонты!A158)</f>
        <v/>
      </c>
      <c r="C1097" s="10">
        <f>IF($A1097="","",Ремонты!D158)</f>
        <v/>
      </c>
      <c r="D1097" s="10">
        <f>IF($A1097="","",Ремонты!E158)</f>
        <v/>
      </c>
      <c r="E1097" s="10">
        <f>IF($A1097="","","Прибытие в Ленск")</f>
        <v/>
      </c>
      <c r="F1097" s="10">
        <f>IF($A1097="","",Ремонты!T158)</f>
        <v/>
      </c>
      <c r="G1097" s="10">
        <f>IF($A1097="","","Автозапись из листа Ремонты")</f>
        <v/>
      </c>
    </row>
    <row r="1098">
      <c r="A1098" s="12">
        <f>IF(Ремонты!M158="","",Ремонты!M158)</f>
        <v/>
      </c>
      <c r="B1098" s="10">
        <f>IF($A1098="","",Ремонты!A158)</f>
        <v/>
      </c>
      <c r="C1098" s="10">
        <f>IF($A1098="","",Ремонты!D158)</f>
        <v/>
      </c>
      <c r="D1098" s="10">
        <f>IF($A1098="","",Ремонты!E158)</f>
        <v/>
      </c>
      <c r="E1098" s="10">
        <f>IF($A1098="","","Фактическое получение")</f>
        <v/>
      </c>
      <c r="F1098" s="10">
        <f>IF($A1098="","",Ремонты!T158)</f>
        <v/>
      </c>
      <c r="G1098" s="10">
        <f>IF($A1098="","","Автозапись из листа Ремонты")</f>
        <v/>
      </c>
    </row>
    <row r="1099">
      <c r="A1099" s="12">
        <f>IF(Ремонты!P158="","",Ремонты!P158)</f>
        <v/>
      </c>
      <c r="B1099" s="10">
        <f>IF($A1099="","",Ремонты!A158)</f>
        <v/>
      </c>
      <c r="C1099" s="10">
        <f>IF($A1099="","",Ремонты!D158)</f>
        <v/>
      </c>
      <c r="D1099" s="10">
        <f>IF($A1099="","",Ремонты!E158)</f>
        <v/>
      </c>
      <c r="E1099" s="10">
        <f>IF($A1099="","","Входной контроль")</f>
        <v/>
      </c>
      <c r="F1099" s="10">
        <f>IF($A1099="","",Ремонты!T158)</f>
        <v/>
      </c>
      <c r="G1099" s="10">
        <f>IF($A1099="","","Автозапись из листа Ремонты")</f>
        <v/>
      </c>
    </row>
    <row r="1100">
      <c r="A1100" s="12">
        <f>IF(Ремонты!S158="","",Ремонты!S158)</f>
        <v/>
      </c>
      <c r="B1100" s="10">
        <f>IF($A1100="","",Ремонты!A158)</f>
        <v/>
      </c>
      <c r="C1100" s="10">
        <f>IF($A1100="","",Ремонты!D158)</f>
        <v/>
      </c>
      <c r="D1100" s="10">
        <f>IF($A1100="","",Ремонты!E158)</f>
        <v/>
      </c>
      <c r="E1100" s="10">
        <f>IF($A1100="","","Оплата")</f>
        <v/>
      </c>
      <c r="F1100" s="10">
        <f>IF($A1100="","",Ремонты!T158)</f>
        <v/>
      </c>
      <c r="G1100" s="10">
        <f>IF($A1100="","","Автозапись из листа Ремонты")</f>
        <v/>
      </c>
    </row>
    <row r="1101">
      <c r="A1101" s="12">
        <f>IF(Ремонты!G159="","",Ремонты!G159)</f>
        <v/>
      </c>
      <c r="B1101" s="10">
        <f>IF($A1101="","",Ремонты!A159)</f>
        <v/>
      </c>
      <c r="C1101" s="10">
        <f>IF($A1101="","",Ремонты!D159)</f>
        <v/>
      </c>
      <c r="D1101" s="10">
        <f>IF($A1101="","",Ремонты!E159)</f>
        <v/>
      </c>
      <c r="E1101" s="10">
        <f>IF($A1101="","","Отправка в ремонт")</f>
        <v/>
      </c>
      <c r="F1101" s="10">
        <f>IF($A1101="","",Ремонты!T159)</f>
        <v/>
      </c>
      <c r="G1101" s="10">
        <f>IF($A1101="","","Автозапись из листа Ремонты")</f>
        <v/>
      </c>
    </row>
    <row r="1102">
      <c r="A1102" s="12">
        <f>IF(Ремонты!I159="","",Ремонты!I159)</f>
        <v/>
      </c>
      <c r="B1102" s="10">
        <f>IF($A1102="","",Ремонты!A159)</f>
        <v/>
      </c>
      <c r="C1102" s="10">
        <f>IF($A1102="","",Ремонты!D159)</f>
        <v/>
      </c>
      <c r="D1102" s="10">
        <f>IF($A1102="","",Ремонты!E159)</f>
        <v/>
      </c>
      <c r="E1102" s="10">
        <f>IF($A1102="","","Отправка из ремонта")</f>
        <v/>
      </c>
      <c r="F1102" s="10">
        <f>IF($A1102="","",Ремонты!T159)</f>
        <v/>
      </c>
      <c r="G1102" s="10">
        <f>IF($A1102="","","Автозапись из листа Ремонты")</f>
        <v/>
      </c>
    </row>
    <row r="1103">
      <c r="A1103" s="12">
        <f>IF(Ремонты!J159="","",Ремонты!J159)</f>
        <v/>
      </c>
      <c r="B1103" s="10">
        <f>IF($A1103="","",Ремонты!A159)</f>
        <v/>
      </c>
      <c r="C1103" s="10">
        <f>IF($A1103="","",Ремонты!D159)</f>
        <v/>
      </c>
      <c r="D1103" s="10">
        <f>IF($A1103="","",Ремонты!E159)</f>
        <v/>
      </c>
      <c r="E1103" s="10">
        <f>IF($A1103="","","Отправка из Иркутска")</f>
        <v/>
      </c>
      <c r="F1103" s="10">
        <f>IF($A1103="","",Ремонты!T159)</f>
        <v/>
      </c>
      <c r="G1103" s="10">
        <f>IF($A1103="","","Автозапись из листа Ремонты")</f>
        <v/>
      </c>
    </row>
    <row r="1104">
      <c r="A1104" s="12">
        <f>IF(Ремонты!K159="","",Ремонты!K159)</f>
        <v/>
      </c>
      <c r="B1104" s="10">
        <f>IF($A1104="","",Ремонты!A159)</f>
        <v/>
      </c>
      <c r="C1104" s="10">
        <f>IF($A1104="","",Ремонты!D159)</f>
        <v/>
      </c>
      <c r="D1104" s="10">
        <f>IF($A1104="","",Ремонты!E159)</f>
        <v/>
      </c>
      <c r="E1104" s="10">
        <f>IF($A1104="","","Прибытие в Ленск")</f>
        <v/>
      </c>
      <c r="F1104" s="10">
        <f>IF($A1104="","",Ремонты!T159)</f>
        <v/>
      </c>
      <c r="G1104" s="10">
        <f>IF($A1104="","","Автозапись из листа Ремонты")</f>
        <v/>
      </c>
    </row>
    <row r="1105">
      <c r="A1105" s="12">
        <f>IF(Ремонты!M159="","",Ремонты!M159)</f>
        <v/>
      </c>
      <c r="B1105" s="10">
        <f>IF($A1105="","",Ремонты!A159)</f>
        <v/>
      </c>
      <c r="C1105" s="10">
        <f>IF($A1105="","",Ремонты!D159)</f>
        <v/>
      </c>
      <c r="D1105" s="10">
        <f>IF($A1105="","",Ремонты!E159)</f>
        <v/>
      </c>
      <c r="E1105" s="10">
        <f>IF($A1105="","","Фактическое получение")</f>
        <v/>
      </c>
      <c r="F1105" s="10">
        <f>IF($A1105="","",Ремонты!T159)</f>
        <v/>
      </c>
      <c r="G1105" s="10">
        <f>IF($A1105="","","Автозапись из листа Ремонты")</f>
        <v/>
      </c>
    </row>
    <row r="1106">
      <c r="A1106" s="12">
        <f>IF(Ремонты!P159="","",Ремонты!P159)</f>
        <v/>
      </c>
      <c r="B1106" s="10">
        <f>IF($A1106="","",Ремонты!A159)</f>
        <v/>
      </c>
      <c r="C1106" s="10">
        <f>IF($A1106="","",Ремонты!D159)</f>
        <v/>
      </c>
      <c r="D1106" s="10">
        <f>IF($A1106="","",Ремонты!E159)</f>
        <v/>
      </c>
      <c r="E1106" s="10">
        <f>IF($A1106="","","Входной контроль")</f>
        <v/>
      </c>
      <c r="F1106" s="10">
        <f>IF($A1106="","",Ремонты!T159)</f>
        <v/>
      </c>
      <c r="G1106" s="10">
        <f>IF($A1106="","","Автозапись из листа Ремонты")</f>
        <v/>
      </c>
    </row>
    <row r="1107">
      <c r="A1107" s="12">
        <f>IF(Ремонты!S159="","",Ремонты!S159)</f>
        <v/>
      </c>
      <c r="B1107" s="10">
        <f>IF($A1107="","",Ремонты!A159)</f>
        <v/>
      </c>
      <c r="C1107" s="10">
        <f>IF($A1107="","",Ремонты!D159)</f>
        <v/>
      </c>
      <c r="D1107" s="10">
        <f>IF($A1107="","",Ремонты!E159)</f>
        <v/>
      </c>
      <c r="E1107" s="10">
        <f>IF($A1107="","","Оплата")</f>
        <v/>
      </c>
      <c r="F1107" s="10">
        <f>IF($A1107="","",Ремонты!T159)</f>
        <v/>
      </c>
      <c r="G1107" s="10">
        <f>IF($A1107="","","Автозапись из листа Ремонты")</f>
        <v/>
      </c>
    </row>
    <row r="1108">
      <c r="A1108" s="12">
        <f>IF(Ремонты!G160="","",Ремонты!G160)</f>
        <v/>
      </c>
      <c r="B1108" s="10">
        <f>IF($A1108="","",Ремонты!A160)</f>
        <v/>
      </c>
      <c r="C1108" s="10">
        <f>IF($A1108="","",Ремонты!D160)</f>
        <v/>
      </c>
      <c r="D1108" s="10">
        <f>IF($A1108="","",Ремонты!E160)</f>
        <v/>
      </c>
      <c r="E1108" s="10">
        <f>IF($A1108="","","Отправка в ремонт")</f>
        <v/>
      </c>
      <c r="F1108" s="10">
        <f>IF($A1108="","",Ремонты!T160)</f>
        <v/>
      </c>
      <c r="G1108" s="10">
        <f>IF($A1108="","","Автозапись из листа Ремонты")</f>
        <v/>
      </c>
    </row>
    <row r="1109">
      <c r="A1109" s="12">
        <f>IF(Ремонты!I160="","",Ремонты!I160)</f>
        <v/>
      </c>
      <c r="B1109" s="10">
        <f>IF($A1109="","",Ремонты!A160)</f>
        <v/>
      </c>
      <c r="C1109" s="10">
        <f>IF($A1109="","",Ремонты!D160)</f>
        <v/>
      </c>
      <c r="D1109" s="10">
        <f>IF($A1109="","",Ремонты!E160)</f>
        <v/>
      </c>
      <c r="E1109" s="10">
        <f>IF($A1109="","","Отправка из ремонта")</f>
        <v/>
      </c>
      <c r="F1109" s="10">
        <f>IF($A1109="","",Ремонты!T160)</f>
        <v/>
      </c>
      <c r="G1109" s="10">
        <f>IF($A1109="","","Автозапись из листа Ремонты")</f>
        <v/>
      </c>
    </row>
    <row r="1110">
      <c r="A1110" s="12">
        <f>IF(Ремонты!J160="","",Ремонты!J160)</f>
        <v/>
      </c>
      <c r="B1110" s="10">
        <f>IF($A1110="","",Ремонты!A160)</f>
        <v/>
      </c>
      <c r="C1110" s="10">
        <f>IF($A1110="","",Ремонты!D160)</f>
        <v/>
      </c>
      <c r="D1110" s="10">
        <f>IF($A1110="","",Ремонты!E160)</f>
        <v/>
      </c>
      <c r="E1110" s="10">
        <f>IF($A1110="","","Отправка из Иркутска")</f>
        <v/>
      </c>
      <c r="F1110" s="10">
        <f>IF($A1110="","",Ремонты!T160)</f>
        <v/>
      </c>
      <c r="G1110" s="10">
        <f>IF($A1110="","","Автозапись из листа Ремонты")</f>
        <v/>
      </c>
    </row>
    <row r="1111">
      <c r="A1111" s="12">
        <f>IF(Ремонты!K160="","",Ремонты!K160)</f>
        <v/>
      </c>
      <c r="B1111" s="10">
        <f>IF($A1111="","",Ремонты!A160)</f>
        <v/>
      </c>
      <c r="C1111" s="10">
        <f>IF($A1111="","",Ремонты!D160)</f>
        <v/>
      </c>
      <c r="D1111" s="10">
        <f>IF($A1111="","",Ремонты!E160)</f>
        <v/>
      </c>
      <c r="E1111" s="10">
        <f>IF($A1111="","","Прибытие в Ленск")</f>
        <v/>
      </c>
      <c r="F1111" s="10">
        <f>IF($A1111="","",Ремонты!T160)</f>
        <v/>
      </c>
      <c r="G1111" s="10">
        <f>IF($A1111="","","Автозапись из листа Ремонты")</f>
        <v/>
      </c>
    </row>
    <row r="1112">
      <c r="A1112" s="12">
        <f>IF(Ремонты!M160="","",Ремонты!M160)</f>
        <v/>
      </c>
      <c r="B1112" s="10">
        <f>IF($A1112="","",Ремонты!A160)</f>
        <v/>
      </c>
      <c r="C1112" s="10">
        <f>IF($A1112="","",Ремонты!D160)</f>
        <v/>
      </c>
      <c r="D1112" s="10">
        <f>IF($A1112="","",Ремонты!E160)</f>
        <v/>
      </c>
      <c r="E1112" s="10">
        <f>IF($A1112="","","Фактическое получение")</f>
        <v/>
      </c>
      <c r="F1112" s="10">
        <f>IF($A1112="","",Ремонты!T160)</f>
        <v/>
      </c>
      <c r="G1112" s="10">
        <f>IF($A1112="","","Автозапись из листа Ремонты")</f>
        <v/>
      </c>
    </row>
    <row r="1113">
      <c r="A1113" s="12">
        <f>IF(Ремонты!P160="","",Ремонты!P160)</f>
        <v/>
      </c>
      <c r="B1113" s="10">
        <f>IF($A1113="","",Ремонты!A160)</f>
        <v/>
      </c>
      <c r="C1113" s="10">
        <f>IF($A1113="","",Ремонты!D160)</f>
        <v/>
      </c>
      <c r="D1113" s="10">
        <f>IF($A1113="","",Ремонты!E160)</f>
        <v/>
      </c>
      <c r="E1113" s="10">
        <f>IF($A1113="","","Входной контроль")</f>
        <v/>
      </c>
      <c r="F1113" s="10">
        <f>IF($A1113="","",Ремонты!T160)</f>
        <v/>
      </c>
      <c r="G1113" s="10">
        <f>IF($A1113="","","Автозапись из листа Ремонты")</f>
        <v/>
      </c>
    </row>
    <row r="1114">
      <c r="A1114" s="12">
        <f>IF(Ремонты!S160="","",Ремонты!S160)</f>
        <v/>
      </c>
      <c r="B1114" s="10">
        <f>IF($A1114="","",Ремонты!A160)</f>
        <v/>
      </c>
      <c r="C1114" s="10">
        <f>IF($A1114="","",Ремонты!D160)</f>
        <v/>
      </c>
      <c r="D1114" s="10">
        <f>IF($A1114="","",Ремонты!E160)</f>
        <v/>
      </c>
      <c r="E1114" s="10">
        <f>IF($A1114="","","Оплата")</f>
        <v/>
      </c>
      <c r="F1114" s="10">
        <f>IF($A1114="","",Ремонты!T160)</f>
        <v/>
      </c>
      <c r="G1114" s="10">
        <f>IF($A1114="","","Автозапись из листа Ремонты")</f>
        <v/>
      </c>
    </row>
    <row r="1115">
      <c r="A1115" s="12">
        <f>IF(Ремонты!G161="","",Ремонты!G161)</f>
        <v/>
      </c>
      <c r="B1115" s="10">
        <f>IF($A1115="","",Ремонты!A161)</f>
        <v/>
      </c>
      <c r="C1115" s="10">
        <f>IF($A1115="","",Ремонты!D161)</f>
        <v/>
      </c>
      <c r="D1115" s="10">
        <f>IF($A1115="","",Ремонты!E161)</f>
        <v/>
      </c>
      <c r="E1115" s="10">
        <f>IF($A1115="","","Отправка в ремонт")</f>
        <v/>
      </c>
      <c r="F1115" s="10">
        <f>IF($A1115="","",Ремонты!T161)</f>
        <v/>
      </c>
      <c r="G1115" s="10">
        <f>IF($A1115="","","Автозапись из листа Ремонты")</f>
        <v/>
      </c>
    </row>
    <row r="1116">
      <c r="A1116" s="12">
        <f>IF(Ремонты!I161="","",Ремонты!I161)</f>
        <v/>
      </c>
      <c r="B1116" s="10">
        <f>IF($A1116="","",Ремонты!A161)</f>
        <v/>
      </c>
      <c r="C1116" s="10">
        <f>IF($A1116="","",Ремонты!D161)</f>
        <v/>
      </c>
      <c r="D1116" s="10">
        <f>IF($A1116="","",Ремонты!E161)</f>
        <v/>
      </c>
      <c r="E1116" s="10">
        <f>IF($A1116="","","Отправка из ремонта")</f>
        <v/>
      </c>
      <c r="F1116" s="10">
        <f>IF($A1116="","",Ремонты!T161)</f>
        <v/>
      </c>
      <c r="G1116" s="10">
        <f>IF($A1116="","","Автозапись из листа Ремонты")</f>
        <v/>
      </c>
    </row>
    <row r="1117">
      <c r="A1117" s="12">
        <f>IF(Ремонты!J161="","",Ремонты!J161)</f>
        <v/>
      </c>
      <c r="B1117" s="10">
        <f>IF($A1117="","",Ремонты!A161)</f>
        <v/>
      </c>
      <c r="C1117" s="10">
        <f>IF($A1117="","",Ремонты!D161)</f>
        <v/>
      </c>
      <c r="D1117" s="10">
        <f>IF($A1117="","",Ремонты!E161)</f>
        <v/>
      </c>
      <c r="E1117" s="10">
        <f>IF($A1117="","","Отправка из Иркутска")</f>
        <v/>
      </c>
      <c r="F1117" s="10">
        <f>IF($A1117="","",Ремонты!T161)</f>
        <v/>
      </c>
      <c r="G1117" s="10">
        <f>IF($A1117="","","Автозапись из листа Ремонты")</f>
        <v/>
      </c>
    </row>
    <row r="1118">
      <c r="A1118" s="12">
        <f>IF(Ремонты!K161="","",Ремонты!K161)</f>
        <v/>
      </c>
      <c r="B1118" s="10">
        <f>IF($A1118="","",Ремонты!A161)</f>
        <v/>
      </c>
      <c r="C1118" s="10">
        <f>IF($A1118="","",Ремонты!D161)</f>
        <v/>
      </c>
      <c r="D1118" s="10">
        <f>IF($A1118="","",Ремонты!E161)</f>
        <v/>
      </c>
      <c r="E1118" s="10">
        <f>IF($A1118="","","Прибытие в Ленск")</f>
        <v/>
      </c>
      <c r="F1118" s="10">
        <f>IF($A1118="","",Ремонты!T161)</f>
        <v/>
      </c>
      <c r="G1118" s="10">
        <f>IF($A1118="","","Автозапись из листа Ремонты")</f>
        <v/>
      </c>
    </row>
    <row r="1119">
      <c r="A1119" s="12">
        <f>IF(Ремонты!M161="","",Ремонты!M161)</f>
        <v/>
      </c>
      <c r="B1119" s="10">
        <f>IF($A1119="","",Ремонты!A161)</f>
        <v/>
      </c>
      <c r="C1119" s="10">
        <f>IF($A1119="","",Ремонты!D161)</f>
        <v/>
      </c>
      <c r="D1119" s="10">
        <f>IF($A1119="","",Ремонты!E161)</f>
        <v/>
      </c>
      <c r="E1119" s="10">
        <f>IF($A1119="","","Фактическое получение")</f>
        <v/>
      </c>
      <c r="F1119" s="10">
        <f>IF($A1119="","",Ремонты!T161)</f>
        <v/>
      </c>
      <c r="G1119" s="10">
        <f>IF($A1119="","","Автозапись из листа Ремонты")</f>
        <v/>
      </c>
    </row>
    <row r="1120">
      <c r="A1120" s="12">
        <f>IF(Ремонты!P161="","",Ремонты!P161)</f>
        <v/>
      </c>
      <c r="B1120" s="10">
        <f>IF($A1120="","",Ремонты!A161)</f>
        <v/>
      </c>
      <c r="C1120" s="10">
        <f>IF($A1120="","",Ремонты!D161)</f>
        <v/>
      </c>
      <c r="D1120" s="10">
        <f>IF($A1120="","",Ремонты!E161)</f>
        <v/>
      </c>
      <c r="E1120" s="10">
        <f>IF($A1120="","","Входной контроль")</f>
        <v/>
      </c>
      <c r="F1120" s="10">
        <f>IF($A1120="","",Ремонты!T161)</f>
        <v/>
      </c>
      <c r="G1120" s="10">
        <f>IF($A1120="","","Автозапись из листа Ремонты")</f>
        <v/>
      </c>
    </row>
    <row r="1121">
      <c r="A1121" s="12">
        <f>IF(Ремонты!S161="","",Ремонты!S161)</f>
        <v/>
      </c>
      <c r="B1121" s="10">
        <f>IF($A1121="","",Ремонты!A161)</f>
        <v/>
      </c>
      <c r="C1121" s="10">
        <f>IF($A1121="","",Ремонты!D161)</f>
        <v/>
      </c>
      <c r="D1121" s="10">
        <f>IF($A1121="","",Ремонты!E161)</f>
        <v/>
      </c>
      <c r="E1121" s="10">
        <f>IF($A1121="","","Оплата")</f>
        <v/>
      </c>
      <c r="F1121" s="10">
        <f>IF($A1121="","",Ремонты!T161)</f>
        <v/>
      </c>
      <c r="G1121" s="10">
        <f>IF($A1121="","","Автозапись из листа Ремонты")</f>
        <v/>
      </c>
    </row>
    <row r="1122">
      <c r="A1122" s="12">
        <f>IF(Ремонты!G162="","",Ремонты!G162)</f>
        <v/>
      </c>
      <c r="B1122" s="10">
        <f>IF($A1122="","",Ремонты!A162)</f>
        <v/>
      </c>
      <c r="C1122" s="10">
        <f>IF($A1122="","",Ремонты!D162)</f>
        <v/>
      </c>
      <c r="D1122" s="10">
        <f>IF($A1122="","",Ремонты!E162)</f>
        <v/>
      </c>
      <c r="E1122" s="10">
        <f>IF($A1122="","","Отправка в ремонт")</f>
        <v/>
      </c>
      <c r="F1122" s="10">
        <f>IF($A1122="","",Ремонты!T162)</f>
        <v/>
      </c>
      <c r="G1122" s="10">
        <f>IF($A1122="","","Автозапись из листа Ремонты")</f>
        <v/>
      </c>
    </row>
    <row r="1123">
      <c r="A1123" s="12">
        <f>IF(Ремонты!I162="","",Ремонты!I162)</f>
        <v/>
      </c>
      <c r="B1123" s="10">
        <f>IF($A1123="","",Ремонты!A162)</f>
        <v/>
      </c>
      <c r="C1123" s="10">
        <f>IF($A1123="","",Ремонты!D162)</f>
        <v/>
      </c>
      <c r="D1123" s="10">
        <f>IF($A1123="","",Ремонты!E162)</f>
        <v/>
      </c>
      <c r="E1123" s="10">
        <f>IF($A1123="","","Отправка из ремонта")</f>
        <v/>
      </c>
      <c r="F1123" s="10">
        <f>IF($A1123="","",Ремонты!T162)</f>
        <v/>
      </c>
      <c r="G1123" s="10">
        <f>IF($A1123="","","Автозапись из листа Ремонты")</f>
        <v/>
      </c>
    </row>
    <row r="1124">
      <c r="A1124" s="12">
        <f>IF(Ремонты!J162="","",Ремонты!J162)</f>
        <v/>
      </c>
      <c r="B1124" s="10">
        <f>IF($A1124="","",Ремонты!A162)</f>
        <v/>
      </c>
      <c r="C1124" s="10">
        <f>IF($A1124="","",Ремонты!D162)</f>
        <v/>
      </c>
      <c r="D1124" s="10">
        <f>IF($A1124="","",Ремонты!E162)</f>
        <v/>
      </c>
      <c r="E1124" s="10">
        <f>IF($A1124="","","Отправка из Иркутска")</f>
        <v/>
      </c>
      <c r="F1124" s="10">
        <f>IF($A1124="","",Ремонты!T162)</f>
        <v/>
      </c>
      <c r="G1124" s="10">
        <f>IF($A1124="","","Автозапись из листа Ремонты")</f>
        <v/>
      </c>
    </row>
    <row r="1125">
      <c r="A1125" s="12">
        <f>IF(Ремонты!K162="","",Ремонты!K162)</f>
        <v/>
      </c>
      <c r="B1125" s="10">
        <f>IF($A1125="","",Ремонты!A162)</f>
        <v/>
      </c>
      <c r="C1125" s="10">
        <f>IF($A1125="","",Ремонты!D162)</f>
        <v/>
      </c>
      <c r="D1125" s="10">
        <f>IF($A1125="","",Ремонты!E162)</f>
        <v/>
      </c>
      <c r="E1125" s="10">
        <f>IF($A1125="","","Прибытие в Ленск")</f>
        <v/>
      </c>
      <c r="F1125" s="10">
        <f>IF($A1125="","",Ремонты!T162)</f>
        <v/>
      </c>
      <c r="G1125" s="10">
        <f>IF($A1125="","","Автозапись из листа Ремонты")</f>
        <v/>
      </c>
    </row>
    <row r="1126">
      <c r="A1126" s="12">
        <f>IF(Ремонты!M162="","",Ремонты!M162)</f>
        <v/>
      </c>
      <c r="B1126" s="10">
        <f>IF($A1126="","",Ремонты!A162)</f>
        <v/>
      </c>
      <c r="C1126" s="10">
        <f>IF($A1126="","",Ремонты!D162)</f>
        <v/>
      </c>
      <c r="D1126" s="10">
        <f>IF($A1126="","",Ремонты!E162)</f>
        <v/>
      </c>
      <c r="E1126" s="10">
        <f>IF($A1126="","","Фактическое получение")</f>
        <v/>
      </c>
      <c r="F1126" s="10">
        <f>IF($A1126="","",Ремонты!T162)</f>
        <v/>
      </c>
      <c r="G1126" s="10">
        <f>IF($A1126="","","Автозапись из листа Ремонты")</f>
        <v/>
      </c>
    </row>
    <row r="1127">
      <c r="A1127" s="12">
        <f>IF(Ремонты!P162="","",Ремонты!P162)</f>
        <v/>
      </c>
      <c r="B1127" s="10">
        <f>IF($A1127="","",Ремонты!A162)</f>
        <v/>
      </c>
      <c r="C1127" s="10">
        <f>IF($A1127="","",Ремонты!D162)</f>
        <v/>
      </c>
      <c r="D1127" s="10">
        <f>IF($A1127="","",Ремонты!E162)</f>
        <v/>
      </c>
      <c r="E1127" s="10">
        <f>IF($A1127="","","Входной контроль")</f>
        <v/>
      </c>
      <c r="F1127" s="10">
        <f>IF($A1127="","",Ремонты!T162)</f>
        <v/>
      </c>
      <c r="G1127" s="10">
        <f>IF($A1127="","","Автозапись из листа Ремонты")</f>
        <v/>
      </c>
    </row>
    <row r="1128">
      <c r="A1128" s="12">
        <f>IF(Ремонты!S162="","",Ремонты!S162)</f>
        <v/>
      </c>
      <c r="B1128" s="10">
        <f>IF($A1128="","",Ремонты!A162)</f>
        <v/>
      </c>
      <c r="C1128" s="10">
        <f>IF($A1128="","",Ремонты!D162)</f>
        <v/>
      </c>
      <c r="D1128" s="10">
        <f>IF($A1128="","",Ремонты!E162)</f>
        <v/>
      </c>
      <c r="E1128" s="10">
        <f>IF($A1128="","","Оплата")</f>
        <v/>
      </c>
      <c r="F1128" s="10">
        <f>IF($A1128="","",Ремонты!T162)</f>
        <v/>
      </c>
      <c r="G1128" s="10">
        <f>IF($A1128="","","Автозапись из листа Ремонты")</f>
        <v/>
      </c>
    </row>
    <row r="1129">
      <c r="A1129" s="12">
        <f>IF(Ремонты!G163="","",Ремонты!G163)</f>
        <v/>
      </c>
      <c r="B1129" s="10">
        <f>IF($A1129="","",Ремонты!A163)</f>
        <v/>
      </c>
      <c r="C1129" s="10">
        <f>IF($A1129="","",Ремонты!D163)</f>
        <v/>
      </c>
      <c r="D1129" s="10">
        <f>IF($A1129="","",Ремонты!E163)</f>
        <v/>
      </c>
      <c r="E1129" s="10">
        <f>IF($A1129="","","Отправка в ремонт")</f>
        <v/>
      </c>
      <c r="F1129" s="10">
        <f>IF($A1129="","",Ремонты!T163)</f>
        <v/>
      </c>
      <c r="G1129" s="10">
        <f>IF($A1129="","","Автозапись из листа Ремонты")</f>
        <v/>
      </c>
    </row>
    <row r="1130">
      <c r="A1130" s="12">
        <f>IF(Ремонты!I163="","",Ремонты!I163)</f>
        <v/>
      </c>
      <c r="B1130" s="10">
        <f>IF($A1130="","",Ремонты!A163)</f>
        <v/>
      </c>
      <c r="C1130" s="10">
        <f>IF($A1130="","",Ремонты!D163)</f>
        <v/>
      </c>
      <c r="D1130" s="10">
        <f>IF($A1130="","",Ремонты!E163)</f>
        <v/>
      </c>
      <c r="E1130" s="10">
        <f>IF($A1130="","","Отправка из ремонта")</f>
        <v/>
      </c>
      <c r="F1130" s="10">
        <f>IF($A1130="","",Ремонты!T163)</f>
        <v/>
      </c>
      <c r="G1130" s="10">
        <f>IF($A1130="","","Автозапись из листа Ремонты")</f>
        <v/>
      </c>
    </row>
    <row r="1131">
      <c r="A1131" s="12">
        <f>IF(Ремонты!J163="","",Ремонты!J163)</f>
        <v/>
      </c>
      <c r="B1131" s="10">
        <f>IF($A1131="","",Ремонты!A163)</f>
        <v/>
      </c>
      <c r="C1131" s="10">
        <f>IF($A1131="","",Ремонты!D163)</f>
        <v/>
      </c>
      <c r="D1131" s="10">
        <f>IF($A1131="","",Ремонты!E163)</f>
        <v/>
      </c>
      <c r="E1131" s="10">
        <f>IF($A1131="","","Отправка из Иркутска")</f>
        <v/>
      </c>
      <c r="F1131" s="10">
        <f>IF($A1131="","",Ремонты!T163)</f>
        <v/>
      </c>
      <c r="G1131" s="10">
        <f>IF($A1131="","","Автозапись из листа Ремонты")</f>
        <v/>
      </c>
    </row>
    <row r="1132">
      <c r="A1132" s="12">
        <f>IF(Ремонты!K163="","",Ремонты!K163)</f>
        <v/>
      </c>
      <c r="B1132" s="10">
        <f>IF($A1132="","",Ремонты!A163)</f>
        <v/>
      </c>
      <c r="C1132" s="10">
        <f>IF($A1132="","",Ремонты!D163)</f>
        <v/>
      </c>
      <c r="D1132" s="10">
        <f>IF($A1132="","",Ремонты!E163)</f>
        <v/>
      </c>
      <c r="E1132" s="10">
        <f>IF($A1132="","","Прибытие в Ленск")</f>
        <v/>
      </c>
      <c r="F1132" s="10">
        <f>IF($A1132="","",Ремонты!T163)</f>
        <v/>
      </c>
      <c r="G1132" s="10">
        <f>IF($A1132="","","Автозапись из листа Ремонты")</f>
        <v/>
      </c>
    </row>
    <row r="1133">
      <c r="A1133" s="12">
        <f>IF(Ремонты!M163="","",Ремонты!M163)</f>
        <v/>
      </c>
      <c r="B1133" s="10">
        <f>IF($A1133="","",Ремонты!A163)</f>
        <v/>
      </c>
      <c r="C1133" s="10">
        <f>IF($A1133="","",Ремонты!D163)</f>
        <v/>
      </c>
      <c r="D1133" s="10">
        <f>IF($A1133="","",Ремонты!E163)</f>
        <v/>
      </c>
      <c r="E1133" s="10">
        <f>IF($A1133="","","Фактическое получение")</f>
        <v/>
      </c>
      <c r="F1133" s="10">
        <f>IF($A1133="","",Ремонты!T163)</f>
        <v/>
      </c>
      <c r="G1133" s="10">
        <f>IF($A1133="","","Автозапись из листа Ремонты")</f>
        <v/>
      </c>
    </row>
    <row r="1134">
      <c r="A1134" s="12">
        <f>IF(Ремонты!P163="","",Ремонты!P163)</f>
        <v/>
      </c>
      <c r="B1134" s="10">
        <f>IF($A1134="","",Ремонты!A163)</f>
        <v/>
      </c>
      <c r="C1134" s="10">
        <f>IF($A1134="","",Ремонты!D163)</f>
        <v/>
      </c>
      <c r="D1134" s="10">
        <f>IF($A1134="","",Ремонты!E163)</f>
        <v/>
      </c>
      <c r="E1134" s="10">
        <f>IF($A1134="","","Входной контроль")</f>
        <v/>
      </c>
      <c r="F1134" s="10">
        <f>IF($A1134="","",Ремонты!T163)</f>
        <v/>
      </c>
      <c r="G1134" s="10">
        <f>IF($A1134="","","Автозапись из листа Ремонты")</f>
        <v/>
      </c>
    </row>
    <row r="1135">
      <c r="A1135" s="12">
        <f>IF(Ремонты!S163="","",Ремонты!S163)</f>
        <v/>
      </c>
      <c r="B1135" s="10">
        <f>IF($A1135="","",Ремонты!A163)</f>
        <v/>
      </c>
      <c r="C1135" s="10">
        <f>IF($A1135="","",Ремонты!D163)</f>
        <v/>
      </c>
      <c r="D1135" s="10">
        <f>IF($A1135="","",Ремонты!E163)</f>
        <v/>
      </c>
      <c r="E1135" s="10">
        <f>IF($A1135="","","Оплата")</f>
        <v/>
      </c>
      <c r="F1135" s="10">
        <f>IF($A1135="","",Ремонты!T163)</f>
        <v/>
      </c>
      <c r="G1135" s="10">
        <f>IF($A1135="","","Автозапись из листа Ремонты")</f>
        <v/>
      </c>
    </row>
    <row r="1136">
      <c r="A1136" s="12">
        <f>IF(Ремонты!G164="","",Ремонты!G164)</f>
        <v/>
      </c>
      <c r="B1136" s="10">
        <f>IF($A1136="","",Ремонты!A164)</f>
        <v/>
      </c>
      <c r="C1136" s="10">
        <f>IF($A1136="","",Ремонты!D164)</f>
        <v/>
      </c>
      <c r="D1136" s="10">
        <f>IF($A1136="","",Ремонты!E164)</f>
        <v/>
      </c>
      <c r="E1136" s="10">
        <f>IF($A1136="","","Отправка в ремонт")</f>
        <v/>
      </c>
      <c r="F1136" s="10">
        <f>IF($A1136="","",Ремонты!T164)</f>
        <v/>
      </c>
      <c r="G1136" s="10">
        <f>IF($A1136="","","Автозапись из листа Ремонты")</f>
        <v/>
      </c>
    </row>
    <row r="1137">
      <c r="A1137" s="12">
        <f>IF(Ремонты!I164="","",Ремонты!I164)</f>
        <v/>
      </c>
      <c r="B1137" s="10">
        <f>IF($A1137="","",Ремонты!A164)</f>
        <v/>
      </c>
      <c r="C1137" s="10">
        <f>IF($A1137="","",Ремонты!D164)</f>
        <v/>
      </c>
      <c r="D1137" s="10">
        <f>IF($A1137="","",Ремонты!E164)</f>
        <v/>
      </c>
      <c r="E1137" s="10">
        <f>IF($A1137="","","Отправка из ремонта")</f>
        <v/>
      </c>
      <c r="F1137" s="10">
        <f>IF($A1137="","",Ремонты!T164)</f>
        <v/>
      </c>
      <c r="G1137" s="10">
        <f>IF($A1137="","","Автозапись из листа Ремонты")</f>
        <v/>
      </c>
    </row>
    <row r="1138">
      <c r="A1138" s="12">
        <f>IF(Ремонты!J164="","",Ремонты!J164)</f>
        <v/>
      </c>
      <c r="B1138" s="10">
        <f>IF($A1138="","",Ремонты!A164)</f>
        <v/>
      </c>
      <c r="C1138" s="10">
        <f>IF($A1138="","",Ремонты!D164)</f>
        <v/>
      </c>
      <c r="D1138" s="10">
        <f>IF($A1138="","",Ремонты!E164)</f>
        <v/>
      </c>
      <c r="E1138" s="10">
        <f>IF($A1138="","","Отправка из Иркутска")</f>
        <v/>
      </c>
      <c r="F1138" s="10">
        <f>IF($A1138="","",Ремонты!T164)</f>
        <v/>
      </c>
      <c r="G1138" s="10">
        <f>IF($A1138="","","Автозапись из листа Ремонты")</f>
        <v/>
      </c>
    </row>
    <row r="1139">
      <c r="A1139" s="12">
        <f>IF(Ремонты!K164="","",Ремонты!K164)</f>
        <v/>
      </c>
      <c r="B1139" s="10">
        <f>IF($A1139="","",Ремонты!A164)</f>
        <v/>
      </c>
      <c r="C1139" s="10">
        <f>IF($A1139="","",Ремонты!D164)</f>
        <v/>
      </c>
      <c r="D1139" s="10">
        <f>IF($A1139="","",Ремонты!E164)</f>
        <v/>
      </c>
      <c r="E1139" s="10">
        <f>IF($A1139="","","Прибытие в Ленск")</f>
        <v/>
      </c>
      <c r="F1139" s="10">
        <f>IF($A1139="","",Ремонты!T164)</f>
        <v/>
      </c>
      <c r="G1139" s="10">
        <f>IF($A1139="","","Автозапись из листа Ремонты")</f>
        <v/>
      </c>
    </row>
    <row r="1140">
      <c r="A1140" s="12">
        <f>IF(Ремонты!M164="","",Ремонты!M164)</f>
        <v/>
      </c>
      <c r="B1140" s="10">
        <f>IF($A1140="","",Ремонты!A164)</f>
        <v/>
      </c>
      <c r="C1140" s="10">
        <f>IF($A1140="","",Ремонты!D164)</f>
        <v/>
      </c>
      <c r="D1140" s="10">
        <f>IF($A1140="","",Ремонты!E164)</f>
        <v/>
      </c>
      <c r="E1140" s="10">
        <f>IF($A1140="","","Фактическое получение")</f>
        <v/>
      </c>
      <c r="F1140" s="10">
        <f>IF($A1140="","",Ремонты!T164)</f>
        <v/>
      </c>
      <c r="G1140" s="10">
        <f>IF($A1140="","","Автозапись из листа Ремонты")</f>
        <v/>
      </c>
    </row>
    <row r="1141">
      <c r="A1141" s="12">
        <f>IF(Ремонты!P164="","",Ремонты!P164)</f>
        <v/>
      </c>
      <c r="B1141" s="10">
        <f>IF($A1141="","",Ремонты!A164)</f>
        <v/>
      </c>
      <c r="C1141" s="10">
        <f>IF($A1141="","",Ремонты!D164)</f>
        <v/>
      </c>
      <c r="D1141" s="10">
        <f>IF($A1141="","",Ремонты!E164)</f>
        <v/>
      </c>
      <c r="E1141" s="10">
        <f>IF($A1141="","","Входной контроль")</f>
        <v/>
      </c>
      <c r="F1141" s="10">
        <f>IF($A1141="","",Ремонты!T164)</f>
        <v/>
      </c>
      <c r="G1141" s="10">
        <f>IF($A1141="","","Автозапись из листа Ремонты")</f>
        <v/>
      </c>
    </row>
    <row r="1142">
      <c r="A1142" s="12">
        <f>IF(Ремонты!S164="","",Ремонты!S164)</f>
        <v/>
      </c>
      <c r="B1142" s="10">
        <f>IF($A1142="","",Ремонты!A164)</f>
        <v/>
      </c>
      <c r="C1142" s="10">
        <f>IF($A1142="","",Ремонты!D164)</f>
        <v/>
      </c>
      <c r="D1142" s="10">
        <f>IF($A1142="","",Ремонты!E164)</f>
        <v/>
      </c>
      <c r="E1142" s="10">
        <f>IF($A1142="","","Оплата")</f>
        <v/>
      </c>
      <c r="F1142" s="10">
        <f>IF($A1142="","",Ремонты!T164)</f>
        <v/>
      </c>
      <c r="G1142" s="10">
        <f>IF($A1142="","","Автозапись из листа Ремонты")</f>
        <v/>
      </c>
    </row>
    <row r="1143">
      <c r="A1143" s="12">
        <f>IF(Ремонты!G165="","",Ремонты!G165)</f>
        <v/>
      </c>
      <c r="B1143" s="10">
        <f>IF($A1143="","",Ремонты!A165)</f>
        <v/>
      </c>
      <c r="C1143" s="10">
        <f>IF($A1143="","",Ремонты!D165)</f>
        <v/>
      </c>
      <c r="D1143" s="10">
        <f>IF($A1143="","",Ремонты!E165)</f>
        <v/>
      </c>
      <c r="E1143" s="10">
        <f>IF($A1143="","","Отправка в ремонт")</f>
        <v/>
      </c>
      <c r="F1143" s="10">
        <f>IF($A1143="","",Ремонты!T165)</f>
        <v/>
      </c>
      <c r="G1143" s="10">
        <f>IF($A1143="","","Автозапись из листа Ремонты")</f>
        <v/>
      </c>
    </row>
    <row r="1144">
      <c r="A1144" s="12">
        <f>IF(Ремонты!I165="","",Ремонты!I165)</f>
        <v/>
      </c>
      <c r="B1144" s="10">
        <f>IF($A1144="","",Ремонты!A165)</f>
        <v/>
      </c>
      <c r="C1144" s="10">
        <f>IF($A1144="","",Ремонты!D165)</f>
        <v/>
      </c>
      <c r="D1144" s="10">
        <f>IF($A1144="","",Ремонты!E165)</f>
        <v/>
      </c>
      <c r="E1144" s="10">
        <f>IF($A1144="","","Отправка из ремонта")</f>
        <v/>
      </c>
      <c r="F1144" s="10">
        <f>IF($A1144="","",Ремонты!T165)</f>
        <v/>
      </c>
      <c r="G1144" s="10">
        <f>IF($A1144="","","Автозапись из листа Ремонты")</f>
        <v/>
      </c>
    </row>
    <row r="1145">
      <c r="A1145" s="12">
        <f>IF(Ремонты!J165="","",Ремонты!J165)</f>
        <v/>
      </c>
      <c r="B1145" s="10">
        <f>IF($A1145="","",Ремонты!A165)</f>
        <v/>
      </c>
      <c r="C1145" s="10">
        <f>IF($A1145="","",Ремонты!D165)</f>
        <v/>
      </c>
      <c r="D1145" s="10">
        <f>IF($A1145="","",Ремонты!E165)</f>
        <v/>
      </c>
      <c r="E1145" s="10">
        <f>IF($A1145="","","Отправка из Иркутска")</f>
        <v/>
      </c>
      <c r="F1145" s="10">
        <f>IF($A1145="","",Ремонты!T165)</f>
        <v/>
      </c>
      <c r="G1145" s="10">
        <f>IF($A1145="","","Автозапись из листа Ремонты")</f>
        <v/>
      </c>
    </row>
    <row r="1146">
      <c r="A1146" s="12">
        <f>IF(Ремонты!K165="","",Ремонты!K165)</f>
        <v/>
      </c>
      <c r="B1146" s="10">
        <f>IF($A1146="","",Ремонты!A165)</f>
        <v/>
      </c>
      <c r="C1146" s="10">
        <f>IF($A1146="","",Ремонты!D165)</f>
        <v/>
      </c>
      <c r="D1146" s="10">
        <f>IF($A1146="","",Ремонты!E165)</f>
        <v/>
      </c>
      <c r="E1146" s="10">
        <f>IF($A1146="","","Прибытие в Ленск")</f>
        <v/>
      </c>
      <c r="F1146" s="10">
        <f>IF($A1146="","",Ремонты!T165)</f>
        <v/>
      </c>
      <c r="G1146" s="10">
        <f>IF($A1146="","","Автозапись из листа Ремонты")</f>
        <v/>
      </c>
    </row>
    <row r="1147">
      <c r="A1147" s="12">
        <f>IF(Ремонты!M165="","",Ремонты!M165)</f>
        <v/>
      </c>
      <c r="B1147" s="10">
        <f>IF($A1147="","",Ремонты!A165)</f>
        <v/>
      </c>
      <c r="C1147" s="10">
        <f>IF($A1147="","",Ремонты!D165)</f>
        <v/>
      </c>
      <c r="D1147" s="10">
        <f>IF($A1147="","",Ремонты!E165)</f>
        <v/>
      </c>
      <c r="E1147" s="10">
        <f>IF($A1147="","","Фактическое получение")</f>
        <v/>
      </c>
      <c r="F1147" s="10">
        <f>IF($A1147="","",Ремонты!T165)</f>
        <v/>
      </c>
      <c r="G1147" s="10">
        <f>IF($A1147="","","Автозапись из листа Ремонты")</f>
        <v/>
      </c>
    </row>
    <row r="1148">
      <c r="A1148" s="12">
        <f>IF(Ремонты!P165="","",Ремонты!P165)</f>
        <v/>
      </c>
      <c r="B1148" s="10">
        <f>IF($A1148="","",Ремонты!A165)</f>
        <v/>
      </c>
      <c r="C1148" s="10">
        <f>IF($A1148="","",Ремонты!D165)</f>
        <v/>
      </c>
      <c r="D1148" s="10">
        <f>IF($A1148="","",Ремонты!E165)</f>
        <v/>
      </c>
      <c r="E1148" s="10">
        <f>IF($A1148="","","Входной контроль")</f>
        <v/>
      </c>
      <c r="F1148" s="10">
        <f>IF($A1148="","",Ремонты!T165)</f>
        <v/>
      </c>
      <c r="G1148" s="10">
        <f>IF($A1148="","","Автозапись из листа Ремонты")</f>
        <v/>
      </c>
    </row>
    <row r="1149">
      <c r="A1149" s="12">
        <f>IF(Ремонты!S165="","",Ремонты!S165)</f>
        <v/>
      </c>
      <c r="B1149" s="10">
        <f>IF($A1149="","",Ремонты!A165)</f>
        <v/>
      </c>
      <c r="C1149" s="10">
        <f>IF($A1149="","",Ремонты!D165)</f>
        <v/>
      </c>
      <c r="D1149" s="10">
        <f>IF($A1149="","",Ремонты!E165)</f>
        <v/>
      </c>
      <c r="E1149" s="10">
        <f>IF($A1149="","","Оплата")</f>
        <v/>
      </c>
      <c r="F1149" s="10">
        <f>IF($A1149="","",Ремонты!T165)</f>
        <v/>
      </c>
      <c r="G1149" s="10">
        <f>IF($A1149="","","Автозапись из листа Ремонты")</f>
        <v/>
      </c>
    </row>
    <row r="1150">
      <c r="A1150" s="12">
        <f>IF(Ремонты!G166="","",Ремонты!G166)</f>
        <v/>
      </c>
      <c r="B1150" s="10">
        <f>IF($A1150="","",Ремонты!A166)</f>
        <v/>
      </c>
      <c r="C1150" s="10">
        <f>IF($A1150="","",Ремонты!D166)</f>
        <v/>
      </c>
      <c r="D1150" s="10">
        <f>IF($A1150="","",Ремонты!E166)</f>
        <v/>
      </c>
      <c r="E1150" s="10">
        <f>IF($A1150="","","Отправка в ремонт")</f>
        <v/>
      </c>
      <c r="F1150" s="10">
        <f>IF($A1150="","",Ремонты!T166)</f>
        <v/>
      </c>
      <c r="G1150" s="10">
        <f>IF($A1150="","","Автозапись из листа Ремонты")</f>
        <v/>
      </c>
    </row>
    <row r="1151">
      <c r="A1151" s="12">
        <f>IF(Ремонты!I166="","",Ремонты!I166)</f>
        <v/>
      </c>
      <c r="B1151" s="10">
        <f>IF($A1151="","",Ремонты!A166)</f>
        <v/>
      </c>
      <c r="C1151" s="10">
        <f>IF($A1151="","",Ремонты!D166)</f>
        <v/>
      </c>
      <c r="D1151" s="10">
        <f>IF($A1151="","",Ремонты!E166)</f>
        <v/>
      </c>
      <c r="E1151" s="10">
        <f>IF($A1151="","","Отправка из ремонта")</f>
        <v/>
      </c>
      <c r="F1151" s="10">
        <f>IF($A1151="","",Ремонты!T166)</f>
        <v/>
      </c>
      <c r="G1151" s="10">
        <f>IF($A1151="","","Автозапись из листа Ремонты")</f>
        <v/>
      </c>
    </row>
    <row r="1152">
      <c r="A1152" s="12">
        <f>IF(Ремонты!J166="","",Ремонты!J166)</f>
        <v/>
      </c>
      <c r="B1152" s="10">
        <f>IF($A1152="","",Ремонты!A166)</f>
        <v/>
      </c>
      <c r="C1152" s="10">
        <f>IF($A1152="","",Ремонты!D166)</f>
        <v/>
      </c>
      <c r="D1152" s="10">
        <f>IF($A1152="","",Ремонты!E166)</f>
        <v/>
      </c>
      <c r="E1152" s="10">
        <f>IF($A1152="","","Отправка из Иркутска")</f>
        <v/>
      </c>
      <c r="F1152" s="10">
        <f>IF($A1152="","",Ремонты!T166)</f>
        <v/>
      </c>
      <c r="G1152" s="10">
        <f>IF($A1152="","","Автозапись из листа Ремонты")</f>
        <v/>
      </c>
    </row>
    <row r="1153">
      <c r="A1153" s="12">
        <f>IF(Ремонты!K166="","",Ремонты!K166)</f>
        <v/>
      </c>
      <c r="B1153" s="10">
        <f>IF($A1153="","",Ремонты!A166)</f>
        <v/>
      </c>
      <c r="C1153" s="10">
        <f>IF($A1153="","",Ремонты!D166)</f>
        <v/>
      </c>
      <c r="D1153" s="10">
        <f>IF($A1153="","",Ремонты!E166)</f>
        <v/>
      </c>
      <c r="E1153" s="10">
        <f>IF($A1153="","","Прибытие в Ленск")</f>
        <v/>
      </c>
      <c r="F1153" s="10">
        <f>IF($A1153="","",Ремонты!T166)</f>
        <v/>
      </c>
      <c r="G1153" s="10">
        <f>IF($A1153="","","Автозапись из листа Ремонты")</f>
        <v/>
      </c>
    </row>
    <row r="1154">
      <c r="A1154" s="12">
        <f>IF(Ремонты!M166="","",Ремонты!M166)</f>
        <v/>
      </c>
      <c r="B1154" s="10">
        <f>IF($A1154="","",Ремонты!A166)</f>
        <v/>
      </c>
      <c r="C1154" s="10">
        <f>IF($A1154="","",Ремонты!D166)</f>
        <v/>
      </c>
      <c r="D1154" s="10">
        <f>IF($A1154="","",Ремонты!E166)</f>
        <v/>
      </c>
      <c r="E1154" s="10">
        <f>IF($A1154="","","Фактическое получение")</f>
        <v/>
      </c>
      <c r="F1154" s="10">
        <f>IF($A1154="","",Ремонты!T166)</f>
        <v/>
      </c>
      <c r="G1154" s="10">
        <f>IF($A1154="","","Автозапись из листа Ремонты")</f>
        <v/>
      </c>
    </row>
    <row r="1155">
      <c r="A1155" s="12">
        <f>IF(Ремонты!P166="","",Ремонты!P166)</f>
        <v/>
      </c>
      <c r="B1155" s="10">
        <f>IF($A1155="","",Ремонты!A166)</f>
        <v/>
      </c>
      <c r="C1155" s="10">
        <f>IF($A1155="","",Ремонты!D166)</f>
        <v/>
      </c>
      <c r="D1155" s="10">
        <f>IF($A1155="","",Ремонты!E166)</f>
        <v/>
      </c>
      <c r="E1155" s="10">
        <f>IF($A1155="","","Входной контроль")</f>
        <v/>
      </c>
      <c r="F1155" s="10">
        <f>IF($A1155="","",Ремонты!T166)</f>
        <v/>
      </c>
      <c r="G1155" s="10">
        <f>IF($A1155="","","Автозапись из листа Ремонты")</f>
        <v/>
      </c>
    </row>
    <row r="1156">
      <c r="A1156" s="12">
        <f>IF(Ремонты!S166="","",Ремонты!S166)</f>
        <v/>
      </c>
      <c r="B1156" s="10">
        <f>IF($A1156="","",Ремонты!A166)</f>
        <v/>
      </c>
      <c r="C1156" s="10">
        <f>IF($A1156="","",Ремонты!D166)</f>
        <v/>
      </c>
      <c r="D1156" s="10">
        <f>IF($A1156="","",Ремонты!E166)</f>
        <v/>
      </c>
      <c r="E1156" s="10">
        <f>IF($A1156="","","Оплата")</f>
        <v/>
      </c>
      <c r="F1156" s="10">
        <f>IF($A1156="","",Ремонты!T166)</f>
        <v/>
      </c>
      <c r="G1156" s="10">
        <f>IF($A1156="","","Автозапись из листа Ремонты")</f>
        <v/>
      </c>
    </row>
    <row r="1157">
      <c r="A1157" s="12">
        <f>IF(Ремонты!G167="","",Ремонты!G167)</f>
        <v/>
      </c>
      <c r="B1157" s="10">
        <f>IF($A1157="","",Ремонты!A167)</f>
        <v/>
      </c>
      <c r="C1157" s="10">
        <f>IF($A1157="","",Ремонты!D167)</f>
        <v/>
      </c>
      <c r="D1157" s="10">
        <f>IF($A1157="","",Ремонты!E167)</f>
        <v/>
      </c>
      <c r="E1157" s="10">
        <f>IF($A1157="","","Отправка в ремонт")</f>
        <v/>
      </c>
      <c r="F1157" s="10">
        <f>IF($A1157="","",Ремонты!T167)</f>
        <v/>
      </c>
      <c r="G1157" s="10">
        <f>IF($A1157="","","Автозапись из листа Ремонты")</f>
        <v/>
      </c>
    </row>
    <row r="1158">
      <c r="A1158" s="12">
        <f>IF(Ремонты!I167="","",Ремонты!I167)</f>
        <v/>
      </c>
      <c r="B1158" s="10">
        <f>IF($A1158="","",Ремонты!A167)</f>
        <v/>
      </c>
      <c r="C1158" s="10">
        <f>IF($A1158="","",Ремонты!D167)</f>
        <v/>
      </c>
      <c r="D1158" s="10">
        <f>IF($A1158="","",Ремонты!E167)</f>
        <v/>
      </c>
      <c r="E1158" s="10">
        <f>IF($A1158="","","Отправка из ремонта")</f>
        <v/>
      </c>
      <c r="F1158" s="10">
        <f>IF($A1158="","",Ремонты!T167)</f>
        <v/>
      </c>
      <c r="G1158" s="10">
        <f>IF($A1158="","","Автозапись из листа Ремонты")</f>
        <v/>
      </c>
    </row>
    <row r="1159">
      <c r="A1159" s="12">
        <f>IF(Ремонты!J167="","",Ремонты!J167)</f>
        <v/>
      </c>
      <c r="B1159" s="10">
        <f>IF($A1159="","",Ремонты!A167)</f>
        <v/>
      </c>
      <c r="C1159" s="10">
        <f>IF($A1159="","",Ремонты!D167)</f>
        <v/>
      </c>
      <c r="D1159" s="10">
        <f>IF($A1159="","",Ремонты!E167)</f>
        <v/>
      </c>
      <c r="E1159" s="10">
        <f>IF($A1159="","","Отправка из Иркутска")</f>
        <v/>
      </c>
      <c r="F1159" s="10">
        <f>IF($A1159="","",Ремонты!T167)</f>
        <v/>
      </c>
      <c r="G1159" s="10">
        <f>IF($A1159="","","Автозапись из листа Ремонты")</f>
        <v/>
      </c>
    </row>
    <row r="1160">
      <c r="A1160" s="12">
        <f>IF(Ремонты!K167="","",Ремонты!K167)</f>
        <v/>
      </c>
      <c r="B1160" s="10">
        <f>IF($A1160="","",Ремонты!A167)</f>
        <v/>
      </c>
      <c r="C1160" s="10">
        <f>IF($A1160="","",Ремонты!D167)</f>
        <v/>
      </c>
      <c r="D1160" s="10">
        <f>IF($A1160="","",Ремонты!E167)</f>
        <v/>
      </c>
      <c r="E1160" s="10">
        <f>IF($A1160="","","Прибытие в Ленск")</f>
        <v/>
      </c>
      <c r="F1160" s="10">
        <f>IF($A1160="","",Ремонты!T167)</f>
        <v/>
      </c>
      <c r="G1160" s="10">
        <f>IF($A1160="","","Автозапись из листа Ремонты")</f>
        <v/>
      </c>
    </row>
    <row r="1161">
      <c r="A1161" s="12">
        <f>IF(Ремонты!M167="","",Ремонты!M167)</f>
        <v/>
      </c>
      <c r="B1161" s="10">
        <f>IF($A1161="","",Ремонты!A167)</f>
        <v/>
      </c>
      <c r="C1161" s="10">
        <f>IF($A1161="","",Ремонты!D167)</f>
        <v/>
      </c>
      <c r="D1161" s="10">
        <f>IF($A1161="","",Ремонты!E167)</f>
        <v/>
      </c>
      <c r="E1161" s="10">
        <f>IF($A1161="","","Фактическое получение")</f>
        <v/>
      </c>
      <c r="F1161" s="10">
        <f>IF($A1161="","",Ремонты!T167)</f>
        <v/>
      </c>
      <c r="G1161" s="10">
        <f>IF($A1161="","","Автозапись из листа Ремонты")</f>
        <v/>
      </c>
    </row>
    <row r="1162">
      <c r="A1162" s="12">
        <f>IF(Ремонты!P167="","",Ремонты!P167)</f>
        <v/>
      </c>
      <c r="B1162" s="10">
        <f>IF($A1162="","",Ремонты!A167)</f>
        <v/>
      </c>
      <c r="C1162" s="10">
        <f>IF($A1162="","",Ремонты!D167)</f>
        <v/>
      </c>
      <c r="D1162" s="10">
        <f>IF($A1162="","",Ремонты!E167)</f>
        <v/>
      </c>
      <c r="E1162" s="10">
        <f>IF($A1162="","","Входной контроль")</f>
        <v/>
      </c>
      <c r="F1162" s="10">
        <f>IF($A1162="","",Ремонты!T167)</f>
        <v/>
      </c>
      <c r="G1162" s="10">
        <f>IF($A1162="","","Автозапись из листа Ремонты")</f>
        <v/>
      </c>
    </row>
    <row r="1163">
      <c r="A1163" s="12">
        <f>IF(Ремонты!S167="","",Ремонты!S167)</f>
        <v/>
      </c>
      <c r="B1163" s="10">
        <f>IF($A1163="","",Ремонты!A167)</f>
        <v/>
      </c>
      <c r="C1163" s="10">
        <f>IF($A1163="","",Ремонты!D167)</f>
        <v/>
      </c>
      <c r="D1163" s="10">
        <f>IF($A1163="","",Ремонты!E167)</f>
        <v/>
      </c>
      <c r="E1163" s="10">
        <f>IF($A1163="","","Оплата")</f>
        <v/>
      </c>
      <c r="F1163" s="10">
        <f>IF($A1163="","",Ремонты!T167)</f>
        <v/>
      </c>
      <c r="G1163" s="10">
        <f>IF($A1163="","","Автозапись из листа Ремонты")</f>
        <v/>
      </c>
    </row>
    <row r="1164">
      <c r="A1164" s="12">
        <f>IF(Ремонты!G168="","",Ремонты!G168)</f>
        <v/>
      </c>
      <c r="B1164" s="10">
        <f>IF($A1164="","",Ремонты!A168)</f>
        <v/>
      </c>
      <c r="C1164" s="10">
        <f>IF($A1164="","",Ремонты!D168)</f>
        <v/>
      </c>
      <c r="D1164" s="10">
        <f>IF($A1164="","",Ремонты!E168)</f>
        <v/>
      </c>
      <c r="E1164" s="10">
        <f>IF($A1164="","","Отправка в ремонт")</f>
        <v/>
      </c>
      <c r="F1164" s="10">
        <f>IF($A1164="","",Ремонты!T168)</f>
        <v/>
      </c>
      <c r="G1164" s="10">
        <f>IF($A1164="","","Автозапись из листа Ремонты")</f>
        <v/>
      </c>
    </row>
    <row r="1165">
      <c r="A1165" s="12">
        <f>IF(Ремонты!I168="","",Ремонты!I168)</f>
        <v/>
      </c>
      <c r="B1165" s="10">
        <f>IF($A1165="","",Ремонты!A168)</f>
        <v/>
      </c>
      <c r="C1165" s="10">
        <f>IF($A1165="","",Ремонты!D168)</f>
        <v/>
      </c>
      <c r="D1165" s="10">
        <f>IF($A1165="","",Ремонты!E168)</f>
        <v/>
      </c>
      <c r="E1165" s="10">
        <f>IF($A1165="","","Отправка из ремонта")</f>
        <v/>
      </c>
      <c r="F1165" s="10">
        <f>IF($A1165="","",Ремонты!T168)</f>
        <v/>
      </c>
      <c r="G1165" s="10">
        <f>IF($A1165="","","Автозапись из листа Ремонты")</f>
        <v/>
      </c>
    </row>
    <row r="1166">
      <c r="A1166" s="12">
        <f>IF(Ремонты!J168="","",Ремонты!J168)</f>
        <v/>
      </c>
      <c r="B1166" s="10">
        <f>IF($A1166="","",Ремонты!A168)</f>
        <v/>
      </c>
      <c r="C1166" s="10">
        <f>IF($A1166="","",Ремонты!D168)</f>
        <v/>
      </c>
      <c r="D1166" s="10">
        <f>IF($A1166="","",Ремонты!E168)</f>
        <v/>
      </c>
      <c r="E1166" s="10">
        <f>IF($A1166="","","Отправка из Иркутска")</f>
        <v/>
      </c>
      <c r="F1166" s="10">
        <f>IF($A1166="","",Ремонты!T168)</f>
        <v/>
      </c>
      <c r="G1166" s="10">
        <f>IF($A1166="","","Автозапись из листа Ремонты")</f>
        <v/>
      </c>
    </row>
    <row r="1167">
      <c r="A1167" s="12">
        <f>IF(Ремонты!K168="","",Ремонты!K168)</f>
        <v/>
      </c>
      <c r="B1167" s="10">
        <f>IF($A1167="","",Ремонты!A168)</f>
        <v/>
      </c>
      <c r="C1167" s="10">
        <f>IF($A1167="","",Ремонты!D168)</f>
        <v/>
      </c>
      <c r="D1167" s="10">
        <f>IF($A1167="","",Ремонты!E168)</f>
        <v/>
      </c>
      <c r="E1167" s="10">
        <f>IF($A1167="","","Прибытие в Ленск")</f>
        <v/>
      </c>
      <c r="F1167" s="10">
        <f>IF($A1167="","",Ремонты!T168)</f>
        <v/>
      </c>
      <c r="G1167" s="10">
        <f>IF($A1167="","","Автозапись из листа Ремонты")</f>
        <v/>
      </c>
    </row>
    <row r="1168">
      <c r="A1168" s="12">
        <f>IF(Ремонты!M168="","",Ремонты!M168)</f>
        <v/>
      </c>
      <c r="B1168" s="10">
        <f>IF($A1168="","",Ремонты!A168)</f>
        <v/>
      </c>
      <c r="C1168" s="10">
        <f>IF($A1168="","",Ремонты!D168)</f>
        <v/>
      </c>
      <c r="D1168" s="10">
        <f>IF($A1168="","",Ремонты!E168)</f>
        <v/>
      </c>
      <c r="E1168" s="10">
        <f>IF($A1168="","","Фактическое получение")</f>
        <v/>
      </c>
      <c r="F1168" s="10">
        <f>IF($A1168="","",Ремонты!T168)</f>
        <v/>
      </c>
      <c r="G1168" s="10">
        <f>IF($A1168="","","Автозапись из листа Ремонты")</f>
        <v/>
      </c>
    </row>
    <row r="1169">
      <c r="A1169" s="12">
        <f>IF(Ремонты!P168="","",Ремонты!P168)</f>
        <v/>
      </c>
      <c r="B1169" s="10">
        <f>IF($A1169="","",Ремонты!A168)</f>
        <v/>
      </c>
      <c r="C1169" s="10">
        <f>IF($A1169="","",Ремонты!D168)</f>
        <v/>
      </c>
      <c r="D1169" s="10">
        <f>IF($A1169="","",Ремонты!E168)</f>
        <v/>
      </c>
      <c r="E1169" s="10">
        <f>IF($A1169="","","Входной контроль")</f>
        <v/>
      </c>
      <c r="F1169" s="10">
        <f>IF($A1169="","",Ремонты!T168)</f>
        <v/>
      </c>
      <c r="G1169" s="10">
        <f>IF($A1169="","","Автозапись из листа Ремонты")</f>
        <v/>
      </c>
    </row>
    <row r="1170">
      <c r="A1170" s="12">
        <f>IF(Ремонты!S168="","",Ремонты!S168)</f>
        <v/>
      </c>
      <c r="B1170" s="10">
        <f>IF($A1170="","",Ремонты!A168)</f>
        <v/>
      </c>
      <c r="C1170" s="10">
        <f>IF($A1170="","",Ремонты!D168)</f>
        <v/>
      </c>
      <c r="D1170" s="10">
        <f>IF($A1170="","",Ремонты!E168)</f>
        <v/>
      </c>
      <c r="E1170" s="10">
        <f>IF($A1170="","","Оплата")</f>
        <v/>
      </c>
      <c r="F1170" s="10">
        <f>IF($A1170="","",Ремонты!T168)</f>
        <v/>
      </c>
      <c r="G1170" s="10">
        <f>IF($A1170="","","Автозапись из листа Ремонты")</f>
        <v/>
      </c>
    </row>
    <row r="1171">
      <c r="A1171" s="12">
        <f>IF(Ремонты!G169="","",Ремонты!G169)</f>
        <v/>
      </c>
      <c r="B1171" s="10">
        <f>IF($A1171="","",Ремонты!A169)</f>
        <v/>
      </c>
      <c r="C1171" s="10">
        <f>IF($A1171="","",Ремонты!D169)</f>
        <v/>
      </c>
      <c r="D1171" s="10">
        <f>IF($A1171="","",Ремонты!E169)</f>
        <v/>
      </c>
      <c r="E1171" s="10">
        <f>IF($A1171="","","Отправка в ремонт")</f>
        <v/>
      </c>
      <c r="F1171" s="10">
        <f>IF($A1171="","",Ремонты!T169)</f>
        <v/>
      </c>
      <c r="G1171" s="10">
        <f>IF($A1171="","","Автозапись из листа Ремонты")</f>
        <v/>
      </c>
    </row>
    <row r="1172">
      <c r="A1172" s="12">
        <f>IF(Ремонты!I169="","",Ремонты!I169)</f>
        <v/>
      </c>
      <c r="B1172" s="10">
        <f>IF($A1172="","",Ремонты!A169)</f>
        <v/>
      </c>
      <c r="C1172" s="10">
        <f>IF($A1172="","",Ремонты!D169)</f>
        <v/>
      </c>
      <c r="D1172" s="10">
        <f>IF($A1172="","",Ремонты!E169)</f>
        <v/>
      </c>
      <c r="E1172" s="10">
        <f>IF($A1172="","","Отправка из ремонта")</f>
        <v/>
      </c>
      <c r="F1172" s="10">
        <f>IF($A1172="","",Ремонты!T169)</f>
        <v/>
      </c>
      <c r="G1172" s="10">
        <f>IF($A1172="","","Автозапись из листа Ремонты")</f>
        <v/>
      </c>
    </row>
    <row r="1173">
      <c r="A1173" s="12">
        <f>IF(Ремонты!J169="","",Ремонты!J169)</f>
        <v/>
      </c>
      <c r="B1173" s="10">
        <f>IF($A1173="","",Ремонты!A169)</f>
        <v/>
      </c>
      <c r="C1173" s="10">
        <f>IF($A1173="","",Ремонты!D169)</f>
        <v/>
      </c>
      <c r="D1173" s="10">
        <f>IF($A1173="","",Ремонты!E169)</f>
        <v/>
      </c>
      <c r="E1173" s="10">
        <f>IF($A1173="","","Отправка из Иркутска")</f>
        <v/>
      </c>
      <c r="F1173" s="10">
        <f>IF($A1173="","",Ремонты!T169)</f>
        <v/>
      </c>
      <c r="G1173" s="10">
        <f>IF($A1173="","","Автозапись из листа Ремонты")</f>
        <v/>
      </c>
    </row>
    <row r="1174">
      <c r="A1174" s="12">
        <f>IF(Ремонты!K169="","",Ремонты!K169)</f>
        <v/>
      </c>
      <c r="B1174" s="10">
        <f>IF($A1174="","",Ремонты!A169)</f>
        <v/>
      </c>
      <c r="C1174" s="10">
        <f>IF($A1174="","",Ремонты!D169)</f>
        <v/>
      </c>
      <c r="D1174" s="10">
        <f>IF($A1174="","",Ремонты!E169)</f>
        <v/>
      </c>
      <c r="E1174" s="10">
        <f>IF($A1174="","","Прибытие в Ленск")</f>
        <v/>
      </c>
      <c r="F1174" s="10">
        <f>IF($A1174="","",Ремонты!T169)</f>
        <v/>
      </c>
      <c r="G1174" s="10">
        <f>IF($A1174="","","Автозапись из листа Ремонты")</f>
        <v/>
      </c>
    </row>
    <row r="1175">
      <c r="A1175" s="12">
        <f>IF(Ремонты!M169="","",Ремонты!M169)</f>
        <v/>
      </c>
      <c r="B1175" s="10">
        <f>IF($A1175="","",Ремонты!A169)</f>
        <v/>
      </c>
      <c r="C1175" s="10">
        <f>IF($A1175="","",Ремонты!D169)</f>
        <v/>
      </c>
      <c r="D1175" s="10">
        <f>IF($A1175="","",Ремонты!E169)</f>
        <v/>
      </c>
      <c r="E1175" s="10">
        <f>IF($A1175="","","Фактическое получение")</f>
        <v/>
      </c>
      <c r="F1175" s="10">
        <f>IF($A1175="","",Ремонты!T169)</f>
        <v/>
      </c>
      <c r="G1175" s="10">
        <f>IF($A1175="","","Автозапись из листа Ремонты")</f>
        <v/>
      </c>
    </row>
    <row r="1176">
      <c r="A1176" s="12">
        <f>IF(Ремонты!P169="","",Ремонты!P169)</f>
        <v/>
      </c>
      <c r="B1176" s="10">
        <f>IF($A1176="","",Ремонты!A169)</f>
        <v/>
      </c>
      <c r="C1176" s="10">
        <f>IF($A1176="","",Ремонты!D169)</f>
        <v/>
      </c>
      <c r="D1176" s="10">
        <f>IF($A1176="","",Ремонты!E169)</f>
        <v/>
      </c>
      <c r="E1176" s="10">
        <f>IF($A1176="","","Входной контроль")</f>
        <v/>
      </c>
      <c r="F1176" s="10">
        <f>IF($A1176="","",Ремонты!T169)</f>
        <v/>
      </c>
      <c r="G1176" s="10">
        <f>IF($A1176="","","Автозапись из листа Ремонты")</f>
        <v/>
      </c>
    </row>
    <row r="1177">
      <c r="A1177" s="12">
        <f>IF(Ремонты!S169="","",Ремонты!S169)</f>
        <v/>
      </c>
      <c r="B1177" s="10">
        <f>IF($A1177="","",Ремонты!A169)</f>
        <v/>
      </c>
      <c r="C1177" s="10">
        <f>IF($A1177="","",Ремонты!D169)</f>
        <v/>
      </c>
      <c r="D1177" s="10">
        <f>IF($A1177="","",Ремонты!E169)</f>
        <v/>
      </c>
      <c r="E1177" s="10">
        <f>IF($A1177="","","Оплата")</f>
        <v/>
      </c>
      <c r="F1177" s="10">
        <f>IF($A1177="","",Ремонты!T169)</f>
        <v/>
      </c>
      <c r="G1177" s="10">
        <f>IF($A1177="","","Автозапись из листа Ремонты")</f>
        <v/>
      </c>
    </row>
    <row r="1178">
      <c r="A1178" s="12">
        <f>IF(Ремонты!G170="","",Ремонты!G170)</f>
        <v/>
      </c>
      <c r="B1178" s="10">
        <f>IF($A1178="","",Ремонты!A170)</f>
        <v/>
      </c>
      <c r="C1178" s="10">
        <f>IF($A1178="","",Ремонты!D170)</f>
        <v/>
      </c>
      <c r="D1178" s="10">
        <f>IF($A1178="","",Ремонты!E170)</f>
        <v/>
      </c>
      <c r="E1178" s="10">
        <f>IF($A1178="","","Отправка в ремонт")</f>
        <v/>
      </c>
      <c r="F1178" s="10">
        <f>IF($A1178="","",Ремонты!T170)</f>
        <v/>
      </c>
      <c r="G1178" s="10">
        <f>IF($A1178="","","Автозапись из листа Ремонты")</f>
        <v/>
      </c>
    </row>
    <row r="1179">
      <c r="A1179" s="12">
        <f>IF(Ремонты!I170="","",Ремонты!I170)</f>
        <v/>
      </c>
      <c r="B1179" s="10">
        <f>IF($A1179="","",Ремонты!A170)</f>
        <v/>
      </c>
      <c r="C1179" s="10">
        <f>IF($A1179="","",Ремонты!D170)</f>
        <v/>
      </c>
      <c r="D1179" s="10">
        <f>IF($A1179="","",Ремонты!E170)</f>
        <v/>
      </c>
      <c r="E1179" s="10">
        <f>IF($A1179="","","Отправка из ремонта")</f>
        <v/>
      </c>
      <c r="F1179" s="10">
        <f>IF($A1179="","",Ремонты!T170)</f>
        <v/>
      </c>
      <c r="G1179" s="10">
        <f>IF($A1179="","","Автозапись из листа Ремонты")</f>
        <v/>
      </c>
    </row>
    <row r="1180">
      <c r="A1180" s="12">
        <f>IF(Ремонты!J170="","",Ремонты!J170)</f>
        <v/>
      </c>
      <c r="B1180" s="10">
        <f>IF($A1180="","",Ремонты!A170)</f>
        <v/>
      </c>
      <c r="C1180" s="10">
        <f>IF($A1180="","",Ремонты!D170)</f>
        <v/>
      </c>
      <c r="D1180" s="10">
        <f>IF($A1180="","",Ремонты!E170)</f>
        <v/>
      </c>
      <c r="E1180" s="10">
        <f>IF($A1180="","","Отправка из Иркутска")</f>
        <v/>
      </c>
      <c r="F1180" s="10">
        <f>IF($A1180="","",Ремонты!T170)</f>
        <v/>
      </c>
      <c r="G1180" s="10">
        <f>IF($A1180="","","Автозапись из листа Ремонты")</f>
        <v/>
      </c>
    </row>
    <row r="1181">
      <c r="A1181" s="12">
        <f>IF(Ремонты!K170="","",Ремонты!K170)</f>
        <v/>
      </c>
      <c r="B1181" s="10">
        <f>IF($A1181="","",Ремонты!A170)</f>
        <v/>
      </c>
      <c r="C1181" s="10">
        <f>IF($A1181="","",Ремонты!D170)</f>
        <v/>
      </c>
      <c r="D1181" s="10">
        <f>IF($A1181="","",Ремонты!E170)</f>
        <v/>
      </c>
      <c r="E1181" s="10">
        <f>IF($A1181="","","Прибытие в Ленск")</f>
        <v/>
      </c>
      <c r="F1181" s="10">
        <f>IF($A1181="","",Ремонты!T170)</f>
        <v/>
      </c>
      <c r="G1181" s="10">
        <f>IF($A1181="","","Автозапись из листа Ремонты")</f>
        <v/>
      </c>
    </row>
    <row r="1182">
      <c r="A1182" s="12">
        <f>IF(Ремонты!M170="","",Ремонты!M170)</f>
        <v/>
      </c>
      <c r="B1182" s="10">
        <f>IF($A1182="","",Ремонты!A170)</f>
        <v/>
      </c>
      <c r="C1182" s="10">
        <f>IF($A1182="","",Ремонты!D170)</f>
        <v/>
      </c>
      <c r="D1182" s="10">
        <f>IF($A1182="","",Ремонты!E170)</f>
        <v/>
      </c>
      <c r="E1182" s="10">
        <f>IF($A1182="","","Фактическое получение")</f>
        <v/>
      </c>
      <c r="F1182" s="10">
        <f>IF($A1182="","",Ремонты!T170)</f>
        <v/>
      </c>
      <c r="G1182" s="10">
        <f>IF($A1182="","","Автозапись из листа Ремонты")</f>
        <v/>
      </c>
    </row>
    <row r="1183">
      <c r="A1183" s="12">
        <f>IF(Ремонты!P170="","",Ремонты!P170)</f>
        <v/>
      </c>
      <c r="B1183" s="10">
        <f>IF($A1183="","",Ремонты!A170)</f>
        <v/>
      </c>
      <c r="C1183" s="10">
        <f>IF($A1183="","",Ремонты!D170)</f>
        <v/>
      </c>
      <c r="D1183" s="10">
        <f>IF($A1183="","",Ремонты!E170)</f>
        <v/>
      </c>
      <c r="E1183" s="10">
        <f>IF($A1183="","","Входной контроль")</f>
        <v/>
      </c>
      <c r="F1183" s="10">
        <f>IF($A1183="","",Ремонты!T170)</f>
        <v/>
      </c>
      <c r="G1183" s="10">
        <f>IF($A1183="","","Автозапись из листа Ремонты")</f>
        <v/>
      </c>
    </row>
    <row r="1184">
      <c r="A1184" s="12">
        <f>IF(Ремонты!S170="","",Ремонты!S170)</f>
        <v/>
      </c>
      <c r="B1184" s="10">
        <f>IF($A1184="","",Ремонты!A170)</f>
        <v/>
      </c>
      <c r="C1184" s="10">
        <f>IF($A1184="","",Ремонты!D170)</f>
        <v/>
      </c>
      <c r="D1184" s="10">
        <f>IF($A1184="","",Ремонты!E170)</f>
        <v/>
      </c>
      <c r="E1184" s="10">
        <f>IF($A1184="","","Оплата")</f>
        <v/>
      </c>
      <c r="F1184" s="10">
        <f>IF($A1184="","",Ремонты!T170)</f>
        <v/>
      </c>
      <c r="G1184" s="10">
        <f>IF($A1184="","","Автозапись из листа Ремонты")</f>
        <v/>
      </c>
    </row>
    <row r="1185">
      <c r="A1185" s="12">
        <f>IF(Ремонты!G171="","",Ремонты!G171)</f>
        <v/>
      </c>
      <c r="B1185" s="10">
        <f>IF($A1185="","",Ремонты!A171)</f>
        <v/>
      </c>
      <c r="C1185" s="10">
        <f>IF($A1185="","",Ремонты!D171)</f>
        <v/>
      </c>
      <c r="D1185" s="10">
        <f>IF($A1185="","",Ремонты!E171)</f>
        <v/>
      </c>
      <c r="E1185" s="10">
        <f>IF($A1185="","","Отправка в ремонт")</f>
        <v/>
      </c>
      <c r="F1185" s="10">
        <f>IF($A1185="","",Ремонты!T171)</f>
        <v/>
      </c>
      <c r="G1185" s="10">
        <f>IF($A1185="","","Автозапись из листа Ремонты")</f>
        <v/>
      </c>
    </row>
    <row r="1186">
      <c r="A1186" s="12">
        <f>IF(Ремонты!I171="","",Ремонты!I171)</f>
        <v/>
      </c>
      <c r="B1186" s="10">
        <f>IF($A1186="","",Ремонты!A171)</f>
        <v/>
      </c>
      <c r="C1186" s="10">
        <f>IF($A1186="","",Ремонты!D171)</f>
        <v/>
      </c>
      <c r="D1186" s="10">
        <f>IF($A1186="","",Ремонты!E171)</f>
        <v/>
      </c>
      <c r="E1186" s="10">
        <f>IF($A1186="","","Отправка из ремонта")</f>
        <v/>
      </c>
      <c r="F1186" s="10">
        <f>IF($A1186="","",Ремонты!T171)</f>
        <v/>
      </c>
      <c r="G1186" s="10">
        <f>IF($A1186="","","Автозапись из листа Ремонты")</f>
        <v/>
      </c>
    </row>
    <row r="1187">
      <c r="A1187" s="12">
        <f>IF(Ремонты!J171="","",Ремонты!J171)</f>
        <v/>
      </c>
      <c r="B1187" s="10">
        <f>IF($A1187="","",Ремонты!A171)</f>
        <v/>
      </c>
      <c r="C1187" s="10">
        <f>IF($A1187="","",Ремонты!D171)</f>
        <v/>
      </c>
      <c r="D1187" s="10">
        <f>IF($A1187="","",Ремонты!E171)</f>
        <v/>
      </c>
      <c r="E1187" s="10">
        <f>IF($A1187="","","Отправка из Иркутска")</f>
        <v/>
      </c>
      <c r="F1187" s="10">
        <f>IF($A1187="","",Ремонты!T171)</f>
        <v/>
      </c>
      <c r="G1187" s="10">
        <f>IF($A1187="","","Автозапись из листа Ремонты")</f>
        <v/>
      </c>
    </row>
    <row r="1188">
      <c r="A1188" s="12">
        <f>IF(Ремонты!K171="","",Ремонты!K171)</f>
        <v/>
      </c>
      <c r="B1188" s="10">
        <f>IF($A1188="","",Ремонты!A171)</f>
        <v/>
      </c>
      <c r="C1188" s="10">
        <f>IF($A1188="","",Ремонты!D171)</f>
        <v/>
      </c>
      <c r="D1188" s="10">
        <f>IF($A1188="","",Ремонты!E171)</f>
        <v/>
      </c>
      <c r="E1188" s="10">
        <f>IF($A1188="","","Прибытие в Ленск")</f>
        <v/>
      </c>
      <c r="F1188" s="10">
        <f>IF($A1188="","",Ремонты!T171)</f>
        <v/>
      </c>
      <c r="G1188" s="10">
        <f>IF($A1188="","","Автозапись из листа Ремонты")</f>
        <v/>
      </c>
    </row>
    <row r="1189">
      <c r="A1189" s="12">
        <f>IF(Ремонты!M171="","",Ремонты!M171)</f>
        <v/>
      </c>
      <c r="B1189" s="10">
        <f>IF($A1189="","",Ремонты!A171)</f>
        <v/>
      </c>
      <c r="C1189" s="10">
        <f>IF($A1189="","",Ремонты!D171)</f>
        <v/>
      </c>
      <c r="D1189" s="10">
        <f>IF($A1189="","",Ремонты!E171)</f>
        <v/>
      </c>
      <c r="E1189" s="10">
        <f>IF($A1189="","","Фактическое получение")</f>
        <v/>
      </c>
      <c r="F1189" s="10">
        <f>IF($A1189="","",Ремонты!T171)</f>
        <v/>
      </c>
      <c r="G1189" s="10">
        <f>IF($A1189="","","Автозапись из листа Ремонты")</f>
        <v/>
      </c>
    </row>
    <row r="1190">
      <c r="A1190" s="12">
        <f>IF(Ремонты!P171="","",Ремонты!P171)</f>
        <v/>
      </c>
      <c r="B1190" s="10">
        <f>IF($A1190="","",Ремонты!A171)</f>
        <v/>
      </c>
      <c r="C1190" s="10">
        <f>IF($A1190="","",Ремонты!D171)</f>
        <v/>
      </c>
      <c r="D1190" s="10">
        <f>IF($A1190="","",Ремонты!E171)</f>
        <v/>
      </c>
      <c r="E1190" s="10">
        <f>IF($A1190="","","Входной контроль")</f>
        <v/>
      </c>
      <c r="F1190" s="10">
        <f>IF($A1190="","",Ремонты!T171)</f>
        <v/>
      </c>
      <c r="G1190" s="10">
        <f>IF($A1190="","","Автозапись из листа Ремонты")</f>
        <v/>
      </c>
    </row>
    <row r="1191">
      <c r="A1191" s="12">
        <f>IF(Ремонты!S171="","",Ремонты!S171)</f>
        <v/>
      </c>
      <c r="B1191" s="10">
        <f>IF($A1191="","",Ремонты!A171)</f>
        <v/>
      </c>
      <c r="C1191" s="10">
        <f>IF($A1191="","",Ремонты!D171)</f>
        <v/>
      </c>
      <c r="D1191" s="10">
        <f>IF($A1191="","",Ремонты!E171)</f>
        <v/>
      </c>
      <c r="E1191" s="10">
        <f>IF($A1191="","","Оплата")</f>
        <v/>
      </c>
      <c r="F1191" s="10">
        <f>IF($A1191="","",Ремонты!T171)</f>
        <v/>
      </c>
      <c r="G1191" s="10">
        <f>IF($A1191="","","Автозапись из листа Ремонты")</f>
        <v/>
      </c>
    </row>
    <row r="1192">
      <c r="A1192" s="12">
        <f>IF(Ремонты!G172="","",Ремонты!G172)</f>
        <v/>
      </c>
      <c r="B1192" s="10">
        <f>IF($A1192="","",Ремонты!A172)</f>
        <v/>
      </c>
      <c r="C1192" s="10">
        <f>IF($A1192="","",Ремонты!D172)</f>
        <v/>
      </c>
      <c r="D1192" s="10">
        <f>IF($A1192="","",Ремонты!E172)</f>
        <v/>
      </c>
      <c r="E1192" s="10">
        <f>IF($A1192="","","Отправка в ремонт")</f>
        <v/>
      </c>
      <c r="F1192" s="10">
        <f>IF($A1192="","",Ремонты!T172)</f>
        <v/>
      </c>
      <c r="G1192" s="10">
        <f>IF($A1192="","","Автозапись из листа Ремонты")</f>
        <v/>
      </c>
    </row>
    <row r="1193">
      <c r="A1193" s="12">
        <f>IF(Ремонты!I172="","",Ремонты!I172)</f>
        <v/>
      </c>
      <c r="B1193" s="10">
        <f>IF($A1193="","",Ремонты!A172)</f>
        <v/>
      </c>
      <c r="C1193" s="10">
        <f>IF($A1193="","",Ремонты!D172)</f>
        <v/>
      </c>
      <c r="D1193" s="10">
        <f>IF($A1193="","",Ремонты!E172)</f>
        <v/>
      </c>
      <c r="E1193" s="10">
        <f>IF($A1193="","","Отправка из ремонта")</f>
        <v/>
      </c>
      <c r="F1193" s="10">
        <f>IF($A1193="","",Ремонты!T172)</f>
        <v/>
      </c>
      <c r="G1193" s="10">
        <f>IF($A1193="","","Автозапись из листа Ремонты")</f>
        <v/>
      </c>
    </row>
    <row r="1194">
      <c r="A1194" s="12">
        <f>IF(Ремонты!J172="","",Ремонты!J172)</f>
        <v/>
      </c>
      <c r="B1194" s="10">
        <f>IF($A1194="","",Ремонты!A172)</f>
        <v/>
      </c>
      <c r="C1194" s="10">
        <f>IF($A1194="","",Ремонты!D172)</f>
        <v/>
      </c>
      <c r="D1194" s="10">
        <f>IF($A1194="","",Ремонты!E172)</f>
        <v/>
      </c>
      <c r="E1194" s="10">
        <f>IF($A1194="","","Отправка из Иркутска")</f>
        <v/>
      </c>
      <c r="F1194" s="10">
        <f>IF($A1194="","",Ремонты!T172)</f>
        <v/>
      </c>
      <c r="G1194" s="10">
        <f>IF($A1194="","","Автозапись из листа Ремонты")</f>
        <v/>
      </c>
    </row>
    <row r="1195">
      <c r="A1195" s="12">
        <f>IF(Ремонты!K172="","",Ремонты!K172)</f>
        <v/>
      </c>
      <c r="B1195" s="10">
        <f>IF($A1195="","",Ремонты!A172)</f>
        <v/>
      </c>
      <c r="C1195" s="10">
        <f>IF($A1195="","",Ремонты!D172)</f>
        <v/>
      </c>
      <c r="D1195" s="10">
        <f>IF($A1195="","",Ремонты!E172)</f>
        <v/>
      </c>
      <c r="E1195" s="10">
        <f>IF($A1195="","","Прибытие в Ленск")</f>
        <v/>
      </c>
      <c r="F1195" s="10">
        <f>IF($A1195="","",Ремонты!T172)</f>
        <v/>
      </c>
      <c r="G1195" s="10">
        <f>IF($A1195="","","Автозапись из листа Ремонты")</f>
        <v/>
      </c>
    </row>
    <row r="1196">
      <c r="A1196" s="12">
        <f>IF(Ремонты!M172="","",Ремонты!M172)</f>
        <v/>
      </c>
      <c r="B1196" s="10">
        <f>IF($A1196="","",Ремонты!A172)</f>
        <v/>
      </c>
      <c r="C1196" s="10">
        <f>IF($A1196="","",Ремонты!D172)</f>
        <v/>
      </c>
      <c r="D1196" s="10">
        <f>IF($A1196="","",Ремонты!E172)</f>
        <v/>
      </c>
      <c r="E1196" s="10">
        <f>IF($A1196="","","Фактическое получение")</f>
        <v/>
      </c>
      <c r="F1196" s="10">
        <f>IF($A1196="","",Ремонты!T172)</f>
        <v/>
      </c>
      <c r="G1196" s="10">
        <f>IF($A1196="","","Автозапись из листа Ремонты")</f>
        <v/>
      </c>
    </row>
    <row r="1197">
      <c r="A1197" s="12">
        <f>IF(Ремонты!P172="","",Ремонты!P172)</f>
        <v/>
      </c>
      <c r="B1197" s="10">
        <f>IF($A1197="","",Ремонты!A172)</f>
        <v/>
      </c>
      <c r="C1197" s="10">
        <f>IF($A1197="","",Ремонты!D172)</f>
        <v/>
      </c>
      <c r="D1197" s="10">
        <f>IF($A1197="","",Ремонты!E172)</f>
        <v/>
      </c>
      <c r="E1197" s="10">
        <f>IF($A1197="","","Входной контроль")</f>
        <v/>
      </c>
      <c r="F1197" s="10">
        <f>IF($A1197="","",Ремонты!T172)</f>
        <v/>
      </c>
      <c r="G1197" s="10">
        <f>IF($A1197="","","Автозапись из листа Ремонты")</f>
        <v/>
      </c>
    </row>
    <row r="1198">
      <c r="A1198" s="12">
        <f>IF(Ремонты!S172="","",Ремонты!S172)</f>
        <v/>
      </c>
      <c r="B1198" s="10">
        <f>IF($A1198="","",Ремонты!A172)</f>
        <v/>
      </c>
      <c r="C1198" s="10">
        <f>IF($A1198="","",Ремонты!D172)</f>
        <v/>
      </c>
      <c r="D1198" s="10">
        <f>IF($A1198="","",Ремонты!E172)</f>
        <v/>
      </c>
      <c r="E1198" s="10">
        <f>IF($A1198="","","Оплата")</f>
        <v/>
      </c>
      <c r="F1198" s="10">
        <f>IF($A1198="","",Ремонты!T172)</f>
        <v/>
      </c>
      <c r="G1198" s="10">
        <f>IF($A1198="","","Автозапись из листа Ремонты")</f>
        <v/>
      </c>
    </row>
    <row r="1199">
      <c r="A1199" s="12">
        <f>IF(Ремонты!G173="","",Ремонты!G173)</f>
        <v/>
      </c>
      <c r="B1199" s="10">
        <f>IF($A1199="","",Ремонты!A173)</f>
        <v/>
      </c>
      <c r="C1199" s="10">
        <f>IF($A1199="","",Ремонты!D173)</f>
        <v/>
      </c>
      <c r="D1199" s="10">
        <f>IF($A1199="","",Ремонты!E173)</f>
        <v/>
      </c>
      <c r="E1199" s="10">
        <f>IF($A1199="","","Отправка в ремонт")</f>
        <v/>
      </c>
      <c r="F1199" s="10">
        <f>IF($A1199="","",Ремонты!T173)</f>
        <v/>
      </c>
      <c r="G1199" s="10">
        <f>IF($A1199="","","Автозапись из листа Ремонты")</f>
        <v/>
      </c>
    </row>
    <row r="1200">
      <c r="A1200" s="12">
        <f>IF(Ремонты!I173="","",Ремонты!I173)</f>
        <v/>
      </c>
      <c r="B1200" s="10">
        <f>IF($A1200="","",Ремонты!A173)</f>
        <v/>
      </c>
      <c r="C1200" s="10">
        <f>IF($A1200="","",Ремонты!D173)</f>
        <v/>
      </c>
      <c r="D1200" s="10">
        <f>IF($A1200="","",Ремонты!E173)</f>
        <v/>
      </c>
      <c r="E1200" s="10">
        <f>IF($A1200="","","Отправка из ремонта")</f>
        <v/>
      </c>
      <c r="F1200" s="10">
        <f>IF($A1200="","",Ремонты!T173)</f>
        <v/>
      </c>
      <c r="G1200" s="10">
        <f>IF($A1200="","","Автозапись из листа Ремонты")</f>
        <v/>
      </c>
    </row>
    <row r="1201">
      <c r="A1201" s="12">
        <f>IF(Ремонты!J173="","",Ремонты!J173)</f>
        <v/>
      </c>
      <c r="B1201" s="10">
        <f>IF($A1201="","",Ремонты!A173)</f>
        <v/>
      </c>
      <c r="C1201" s="10">
        <f>IF($A1201="","",Ремонты!D173)</f>
        <v/>
      </c>
      <c r="D1201" s="10">
        <f>IF($A1201="","",Ремонты!E173)</f>
        <v/>
      </c>
      <c r="E1201" s="10">
        <f>IF($A1201="","","Отправка из Иркутска")</f>
        <v/>
      </c>
      <c r="F1201" s="10">
        <f>IF($A1201="","",Ремонты!T173)</f>
        <v/>
      </c>
      <c r="G1201" s="10">
        <f>IF($A1201="","","Автозапись из листа Ремонты")</f>
        <v/>
      </c>
    </row>
    <row r="1202">
      <c r="A1202" s="12">
        <f>IF(Ремонты!K173="","",Ремонты!K173)</f>
        <v/>
      </c>
      <c r="B1202" s="10">
        <f>IF($A1202="","",Ремонты!A173)</f>
        <v/>
      </c>
      <c r="C1202" s="10">
        <f>IF($A1202="","",Ремонты!D173)</f>
        <v/>
      </c>
      <c r="D1202" s="10">
        <f>IF($A1202="","",Ремонты!E173)</f>
        <v/>
      </c>
      <c r="E1202" s="10">
        <f>IF($A1202="","","Прибытие в Ленск")</f>
        <v/>
      </c>
      <c r="F1202" s="10">
        <f>IF($A1202="","",Ремонты!T173)</f>
        <v/>
      </c>
      <c r="G1202" s="10">
        <f>IF($A1202="","","Автозапись из листа Ремонты")</f>
        <v/>
      </c>
    </row>
    <row r="1203">
      <c r="A1203" s="12">
        <f>IF(Ремонты!M173="","",Ремонты!M173)</f>
        <v/>
      </c>
      <c r="B1203" s="10">
        <f>IF($A1203="","",Ремонты!A173)</f>
        <v/>
      </c>
      <c r="C1203" s="10">
        <f>IF($A1203="","",Ремонты!D173)</f>
        <v/>
      </c>
      <c r="D1203" s="10">
        <f>IF($A1203="","",Ремонты!E173)</f>
        <v/>
      </c>
      <c r="E1203" s="10">
        <f>IF($A1203="","","Фактическое получение")</f>
        <v/>
      </c>
      <c r="F1203" s="10">
        <f>IF($A1203="","",Ремонты!T173)</f>
        <v/>
      </c>
      <c r="G1203" s="10">
        <f>IF($A1203="","","Автозапись из листа Ремонты")</f>
        <v/>
      </c>
    </row>
    <row r="1204">
      <c r="A1204" s="12">
        <f>IF(Ремонты!P173="","",Ремонты!P173)</f>
        <v/>
      </c>
      <c r="B1204" s="10">
        <f>IF($A1204="","",Ремонты!A173)</f>
        <v/>
      </c>
      <c r="C1204" s="10">
        <f>IF($A1204="","",Ремонты!D173)</f>
        <v/>
      </c>
      <c r="D1204" s="10">
        <f>IF($A1204="","",Ремонты!E173)</f>
        <v/>
      </c>
      <c r="E1204" s="10">
        <f>IF($A1204="","","Входной контроль")</f>
        <v/>
      </c>
      <c r="F1204" s="10">
        <f>IF($A1204="","",Ремонты!T173)</f>
        <v/>
      </c>
      <c r="G1204" s="10">
        <f>IF($A1204="","","Автозапись из листа Ремонты")</f>
        <v/>
      </c>
    </row>
    <row r="1205">
      <c r="A1205" s="12">
        <f>IF(Ремонты!S173="","",Ремонты!S173)</f>
        <v/>
      </c>
      <c r="B1205" s="10">
        <f>IF($A1205="","",Ремонты!A173)</f>
        <v/>
      </c>
      <c r="C1205" s="10">
        <f>IF($A1205="","",Ремонты!D173)</f>
        <v/>
      </c>
      <c r="D1205" s="10">
        <f>IF($A1205="","",Ремонты!E173)</f>
        <v/>
      </c>
      <c r="E1205" s="10">
        <f>IF($A1205="","","Оплата")</f>
        <v/>
      </c>
      <c r="F1205" s="10">
        <f>IF($A1205="","",Ремонты!T173)</f>
        <v/>
      </c>
      <c r="G1205" s="10">
        <f>IF($A1205="","","Автозапись из листа Ремонты")</f>
        <v/>
      </c>
    </row>
    <row r="1206">
      <c r="A1206" s="12">
        <f>IF(Ремонты!G174="","",Ремонты!G174)</f>
        <v/>
      </c>
      <c r="B1206" s="10">
        <f>IF($A1206="","",Ремонты!A174)</f>
        <v/>
      </c>
      <c r="C1206" s="10">
        <f>IF($A1206="","",Ремонты!D174)</f>
        <v/>
      </c>
      <c r="D1206" s="10">
        <f>IF($A1206="","",Ремонты!E174)</f>
        <v/>
      </c>
      <c r="E1206" s="10">
        <f>IF($A1206="","","Отправка в ремонт")</f>
        <v/>
      </c>
      <c r="F1206" s="10">
        <f>IF($A1206="","",Ремонты!T174)</f>
        <v/>
      </c>
      <c r="G1206" s="10">
        <f>IF($A1206="","","Автозапись из листа Ремонты")</f>
        <v/>
      </c>
    </row>
    <row r="1207">
      <c r="A1207" s="12">
        <f>IF(Ремонты!I174="","",Ремонты!I174)</f>
        <v/>
      </c>
      <c r="B1207" s="10">
        <f>IF($A1207="","",Ремонты!A174)</f>
        <v/>
      </c>
      <c r="C1207" s="10">
        <f>IF($A1207="","",Ремонты!D174)</f>
        <v/>
      </c>
      <c r="D1207" s="10">
        <f>IF($A1207="","",Ремонты!E174)</f>
        <v/>
      </c>
      <c r="E1207" s="10">
        <f>IF($A1207="","","Отправка из ремонта")</f>
        <v/>
      </c>
      <c r="F1207" s="10">
        <f>IF($A1207="","",Ремонты!T174)</f>
        <v/>
      </c>
      <c r="G1207" s="10">
        <f>IF($A1207="","","Автозапись из листа Ремонты")</f>
        <v/>
      </c>
    </row>
    <row r="1208">
      <c r="A1208" s="12">
        <f>IF(Ремонты!J174="","",Ремонты!J174)</f>
        <v/>
      </c>
      <c r="B1208" s="10">
        <f>IF($A1208="","",Ремонты!A174)</f>
        <v/>
      </c>
      <c r="C1208" s="10">
        <f>IF($A1208="","",Ремонты!D174)</f>
        <v/>
      </c>
      <c r="D1208" s="10">
        <f>IF($A1208="","",Ремонты!E174)</f>
        <v/>
      </c>
      <c r="E1208" s="10">
        <f>IF($A1208="","","Отправка из Иркутска")</f>
        <v/>
      </c>
      <c r="F1208" s="10">
        <f>IF($A1208="","",Ремонты!T174)</f>
        <v/>
      </c>
      <c r="G1208" s="10">
        <f>IF($A1208="","","Автозапись из листа Ремонты")</f>
        <v/>
      </c>
    </row>
    <row r="1209">
      <c r="A1209" s="12">
        <f>IF(Ремонты!K174="","",Ремонты!K174)</f>
        <v/>
      </c>
      <c r="B1209" s="10">
        <f>IF($A1209="","",Ремонты!A174)</f>
        <v/>
      </c>
      <c r="C1209" s="10">
        <f>IF($A1209="","",Ремонты!D174)</f>
        <v/>
      </c>
      <c r="D1209" s="10">
        <f>IF($A1209="","",Ремонты!E174)</f>
        <v/>
      </c>
      <c r="E1209" s="10">
        <f>IF($A1209="","","Прибытие в Ленск")</f>
        <v/>
      </c>
      <c r="F1209" s="10">
        <f>IF($A1209="","",Ремонты!T174)</f>
        <v/>
      </c>
      <c r="G1209" s="10">
        <f>IF($A1209="","","Автозапись из листа Ремонты")</f>
        <v/>
      </c>
    </row>
    <row r="1210">
      <c r="A1210" s="12">
        <f>IF(Ремонты!M174="","",Ремонты!M174)</f>
        <v/>
      </c>
      <c r="B1210" s="10">
        <f>IF($A1210="","",Ремонты!A174)</f>
        <v/>
      </c>
      <c r="C1210" s="10">
        <f>IF($A1210="","",Ремонты!D174)</f>
        <v/>
      </c>
      <c r="D1210" s="10">
        <f>IF($A1210="","",Ремонты!E174)</f>
        <v/>
      </c>
      <c r="E1210" s="10">
        <f>IF($A1210="","","Фактическое получение")</f>
        <v/>
      </c>
      <c r="F1210" s="10">
        <f>IF($A1210="","",Ремонты!T174)</f>
        <v/>
      </c>
      <c r="G1210" s="10">
        <f>IF($A1210="","","Автозапись из листа Ремонты")</f>
        <v/>
      </c>
    </row>
    <row r="1211">
      <c r="A1211" s="12">
        <f>IF(Ремонты!P174="","",Ремонты!P174)</f>
        <v/>
      </c>
      <c r="B1211" s="10">
        <f>IF($A1211="","",Ремонты!A174)</f>
        <v/>
      </c>
      <c r="C1211" s="10">
        <f>IF($A1211="","",Ремонты!D174)</f>
        <v/>
      </c>
      <c r="D1211" s="10">
        <f>IF($A1211="","",Ремонты!E174)</f>
        <v/>
      </c>
      <c r="E1211" s="10">
        <f>IF($A1211="","","Входной контроль")</f>
        <v/>
      </c>
      <c r="F1211" s="10">
        <f>IF($A1211="","",Ремонты!T174)</f>
        <v/>
      </c>
      <c r="G1211" s="10">
        <f>IF($A1211="","","Автозапись из листа Ремонты")</f>
        <v/>
      </c>
    </row>
    <row r="1212">
      <c r="A1212" s="12">
        <f>IF(Ремонты!S174="","",Ремонты!S174)</f>
        <v/>
      </c>
      <c r="B1212" s="10">
        <f>IF($A1212="","",Ремонты!A174)</f>
        <v/>
      </c>
      <c r="C1212" s="10">
        <f>IF($A1212="","",Ремонты!D174)</f>
        <v/>
      </c>
      <c r="D1212" s="10">
        <f>IF($A1212="","",Ремонты!E174)</f>
        <v/>
      </c>
      <c r="E1212" s="10">
        <f>IF($A1212="","","Оплата")</f>
        <v/>
      </c>
      <c r="F1212" s="10">
        <f>IF($A1212="","",Ремонты!T174)</f>
        <v/>
      </c>
      <c r="G1212" s="10">
        <f>IF($A1212="","","Автозапись из листа Ремонты")</f>
        <v/>
      </c>
    </row>
    <row r="1213">
      <c r="A1213" s="12">
        <f>IF(Ремонты!G175="","",Ремонты!G175)</f>
        <v/>
      </c>
      <c r="B1213" s="10">
        <f>IF($A1213="","",Ремонты!A175)</f>
        <v/>
      </c>
      <c r="C1213" s="10">
        <f>IF($A1213="","",Ремонты!D175)</f>
        <v/>
      </c>
      <c r="D1213" s="10">
        <f>IF($A1213="","",Ремонты!E175)</f>
        <v/>
      </c>
      <c r="E1213" s="10">
        <f>IF($A1213="","","Отправка в ремонт")</f>
        <v/>
      </c>
      <c r="F1213" s="10">
        <f>IF($A1213="","",Ремонты!T175)</f>
        <v/>
      </c>
      <c r="G1213" s="10">
        <f>IF($A1213="","","Автозапись из листа Ремонты")</f>
        <v/>
      </c>
    </row>
    <row r="1214">
      <c r="A1214" s="12">
        <f>IF(Ремонты!I175="","",Ремонты!I175)</f>
        <v/>
      </c>
      <c r="B1214" s="10">
        <f>IF($A1214="","",Ремонты!A175)</f>
        <v/>
      </c>
      <c r="C1214" s="10">
        <f>IF($A1214="","",Ремонты!D175)</f>
        <v/>
      </c>
      <c r="D1214" s="10">
        <f>IF($A1214="","",Ремонты!E175)</f>
        <v/>
      </c>
      <c r="E1214" s="10">
        <f>IF($A1214="","","Отправка из ремонта")</f>
        <v/>
      </c>
      <c r="F1214" s="10">
        <f>IF($A1214="","",Ремонты!T175)</f>
        <v/>
      </c>
      <c r="G1214" s="10">
        <f>IF($A1214="","","Автозапись из листа Ремонты")</f>
        <v/>
      </c>
    </row>
    <row r="1215">
      <c r="A1215" s="12">
        <f>IF(Ремонты!J175="","",Ремонты!J175)</f>
        <v/>
      </c>
      <c r="B1215" s="10">
        <f>IF($A1215="","",Ремонты!A175)</f>
        <v/>
      </c>
      <c r="C1215" s="10">
        <f>IF($A1215="","",Ремонты!D175)</f>
        <v/>
      </c>
      <c r="D1215" s="10">
        <f>IF($A1215="","",Ремонты!E175)</f>
        <v/>
      </c>
      <c r="E1215" s="10">
        <f>IF($A1215="","","Отправка из Иркутска")</f>
        <v/>
      </c>
      <c r="F1215" s="10">
        <f>IF($A1215="","",Ремонты!T175)</f>
        <v/>
      </c>
      <c r="G1215" s="10">
        <f>IF($A1215="","","Автозапись из листа Ремонты")</f>
        <v/>
      </c>
    </row>
    <row r="1216">
      <c r="A1216" s="12">
        <f>IF(Ремонты!K175="","",Ремонты!K175)</f>
        <v/>
      </c>
      <c r="B1216" s="10">
        <f>IF($A1216="","",Ремонты!A175)</f>
        <v/>
      </c>
      <c r="C1216" s="10">
        <f>IF($A1216="","",Ремонты!D175)</f>
        <v/>
      </c>
      <c r="D1216" s="10">
        <f>IF($A1216="","",Ремонты!E175)</f>
        <v/>
      </c>
      <c r="E1216" s="10">
        <f>IF($A1216="","","Прибытие в Ленск")</f>
        <v/>
      </c>
      <c r="F1216" s="10">
        <f>IF($A1216="","",Ремонты!T175)</f>
        <v/>
      </c>
      <c r="G1216" s="10">
        <f>IF($A1216="","","Автозапись из листа Ремонты")</f>
        <v/>
      </c>
    </row>
    <row r="1217">
      <c r="A1217" s="12">
        <f>IF(Ремонты!M175="","",Ремонты!M175)</f>
        <v/>
      </c>
      <c r="B1217" s="10">
        <f>IF($A1217="","",Ремонты!A175)</f>
        <v/>
      </c>
      <c r="C1217" s="10">
        <f>IF($A1217="","",Ремонты!D175)</f>
        <v/>
      </c>
      <c r="D1217" s="10">
        <f>IF($A1217="","",Ремонты!E175)</f>
        <v/>
      </c>
      <c r="E1217" s="10">
        <f>IF($A1217="","","Фактическое получение")</f>
        <v/>
      </c>
      <c r="F1217" s="10">
        <f>IF($A1217="","",Ремонты!T175)</f>
        <v/>
      </c>
      <c r="G1217" s="10">
        <f>IF($A1217="","","Автозапись из листа Ремонты")</f>
        <v/>
      </c>
    </row>
    <row r="1218">
      <c r="A1218" s="12">
        <f>IF(Ремонты!P175="","",Ремонты!P175)</f>
        <v/>
      </c>
      <c r="B1218" s="10">
        <f>IF($A1218="","",Ремонты!A175)</f>
        <v/>
      </c>
      <c r="C1218" s="10">
        <f>IF($A1218="","",Ремонты!D175)</f>
        <v/>
      </c>
      <c r="D1218" s="10">
        <f>IF($A1218="","",Ремонты!E175)</f>
        <v/>
      </c>
      <c r="E1218" s="10">
        <f>IF($A1218="","","Входной контроль")</f>
        <v/>
      </c>
      <c r="F1218" s="10">
        <f>IF($A1218="","",Ремонты!T175)</f>
        <v/>
      </c>
      <c r="G1218" s="10">
        <f>IF($A1218="","","Автозапись из листа Ремонты")</f>
        <v/>
      </c>
    </row>
    <row r="1219">
      <c r="A1219" s="12">
        <f>IF(Ремонты!S175="","",Ремонты!S175)</f>
        <v/>
      </c>
      <c r="B1219" s="10">
        <f>IF($A1219="","",Ремонты!A175)</f>
        <v/>
      </c>
      <c r="C1219" s="10">
        <f>IF($A1219="","",Ремонты!D175)</f>
        <v/>
      </c>
      <c r="D1219" s="10">
        <f>IF($A1219="","",Ремонты!E175)</f>
        <v/>
      </c>
      <c r="E1219" s="10">
        <f>IF($A1219="","","Оплата")</f>
        <v/>
      </c>
      <c r="F1219" s="10">
        <f>IF($A1219="","",Ремонты!T175)</f>
        <v/>
      </c>
      <c r="G1219" s="10">
        <f>IF($A1219="","","Автозапись из листа Ремонты")</f>
        <v/>
      </c>
    </row>
    <row r="1220">
      <c r="A1220" s="12">
        <f>IF(Ремонты!G176="","",Ремонты!G176)</f>
        <v/>
      </c>
      <c r="B1220" s="10">
        <f>IF($A1220="","",Ремонты!A176)</f>
        <v/>
      </c>
      <c r="C1220" s="10">
        <f>IF($A1220="","",Ремонты!D176)</f>
        <v/>
      </c>
      <c r="D1220" s="10">
        <f>IF($A1220="","",Ремонты!E176)</f>
        <v/>
      </c>
      <c r="E1220" s="10">
        <f>IF($A1220="","","Отправка в ремонт")</f>
        <v/>
      </c>
      <c r="F1220" s="10">
        <f>IF($A1220="","",Ремонты!T176)</f>
        <v/>
      </c>
      <c r="G1220" s="10">
        <f>IF($A1220="","","Автозапись из листа Ремонты")</f>
        <v/>
      </c>
    </row>
    <row r="1221">
      <c r="A1221" s="12">
        <f>IF(Ремонты!I176="","",Ремонты!I176)</f>
        <v/>
      </c>
      <c r="B1221" s="10">
        <f>IF($A1221="","",Ремонты!A176)</f>
        <v/>
      </c>
      <c r="C1221" s="10">
        <f>IF($A1221="","",Ремонты!D176)</f>
        <v/>
      </c>
      <c r="D1221" s="10">
        <f>IF($A1221="","",Ремонты!E176)</f>
        <v/>
      </c>
      <c r="E1221" s="10">
        <f>IF($A1221="","","Отправка из ремонта")</f>
        <v/>
      </c>
      <c r="F1221" s="10">
        <f>IF($A1221="","",Ремонты!T176)</f>
        <v/>
      </c>
      <c r="G1221" s="10">
        <f>IF($A1221="","","Автозапись из листа Ремонты")</f>
        <v/>
      </c>
    </row>
    <row r="1222">
      <c r="A1222" s="12">
        <f>IF(Ремонты!J176="","",Ремонты!J176)</f>
        <v/>
      </c>
      <c r="B1222" s="10">
        <f>IF($A1222="","",Ремонты!A176)</f>
        <v/>
      </c>
      <c r="C1222" s="10">
        <f>IF($A1222="","",Ремонты!D176)</f>
        <v/>
      </c>
      <c r="D1222" s="10">
        <f>IF($A1222="","",Ремонты!E176)</f>
        <v/>
      </c>
      <c r="E1222" s="10">
        <f>IF($A1222="","","Отправка из Иркутска")</f>
        <v/>
      </c>
      <c r="F1222" s="10">
        <f>IF($A1222="","",Ремонты!T176)</f>
        <v/>
      </c>
      <c r="G1222" s="10">
        <f>IF($A1222="","","Автозапись из листа Ремонты")</f>
        <v/>
      </c>
    </row>
    <row r="1223">
      <c r="A1223" s="12">
        <f>IF(Ремонты!K176="","",Ремонты!K176)</f>
        <v/>
      </c>
      <c r="B1223" s="10">
        <f>IF($A1223="","",Ремонты!A176)</f>
        <v/>
      </c>
      <c r="C1223" s="10">
        <f>IF($A1223="","",Ремонты!D176)</f>
        <v/>
      </c>
      <c r="D1223" s="10">
        <f>IF($A1223="","",Ремонты!E176)</f>
        <v/>
      </c>
      <c r="E1223" s="10">
        <f>IF($A1223="","","Прибытие в Ленск")</f>
        <v/>
      </c>
      <c r="F1223" s="10">
        <f>IF($A1223="","",Ремонты!T176)</f>
        <v/>
      </c>
      <c r="G1223" s="10">
        <f>IF($A1223="","","Автозапись из листа Ремонты")</f>
        <v/>
      </c>
    </row>
    <row r="1224">
      <c r="A1224" s="12">
        <f>IF(Ремонты!M176="","",Ремонты!M176)</f>
        <v/>
      </c>
      <c r="B1224" s="10">
        <f>IF($A1224="","",Ремонты!A176)</f>
        <v/>
      </c>
      <c r="C1224" s="10">
        <f>IF($A1224="","",Ремонты!D176)</f>
        <v/>
      </c>
      <c r="D1224" s="10">
        <f>IF($A1224="","",Ремонты!E176)</f>
        <v/>
      </c>
      <c r="E1224" s="10">
        <f>IF($A1224="","","Фактическое получение")</f>
        <v/>
      </c>
      <c r="F1224" s="10">
        <f>IF($A1224="","",Ремонты!T176)</f>
        <v/>
      </c>
      <c r="G1224" s="10">
        <f>IF($A1224="","","Автозапись из листа Ремонты")</f>
        <v/>
      </c>
    </row>
    <row r="1225">
      <c r="A1225" s="12">
        <f>IF(Ремонты!P176="","",Ремонты!P176)</f>
        <v/>
      </c>
      <c r="B1225" s="10">
        <f>IF($A1225="","",Ремонты!A176)</f>
        <v/>
      </c>
      <c r="C1225" s="10">
        <f>IF($A1225="","",Ремонты!D176)</f>
        <v/>
      </c>
      <c r="D1225" s="10">
        <f>IF($A1225="","",Ремонты!E176)</f>
        <v/>
      </c>
      <c r="E1225" s="10">
        <f>IF($A1225="","","Входной контроль")</f>
        <v/>
      </c>
      <c r="F1225" s="10">
        <f>IF($A1225="","",Ремонты!T176)</f>
        <v/>
      </c>
      <c r="G1225" s="10">
        <f>IF($A1225="","","Автозапись из листа Ремонты")</f>
        <v/>
      </c>
    </row>
    <row r="1226">
      <c r="A1226" s="12">
        <f>IF(Ремонты!S176="","",Ремонты!S176)</f>
        <v/>
      </c>
      <c r="B1226" s="10">
        <f>IF($A1226="","",Ремонты!A176)</f>
        <v/>
      </c>
      <c r="C1226" s="10">
        <f>IF($A1226="","",Ремонты!D176)</f>
        <v/>
      </c>
      <c r="D1226" s="10">
        <f>IF($A1226="","",Ремонты!E176)</f>
        <v/>
      </c>
      <c r="E1226" s="10">
        <f>IF($A1226="","","Оплата")</f>
        <v/>
      </c>
      <c r="F1226" s="10">
        <f>IF($A1226="","",Ремонты!T176)</f>
        <v/>
      </c>
      <c r="G1226" s="10">
        <f>IF($A1226="","","Автозапись из листа Ремонты")</f>
        <v/>
      </c>
    </row>
    <row r="1227">
      <c r="A1227" s="12">
        <f>IF(Ремонты!G177="","",Ремонты!G177)</f>
        <v/>
      </c>
      <c r="B1227" s="10">
        <f>IF($A1227="","",Ремонты!A177)</f>
        <v/>
      </c>
      <c r="C1227" s="10">
        <f>IF($A1227="","",Ремонты!D177)</f>
        <v/>
      </c>
      <c r="D1227" s="10">
        <f>IF($A1227="","",Ремонты!E177)</f>
        <v/>
      </c>
      <c r="E1227" s="10">
        <f>IF($A1227="","","Отправка в ремонт")</f>
        <v/>
      </c>
      <c r="F1227" s="10">
        <f>IF($A1227="","",Ремонты!T177)</f>
        <v/>
      </c>
      <c r="G1227" s="10">
        <f>IF($A1227="","","Автозапись из листа Ремонты")</f>
        <v/>
      </c>
    </row>
    <row r="1228">
      <c r="A1228" s="12">
        <f>IF(Ремонты!I177="","",Ремонты!I177)</f>
        <v/>
      </c>
      <c r="B1228" s="10">
        <f>IF($A1228="","",Ремонты!A177)</f>
        <v/>
      </c>
      <c r="C1228" s="10">
        <f>IF($A1228="","",Ремонты!D177)</f>
        <v/>
      </c>
      <c r="D1228" s="10">
        <f>IF($A1228="","",Ремонты!E177)</f>
        <v/>
      </c>
      <c r="E1228" s="10">
        <f>IF($A1228="","","Отправка из ремонта")</f>
        <v/>
      </c>
      <c r="F1228" s="10">
        <f>IF($A1228="","",Ремонты!T177)</f>
        <v/>
      </c>
      <c r="G1228" s="10">
        <f>IF($A1228="","","Автозапись из листа Ремонты")</f>
        <v/>
      </c>
    </row>
    <row r="1229">
      <c r="A1229" s="12">
        <f>IF(Ремонты!J177="","",Ремонты!J177)</f>
        <v/>
      </c>
      <c r="B1229" s="10">
        <f>IF($A1229="","",Ремонты!A177)</f>
        <v/>
      </c>
      <c r="C1229" s="10">
        <f>IF($A1229="","",Ремонты!D177)</f>
        <v/>
      </c>
      <c r="D1229" s="10">
        <f>IF($A1229="","",Ремонты!E177)</f>
        <v/>
      </c>
      <c r="E1229" s="10">
        <f>IF($A1229="","","Отправка из Иркутска")</f>
        <v/>
      </c>
      <c r="F1229" s="10">
        <f>IF($A1229="","",Ремонты!T177)</f>
        <v/>
      </c>
      <c r="G1229" s="10">
        <f>IF($A1229="","","Автозапись из листа Ремонты")</f>
        <v/>
      </c>
    </row>
    <row r="1230">
      <c r="A1230" s="12">
        <f>IF(Ремонты!K177="","",Ремонты!K177)</f>
        <v/>
      </c>
      <c r="B1230" s="10">
        <f>IF($A1230="","",Ремонты!A177)</f>
        <v/>
      </c>
      <c r="C1230" s="10">
        <f>IF($A1230="","",Ремонты!D177)</f>
        <v/>
      </c>
      <c r="D1230" s="10">
        <f>IF($A1230="","",Ремонты!E177)</f>
        <v/>
      </c>
      <c r="E1230" s="10">
        <f>IF($A1230="","","Прибытие в Ленск")</f>
        <v/>
      </c>
      <c r="F1230" s="10">
        <f>IF($A1230="","",Ремонты!T177)</f>
        <v/>
      </c>
      <c r="G1230" s="10">
        <f>IF($A1230="","","Автозапись из листа Ремонты")</f>
        <v/>
      </c>
    </row>
    <row r="1231">
      <c r="A1231" s="12">
        <f>IF(Ремонты!M177="","",Ремонты!M177)</f>
        <v/>
      </c>
      <c r="B1231" s="10">
        <f>IF($A1231="","",Ремонты!A177)</f>
        <v/>
      </c>
      <c r="C1231" s="10">
        <f>IF($A1231="","",Ремонты!D177)</f>
        <v/>
      </c>
      <c r="D1231" s="10">
        <f>IF($A1231="","",Ремонты!E177)</f>
        <v/>
      </c>
      <c r="E1231" s="10">
        <f>IF($A1231="","","Фактическое получение")</f>
        <v/>
      </c>
      <c r="F1231" s="10">
        <f>IF($A1231="","",Ремонты!T177)</f>
        <v/>
      </c>
      <c r="G1231" s="10">
        <f>IF($A1231="","","Автозапись из листа Ремонты")</f>
        <v/>
      </c>
    </row>
    <row r="1232">
      <c r="A1232" s="12">
        <f>IF(Ремонты!P177="","",Ремонты!P177)</f>
        <v/>
      </c>
      <c r="B1232" s="10">
        <f>IF($A1232="","",Ремонты!A177)</f>
        <v/>
      </c>
      <c r="C1232" s="10">
        <f>IF($A1232="","",Ремонты!D177)</f>
        <v/>
      </c>
      <c r="D1232" s="10">
        <f>IF($A1232="","",Ремонты!E177)</f>
        <v/>
      </c>
      <c r="E1232" s="10">
        <f>IF($A1232="","","Входной контроль")</f>
        <v/>
      </c>
      <c r="F1232" s="10">
        <f>IF($A1232="","",Ремонты!T177)</f>
        <v/>
      </c>
      <c r="G1232" s="10">
        <f>IF($A1232="","","Автозапись из листа Ремонты")</f>
        <v/>
      </c>
    </row>
    <row r="1233">
      <c r="A1233" s="12">
        <f>IF(Ремонты!S177="","",Ремонты!S177)</f>
        <v/>
      </c>
      <c r="B1233" s="10">
        <f>IF($A1233="","",Ремонты!A177)</f>
        <v/>
      </c>
      <c r="C1233" s="10">
        <f>IF($A1233="","",Ремонты!D177)</f>
        <v/>
      </c>
      <c r="D1233" s="10">
        <f>IF($A1233="","",Ремонты!E177)</f>
        <v/>
      </c>
      <c r="E1233" s="10">
        <f>IF($A1233="","","Оплата")</f>
        <v/>
      </c>
      <c r="F1233" s="10">
        <f>IF($A1233="","",Ремонты!T177)</f>
        <v/>
      </c>
      <c r="G1233" s="10">
        <f>IF($A1233="","","Автозапись из листа Ремонты")</f>
        <v/>
      </c>
    </row>
    <row r="1234">
      <c r="A1234" s="12">
        <f>IF(Ремонты!G178="","",Ремонты!G178)</f>
        <v/>
      </c>
      <c r="B1234" s="10">
        <f>IF($A1234="","",Ремонты!A178)</f>
        <v/>
      </c>
      <c r="C1234" s="10">
        <f>IF($A1234="","",Ремонты!D178)</f>
        <v/>
      </c>
      <c r="D1234" s="10">
        <f>IF($A1234="","",Ремонты!E178)</f>
        <v/>
      </c>
      <c r="E1234" s="10">
        <f>IF($A1234="","","Отправка в ремонт")</f>
        <v/>
      </c>
      <c r="F1234" s="10">
        <f>IF($A1234="","",Ремонты!T178)</f>
        <v/>
      </c>
      <c r="G1234" s="10">
        <f>IF($A1234="","","Автозапись из листа Ремонты")</f>
        <v/>
      </c>
    </row>
    <row r="1235">
      <c r="A1235" s="12">
        <f>IF(Ремонты!I178="","",Ремонты!I178)</f>
        <v/>
      </c>
      <c r="B1235" s="10">
        <f>IF($A1235="","",Ремонты!A178)</f>
        <v/>
      </c>
      <c r="C1235" s="10">
        <f>IF($A1235="","",Ремонты!D178)</f>
        <v/>
      </c>
      <c r="D1235" s="10">
        <f>IF($A1235="","",Ремонты!E178)</f>
        <v/>
      </c>
      <c r="E1235" s="10">
        <f>IF($A1235="","","Отправка из ремонта")</f>
        <v/>
      </c>
      <c r="F1235" s="10">
        <f>IF($A1235="","",Ремонты!T178)</f>
        <v/>
      </c>
      <c r="G1235" s="10">
        <f>IF($A1235="","","Автозапись из листа Ремонты")</f>
        <v/>
      </c>
    </row>
    <row r="1236">
      <c r="A1236" s="12">
        <f>IF(Ремонты!J178="","",Ремонты!J178)</f>
        <v/>
      </c>
      <c r="B1236" s="10">
        <f>IF($A1236="","",Ремонты!A178)</f>
        <v/>
      </c>
      <c r="C1236" s="10">
        <f>IF($A1236="","",Ремонты!D178)</f>
        <v/>
      </c>
      <c r="D1236" s="10">
        <f>IF($A1236="","",Ремонты!E178)</f>
        <v/>
      </c>
      <c r="E1236" s="10">
        <f>IF($A1236="","","Отправка из Иркутска")</f>
        <v/>
      </c>
      <c r="F1236" s="10">
        <f>IF($A1236="","",Ремонты!T178)</f>
        <v/>
      </c>
      <c r="G1236" s="10">
        <f>IF($A1236="","","Автозапись из листа Ремонты")</f>
        <v/>
      </c>
    </row>
    <row r="1237">
      <c r="A1237" s="12">
        <f>IF(Ремонты!K178="","",Ремонты!K178)</f>
        <v/>
      </c>
      <c r="B1237" s="10">
        <f>IF($A1237="","",Ремонты!A178)</f>
        <v/>
      </c>
      <c r="C1237" s="10">
        <f>IF($A1237="","",Ремонты!D178)</f>
        <v/>
      </c>
      <c r="D1237" s="10">
        <f>IF($A1237="","",Ремонты!E178)</f>
        <v/>
      </c>
      <c r="E1237" s="10">
        <f>IF($A1237="","","Прибытие в Ленск")</f>
        <v/>
      </c>
      <c r="F1237" s="10">
        <f>IF($A1237="","",Ремонты!T178)</f>
        <v/>
      </c>
      <c r="G1237" s="10">
        <f>IF($A1237="","","Автозапись из листа Ремонты")</f>
        <v/>
      </c>
    </row>
    <row r="1238">
      <c r="A1238" s="12">
        <f>IF(Ремонты!M178="","",Ремонты!M178)</f>
        <v/>
      </c>
      <c r="B1238" s="10">
        <f>IF($A1238="","",Ремонты!A178)</f>
        <v/>
      </c>
      <c r="C1238" s="10">
        <f>IF($A1238="","",Ремонты!D178)</f>
        <v/>
      </c>
      <c r="D1238" s="10">
        <f>IF($A1238="","",Ремонты!E178)</f>
        <v/>
      </c>
      <c r="E1238" s="10">
        <f>IF($A1238="","","Фактическое получение")</f>
        <v/>
      </c>
      <c r="F1238" s="10">
        <f>IF($A1238="","",Ремонты!T178)</f>
        <v/>
      </c>
      <c r="G1238" s="10">
        <f>IF($A1238="","","Автозапись из листа Ремонты")</f>
        <v/>
      </c>
    </row>
    <row r="1239">
      <c r="A1239" s="12">
        <f>IF(Ремонты!P178="","",Ремонты!P178)</f>
        <v/>
      </c>
      <c r="B1239" s="10">
        <f>IF($A1239="","",Ремонты!A178)</f>
        <v/>
      </c>
      <c r="C1239" s="10">
        <f>IF($A1239="","",Ремонты!D178)</f>
        <v/>
      </c>
      <c r="D1239" s="10">
        <f>IF($A1239="","",Ремонты!E178)</f>
        <v/>
      </c>
      <c r="E1239" s="10">
        <f>IF($A1239="","","Входной контроль")</f>
        <v/>
      </c>
      <c r="F1239" s="10">
        <f>IF($A1239="","",Ремонты!T178)</f>
        <v/>
      </c>
      <c r="G1239" s="10">
        <f>IF($A1239="","","Автозапись из листа Ремонты")</f>
        <v/>
      </c>
    </row>
    <row r="1240">
      <c r="A1240" s="12">
        <f>IF(Ремонты!S178="","",Ремонты!S178)</f>
        <v/>
      </c>
      <c r="B1240" s="10">
        <f>IF($A1240="","",Ремонты!A178)</f>
        <v/>
      </c>
      <c r="C1240" s="10">
        <f>IF($A1240="","",Ремонты!D178)</f>
        <v/>
      </c>
      <c r="D1240" s="10">
        <f>IF($A1240="","",Ремонты!E178)</f>
        <v/>
      </c>
      <c r="E1240" s="10">
        <f>IF($A1240="","","Оплата")</f>
        <v/>
      </c>
      <c r="F1240" s="10">
        <f>IF($A1240="","",Ремонты!T178)</f>
        <v/>
      </c>
      <c r="G1240" s="10">
        <f>IF($A1240="","","Автозапись из листа Ремонты")</f>
        <v/>
      </c>
    </row>
    <row r="1241">
      <c r="A1241" s="12">
        <f>IF(Ремонты!G179="","",Ремонты!G179)</f>
        <v/>
      </c>
      <c r="B1241" s="10">
        <f>IF($A1241="","",Ремонты!A179)</f>
        <v/>
      </c>
      <c r="C1241" s="10">
        <f>IF($A1241="","",Ремонты!D179)</f>
        <v/>
      </c>
      <c r="D1241" s="10">
        <f>IF($A1241="","",Ремонты!E179)</f>
        <v/>
      </c>
      <c r="E1241" s="10">
        <f>IF($A1241="","","Отправка в ремонт")</f>
        <v/>
      </c>
      <c r="F1241" s="10">
        <f>IF($A1241="","",Ремонты!T179)</f>
        <v/>
      </c>
      <c r="G1241" s="10">
        <f>IF($A1241="","","Автозапись из листа Ремонты")</f>
        <v/>
      </c>
    </row>
    <row r="1242">
      <c r="A1242" s="12">
        <f>IF(Ремонты!I179="","",Ремонты!I179)</f>
        <v/>
      </c>
      <c r="B1242" s="10">
        <f>IF($A1242="","",Ремонты!A179)</f>
        <v/>
      </c>
      <c r="C1242" s="10">
        <f>IF($A1242="","",Ремонты!D179)</f>
        <v/>
      </c>
      <c r="D1242" s="10">
        <f>IF($A1242="","",Ремонты!E179)</f>
        <v/>
      </c>
      <c r="E1242" s="10">
        <f>IF($A1242="","","Отправка из ремонта")</f>
        <v/>
      </c>
      <c r="F1242" s="10">
        <f>IF($A1242="","",Ремонты!T179)</f>
        <v/>
      </c>
      <c r="G1242" s="10">
        <f>IF($A1242="","","Автозапись из листа Ремонты")</f>
        <v/>
      </c>
    </row>
    <row r="1243">
      <c r="A1243" s="12">
        <f>IF(Ремонты!J179="","",Ремонты!J179)</f>
        <v/>
      </c>
      <c r="B1243" s="10">
        <f>IF($A1243="","",Ремонты!A179)</f>
        <v/>
      </c>
      <c r="C1243" s="10">
        <f>IF($A1243="","",Ремонты!D179)</f>
        <v/>
      </c>
      <c r="D1243" s="10">
        <f>IF($A1243="","",Ремонты!E179)</f>
        <v/>
      </c>
      <c r="E1243" s="10">
        <f>IF($A1243="","","Отправка из Иркутска")</f>
        <v/>
      </c>
      <c r="F1243" s="10">
        <f>IF($A1243="","",Ремонты!T179)</f>
        <v/>
      </c>
      <c r="G1243" s="10">
        <f>IF($A1243="","","Автозапись из листа Ремонты")</f>
        <v/>
      </c>
    </row>
    <row r="1244">
      <c r="A1244" s="12">
        <f>IF(Ремонты!K179="","",Ремонты!K179)</f>
        <v/>
      </c>
      <c r="B1244" s="10">
        <f>IF($A1244="","",Ремонты!A179)</f>
        <v/>
      </c>
      <c r="C1244" s="10">
        <f>IF($A1244="","",Ремонты!D179)</f>
        <v/>
      </c>
      <c r="D1244" s="10">
        <f>IF($A1244="","",Ремонты!E179)</f>
        <v/>
      </c>
      <c r="E1244" s="10">
        <f>IF($A1244="","","Прибытие в Ленск")</f>
        <v/>
      </c>
      <c r="F1244" s="10">
        <f>IF($A1244="","",Ремонты!T179)</f>
        <v/>
      </c>
      <c r="G1244" s="10">
        <f>IF($A1244="","","Автозапись из листа Ремонты")</f>
        <v/>
      </c>
    </row>
    <row r="1245">
      <c r="A1245" s="12">
        <f>IF(Ремонты!M179="","",Ремонты!M179)</f>
        <v/>
      </c>
      <c r="B1245" s="10">
        <f>IF($A1245="","",Ремонты!A179)</f>
        <v/>
      </c>
      <c r="C1245" s="10">
        <f>IF($A1245="","",Ремонты!D179)</f>
        <v/>
      </c>
      <c r="D1245" s="10">
        <f>IF($A1245="","",Ремонты!E179)</f>
        <v/>
      </c>
      <c r="E1245" s="10">
        <f>IF($A1245="","","Фактическое получение")</f>
        <v/>
      </c>
      <c r="F1245" s="10">
        <f>IF($A1245="","",Ремонты!T179)</f>
        <v/>
      </c>
      <c r="G1245" s="10">
        <f>IF($A1245="","","Автозапись из листа Ремонты")</f>
        <v/>
      </c>
    </row>
    <row r="1246">
      <c r="A1246" s="12">
        <f>IF(Ремонты!P179="","",Ремонты!P179)</f>
        <v/>
      </c>
      <c r="B1246" s="10">
        <f>IF($A1246="","",Ремонты!A179)</f>
        <v/>
      </c>
      <c r="C1246" s="10">
        <f>IF($A1246="","",Ремонты!D179)</f>
        <v/>
      </c>
      <c r="D1246" s="10">
        <f>IF($A1246="","",Ремонты!E179)</f>
        <v/>
      </c>
      <c r="E1246" s="10">
        <f>IF($A1246="","","Входной контроль")</f>
        <v/>
      </c>
      <c r="F1246" s="10">
        <f>IF($A1246="","",Ремонты!T179)</f>
        <v/>
      </c>
      <c r="G1246" s="10">
        <f>IF($A1246="","","Автозапись из листа Ремонты")</f>
        <v/>
      </c>
    </row>
    <row r="1247">
      <c r="A1247" s="12">
        <f>IF(Ремонты!S179="","",Ремонты!S179)</f>
        <v/>
      </c>
      <c r="B1247" s="10">
        <f>IF($A1247="","",Ремонты!A179)</f>
        <v/>
      </c>
      <c r="C1247" s="10">
        <f>IF($A1247="","",Ремонты!D179)</f>
        <v/>
      </c>
      <c r="D1247" s="10">
        <f>IF($A1247="","",Ремонты!E179)</f>
        <v/>
      </c>
      <c r="E1247" s="10">
        <f>IF($A1247="","","Оплата")</f>
        <v/>
      </c>
      <c r="F1247" s="10">
        <f>IF($A1247="","",Ремонты!T179)</f>
        <v/>
      </c>
      <c r="G1247" s="10">
        <f>IF($A1247="","","Автозапись из листа Ремонты")</f>
        <v/>
      </c>
    </row>
    <row r="1248">
      <c r="A1248" s="12">
        <f>IF(Ремонты!G180="","",Ремонты!G180)</f>
        <v/>
      </c>
      <c r="B1248" s="10">
        <f>IF($A1248="","",Ремонты!A180)</f>
        <v/>
      </c>
      <c r="C1248" s="10">
        <f>IF($A1248="","",Ремонты!D180)</f>
        <v/>
      </c>
      <c r="D1248" s="10">
        <f>IF($A1248="","",Ремонты!E180)</f>
        <v/>
      </c>
      <c r="E1248" s="10">
        <f>IF($A1248="","","Отправка в ремонт")</f>
        <v/>
      </c>
      <c r="F1248" s="10">
        <f>IF($A1248="","",Ремонты!T180)</f>
        <v/>
      </c>
      <c r="G1248" s="10">
        <f>IF($A1248="","","Автозапись из листа Ремонты")</f>
        <v/>
      </c>
    </row>
    <row r="1249">
      <c r="A1249" s="12">
        <f>IF(Ремонты!I180="","",Ремонты!I180)</f>
        <v/>
      </c>
      <c r="B1249" s="10">
        <f>IF($A1249="","",Ремонты!A180)</f>
        <v/>
      </c>
      <c r="C1249" s="10">
        <f>IF($A1249="","",Ремонты!D180)</f>
        <v/>
      </c>
      <c r="D1249" s="10">
        <f>IF($A1249="","",Ремонты!E180)</f>
        <v/>
      </c>
      <c r="E1249" s="10">
        <f>IF($A1249="","","Отправка из ремонта")</f>
        <v/>
      </c>
      <c r="F1249" s="10">
        <f>IF($A1249="","",Ремонты!T180)</f>
        <v/>
      </c>
      <c r="G1249" s="10">
        <f>IF($A1249="","","Автозапись из листа Ремонты")</f>
        <v/>
      </c>
    </row>
    <row r="1250">
      <c r="A1250" s="12">
        <f>IF(Ремонты!J180="","",Ремонты!J180)</f>
        <v/>
      </c>
      <c r="B1250" s="10">
        <f>IF($A1250="","",Ремонты!A180)</f>
        <v/>
      </c>
      <c r="C1250" s="10">
        <f>IF($A1250="","",Ремонты!D180)</f>
        <v/>
      </c>
      <c r="D1250" s="10">
        <f>IF($A1250="","",Ремонты!E180)</f>
        <v/>
      </c>
      <c r="E1250" s="10">
        <f>IF($A1250="","","Отправка из Иркутска")</f>
        <v/>
      </c>
      <c r="F1250" s="10">
        <f>IF($A1250="","",Ремонты!T180)</f>
        <v/>
      </c>
      <c r="G1250" s="10">
        <f>IF($A1250="","","Автозапись из листа Ремонты")</f>
        <v/>
      </c>
    </row>
    <row r="1251">
      <c r="A1251" s="12">
        <f>IF(Ремонты!K180="","",Ремонты!K180)</f>
        <v/>
      </c>
      <c r="B1251" s="10">
        <f>IF($A1251="","",Ремонты!A180)</f>
        <v/>
      </c>
      <c r="C1251" s="10">
        <f>IF($A1251="","",Ремонты!D180)</f>
        <v/>
      </c>
      <c r="D1251" s="10">
        <f>IF($A1251="","",Ремонты!E180)</f>
        <v/>
      </c>
      <c r="E1251" s="10">
        <f>IF($A1251="","","Прибытие в Ленск")</f>
        <v/>
      </c>
      <c r="F1251" s="10">
        <f>IF($A1251="","",Ремонты!T180)</f>
        <v/>
      </c>
      <c r="G1251" s="10">
        <f>IF($A1251="","","Автозапись из листа Ремонты")</f>
        <v/>
      </c>
    </row>
    <row r="1252">
      <c r="A1252" s="12">
        <f>IF(Ремонты!M180="","",Ремонты!M180)</f>
        <v/>
      </c>
      <c r="B1252" s="10">
        <f>IF($A1252="","",Ремонты!A180)</f>
        <v/>
      </c>
      <c r="C1252" s="10">
        <f>IF($A1252="","",Ремонты!D180)</f>
        <v/>
      </c>
      <c r="D1252" s="10">
        <f>IF($A1252="","",Ремонты!E180)</f>
        <v/>
      </c>
      <c r="E1252" s="10">
        <f>IF($A1252="","","Фактическое получение")</f>
        <v/>
      </c>
      <c r="F1252" s="10">
        <f>IF($A1252="","",Ремонты!T180)</f>
        <v/>
      </c>
      <c r="G1252" s="10">
        <f>IF($A1252="","","Автозапись из листа Ремонты")</f>
        <v/>
      </c>
    </row>
    <row r="1253">
      <c r="A1253" s="12">
        <f>IF(Ремонты!P180="","",Ремонты!P180)</f>
        <v/>
      </c>
      <c r="B1253" s="10">
        <f>IF($A1253="","",Ремонты!A180)</f>
        <v/>
      </c>
      <c r="C1253" s="10">
        <f>IF($A1253="","",Ремонты!D180)</f>
        <v/>
      </c>
      <c r="D1253" s="10">
        <f>IF($A1253="","",Ремонты!E180)</f>
        <v/>
      </c>
      <c r="E1253" s="10">
        <f>IF($A1253="","","Входной контроль")</f>
        <v/>
      </c>
      <c r="F1253" s="10">
        <f>IF($A1253="","",Ремонты!T180)</f>
        <v/>
      </c>
      <c r="G1253" s="10">
        <f>IF($A1253="","","Автозапись из листа Ремонты")</f>
        <v/>
      </c>
    </row>
    <row r="1254">
      <c r="A1254" s="12">
        <f>IF(Ремонты!S180="","",Ремонты!S180)</f>
        <v/>
      </c>
      <c r="B1254" s="10">
        <f>IF($A1254="","",Ремонты!A180)</f>
        <v/>
      </c>
      <c r="C1254" s="10">
        <f>IF($A1254="","",Ремонты!D180)</f>
        <v/>
      </c>
      <c r="D1254" s="10">
        <f>IF($A1254="","",Ремонты!E180)</f>
        <v/>
      </c>
      <c r="E1254" s="10">
        <f>IF($A1254="","","Оплата")</f>
        <v/>
      </c>
      <c r="F1254" s="10">
        <f>IF($A1254="","",Ремонты!T180)</f>
        <v/>
      </c>
      <c r="G1254" s="10">
        <f>IF($A1254="","","Автозапись из листа Ремонты")</f>
        <v/>
      </c>
    </row>
    <row r="1255">
      <c r="A1255" s="12">
        <f>IF(Ремонты!G181="","",Ремонты!G181)</f>
        <v/>
      </c>
      <c r="B1255" s="10">
        <f>IF($A1255="","",Ремонты!A181)</f>
        <v/>
      </c>
      <c r="C1255" s="10">
        <f>IF($A1255="","",Ремонты!D181)</f>
        <v/>
      </c>
      <c r="D1255" s="10">
        <f>IF($A1255="","",Ремонты!E181)</f>
        <v/>
      </c>
      <c r="E1255" s="10">
        <f>IF($A1255="","","Отправка в ремонт")</f>
        <v/>
      </c>
      <c r="F1255" s="10">
        <f>IF($A1255="","",Ремонты!T181)</f>
        <v/>
      </c>
      <c r="G1255" s="10">
        <f>IF($A1255="","","Автозапись из листа Ремонты")</f>
        <v/>
      </c>
    </row>
    <row r="1256">
      <c r="A1256" s="12">
        <f>IF(Ремонты!I181="","",Ремонты!I181)</f>
        <v/>
      </c>
      <c r="B1256" s="10">
        <f>IF($A1256="","",Ремонты!A181)</f>
        <v/>
      </c>
      <c r="C1256" s="10">
        <f>IF($A1256="","",Ремонты!D181)</f>
        <v/>
      </c>
      <c r="D1256" s="10">
        <f>IF($A1256="","",Ремонты!E181)</f>
        <v/>
      </c>
      <c r="E1256" s="10">
        <f>IF($A1256="","","Отправка из ремонта")</f>
        <v/>
      </c>
      <c r="F1256" s="10">
        <f>IF($A1256="","",Ремонты!T181)</f>
        <v/>
      </c>
      <c r="G1256" s="10">
        <f>IF($A1256="","","Автозапись из листа Ремонты")</f>
        <v/>
      </c>
    </row>
    <row r="1257">
      <c r="A1257" s="12">
        <f>IF(Ремонты!J181="","",Ремонты!J181)</f>
        <v/>
      </c>
      <c r="B1257" s="10">
        <f>IF($A1257="","",Ремонты!A181)</f>
        <v/>
      </c>
      <c r="C1257" s="10">
        <f>IF($A1257="","",Ремонты!D181)</f>
        <v/>
      </c>
      <c r="D1257" s="10">
        <f>IF($A1257="","",Ремонты!E181)</f>
        <v/>
      </c>
      <c r="E1257" s="10">
        <f>IF($A1257="","","Отправка из Иркутска")</f>
        <v/>
      </c>
      <c r="F1257" s="10">
        <f>IF($A1257="","",Ремонты!T181)</f>
        <v/>
      </c>
      <c r="G1257" s="10">
        <f>IF($A1257="","","Автозапись из листа Ремонты")</f>
        <v/>
      </c>
    </row>
    <row r="1258">
      <c r="A1258" s="12">
        <f>IF(Ремонты!K181="","",Ремонты!K181)</f>
        <v/>
      </c>
      <c r="B1258" s="10">
        <f>IF($A1258="","",Ремонты!A181)</f>
        <v/>
      </c>
      <c r="C1258" s="10">
        <f>IF($A1258="","",Ремонты!D181)</f>
        <v/>
      </c>
      <c r="D1258" s="10">
        <f>IF($A1258="","",Ремонты!E181)</f>
        <v/>
      </c>
      <c r="E1258" s="10">
        <f>IF($A1258="","","Прибытие в Ленск")</f>
        <v/>
      </c>
      <c r="F1258" s="10">
        <f>IF($A1258="","",Ремонты!T181)</f>
        <v/>
      </c>
      <c r="G1258" s="10">
        <f>IF($A1258="","","Автозапись из листа Ремонты")</f>
        <v/>
      </c>
    </row>
    <row r="1259">
      <c r="A1259" s="12">
        <f>IF(Ремонты!M181="","",Ремонты!M181)</f>
        <v/>
      </c>
      <c r="B1259" s="10">
        <f>IF($A1259="","",Ремонты!A181)</f>
        <v/>
      </c>
      <c r="C1259" s="10">
        <f>IF($A1259="","",Ремонты!D181)</f>
        <v/>
      </c>
      <c r="D1259" s="10">
        <f>IF($A1259="","",Ремонты!E181)</f>
        <v/>
      </c>
      <c r="E1259" s="10">
        <f>IF($A1259="","","Фактическое получение")</f>
        <v/>
      </c>
      <c r="F1259" s="10">
        <f>IF($A1259="","",Ремонты!T181)</f>
        <v/>
      </c>
      <c r="G1259" s="10">
        <f>IF($A1259="","","Автозапись из листа Ремонты")</f>
        <v/>
      </c>
    </row>
    <row r="1260">
      <c r="A1260" s="12">
        <f>IF(Ремонты!P181="","",Ремонты!P181)</f>
        <v/>
      </c>
      <c r="B1260" s="10">
        <f>IF($A1260="","",Ремонты!A181)</f>
        <v/>
      </c>
      <c r="C1260" s="10">
        <f>IF($A1260="","",Ремонты!D181)</f>
        <v/>
      </c>
      <c r="D1260" s="10">
        <f>IF($A1260="","",Ремонты!E181)</f>
        <v/>
      </c>
      <c r="E1260" s="10">
        <f>IF($A1260="","","Входной контроль")</f>
        <v/>
      </c>
      <c r="F1260" s="10">
        <f>IF($A1260="","",Ремонты!T181)</f>
        <v/>
      </c>
      <c r="G1260" s="10">
        <f>IF($A1260="","","Автозапись из листа Ремонты")</f>
        <v/>
      </c>
    </row>
    <row r="1261">
      <c r="A1261" s="12">
        <f>IF(Ремонты!S181="","",Ремонты!S181)</f>
        <v/>
      </c>
      <c r="B1261" s="10">
        <f>IF($A1261="","",Ремонты!A181)</f>
        <v/>
      </c>
      <c r="C1261" s="10">
        <f>IF($A1261="","",Ремонты!D181)</f>
        <v/>
      </c>
      <c r="D1261" s="10">
        <f>IF($A1261="","",Ремонты!E181)</f>
        <v/>
      </c>
      <c r="E1261" s="10">
        <f>IF($A1261="","","Оплата")</f>
        <v/>
      </c>
      <c r="F1261" s="10">
        <f>IF($A1261="","",Ремонты!T181)</f>
        <v/>
      </c>
      <c r="G1261" s="10">
        <f>IF($A1261="","","Автозапись из листа Ремонты")</f>
        <v/>
      </c>
    </row>
    <row r="1262">
      <c r="A1262" s="12">
        <f>IF(Ремонты!G182="","",Ремонты!G182)</f>
        <v/>
      </c>
      <c r="B1262" s="10">
        <f>IF($A1262="","",Ремонты!A182)</f>
        <v/>
      </c>
      <c r="C1262" s="10">
        <f>IF($A1262="","",Ремонты!D182)</f>
        <v/>
      </c>
      <c r="D1262" s="10">
        <f>IF($A1262="","",Ремонты!E182)</f>
        <v/>
      </c>
      <c r="E1262" s="10">
        <f>IF($A1262="","","Отправка в ремонт")</f>
        <v/>
      </c>
      <c r="F1262" s="10">
        <f>IF($A1262="","",Ремонты!T182)</f>
        <v/>
      </c>
      <c r="G1262" s="10">
        <f>IF($A1262="","","Автозапись из листа Ремонты")</f>
        <v/>
      </c>
    </row>
    <row r="1263">
      <c r="A1263" s="12">
        <f>IF(Ремонты!I182="","",Ремонты!I182)</f>
        <v/>
      </c>
      <c r="B1263" s="10">
        <f>IF($A1263="","",Ремонты!A182)</f>
        <v/>
      </c>
      <c r="C1263" s="10">
        <f>IF($A1263="","",Ремонты!D182)</f>
        <v/>
      </c>
      <c r="D1263" s="10">
        <f>IF($A1263="","",Ремонты!E182)</f>
        <v/>
      </c>
      <c r="E1263" s="10">
        <f>IF($A1263="","","Отправка из ремонта")</f>
        <v/>
      </c>
      <c r="F1263" s="10">
        <f>IF($A1263="","",Ремонты!T182)</f>
        <v/>
      </c>
      <c r="G1263" s="10">
        <f>IF($A1263="","","Автозапись из листа Ремонты")</f>
        <v/>
      </c>
    </row>
    <row r="1264">
      <c r="A1264" s="12">
        <f>IF(Ремонты!J182="","",Ремонты!J182)</f>
        <v/>
      </c>
      <c r="B1264" s="10">
        <f>IF($A1264="","",Ремонты!A182)</f>
        <v/>
      </c>
      <c r="C1264" s="10">
        <f>IF($A1264="","",Ремонты!D182)</f>
        <v/>
      </c>
      <c r="D1264" s="10">
        <f>IF($A1264="","",Ремонты!E182)</f>
        <v/>
      </c>
      <c r="E1264" s="10">
        <f>IF($A1264="","","Отправка из Иркутска")</f>
        <v/>
      </c>
      <c r="F1264" s="10">
        <f>IF($A1264="","",Ремонты!T182)</f>
        <v/>
      </c>
      <c r="G1264" s="10">
        <f>IF($A1264="","","Автозапись из листа Ремонты")</f>
        <v/>
      </c>
    </row>
    <row r="1265">
      <c r="A1265" s="12">
        <f>IF(Ремонты!K182="","",Ремонты!K182)</f>
        <v/>
      </c>
      <c r="B1265" s="10">
        <f>IF($A1265="","",Ремонты!A182)</f>
        <v/>
      </c>
      <c r="C1265" s="10">
        <f>IF($A1265="","",Ремонты!D182)</f>
        <v/>
      </c>
      <c r="D1265" s="10">
        <f>IF($A1265="","",Ремонты!E182)</f>
        <v/>
      </c>
      <c r="E1265" s="10">
        <f>IF($A1265="","","Прибытие в Ленск")</f>
        <v/>
      </c>
      <c r="F1265" s="10">
        <f>IF($A1265="","",Ремонты!T182)</f>
        <v/>
      </c>
      <c r="G1265" s="10">
        <f>IF($A1265="","","Автозапись из листа Ремонты")</f>
        <v/>
      </c>
    </row>
    <row r="1266">
      <c r="A1266" s="12">
        <f>IF(Ремонты!M182="","",Ремонты!M182)</f>
        <v/>
      </c>
      <c r="B1266" s="10">
        <f>IF($A1266="","",Ремонты!A182)</f>
        <v/>
      </c>
      <c r="C1266" s="10">
        <f>IF($A1266="","",Ремонты!D182)</f>
        <v/>
      </c>
      <c r="D1266" s="10">
        <f>IF($A1266="","",Ремонты!E182)</f>
        <v/>
      </c>
      <c r="E1266" s="10">
        <f>IF($A1266="","","Фактическое получение")</f>
        <v/>
      </c>
      <c r="F1266" s="10">
        <f>IF($A1266="","",Ремонты!T182)</f>
        <v/>
      </c>
      <c r="G1266" s="10">
        <f>IF($A1266="","","Автозапись из листа Ремонты")</f>
        <v/>
      </c>
    </row>
    <row r="1267">
      <c r="A1267" s="12">
        <f>IF(Ремонты!P182="","",Ремонты!P182)</f>
        <v/>
      </c>
      <c r="B1267" s="10">
        <f>IF($A1267="","",Ремонты!A182)</f>
        <v/>
      </c>
      <c r="C1267" s="10">
        <f>IF($A1267="","",Ремонты!D182)</f>
        <v/>
      </c>
      <c r="D1267" s="10">
        <f>IF($A1267="","",Ремонты!E182)</f>
        <v/>
      </c>
      <c r="E1267" s="10">
        <f>IF($A1267="","","Входной контроль")</f>
        <v/>
      </c>
      <c r="F1267" s="10">
        <f>IF($A1267="","",Ремонты!T182)</f>
        <v/>
      </c>
      <c r="G1267" s="10">
        <f>IF($A1267="","","Автозапись из листа Ремонты")</f>
        <v/>
      </c>
    </row>
    <row r="1268">
      <c r="A1268" s="12">
        <f>IF(Ремонты!S182="","",Ремонты!S182)</f>
        <v/>
      </c>
      <c r="B1268" s="10">
        <f>IF($A1268="","",Ремонты!A182)</f>
        <v/>
      </c>
      <c r="C1268" s="10">
        <f>IF($A1268="","",Ремонты!D182)</f>
        <v/>
      </c>
      <c r="D1268" s="10">
        <f>IF($A1268="","",Ремонты!E182)</f>
        <v/>
      </c>
      <c r="E1268" s="10">
        <f>IF($A1268="","","Оплата")</f>
        <v/>
      </c>
      <c r="F1268" s="10">
        <f>IF($A1268="","",Ремонты!T182)</f>
        <v/>
      </c>
      <c r="G1268" s="10">
        <f>IF($A1268="","","Автозапись из листа Ремонты")</f>
        <v/>
      </c>
    </row>
    <row r="1269">
      <c r="A1269" s="12">
        <f>IF(Ремонты!G183="","",Ремонты!G183)</f>
        <v/>
      </c>
      <c r="B1269" s="10">
        <f>IF($A1269="","",Ремонты!A183)</f>
        <v/>
      </c>
      <c r="C1269" s="10">
        <f>IF($A1269="","",Ремонты!D183)</f>
        <v/>
      </c>
      <c r="D1269" s="10">
        <f>IF($A1269="","",Ремонты!E183)</f>
        <v/>
      </c>
      <c r="E1269" s="10">
        <f>IF($A1269="","","Отправка в ремонт")</f>
        <v/>
      </c>
      <c r="F1269" s="10">
        <f>IF($A1269="","",Ремонты!T183)</f>
        <v/>
      </c>
      <c r="G1269" s="10">
        <f>IF($A1269="","","Автозапись из листа Ремонты")</f>
        <v/>
      </c>
    </row>
    <row r="1270">
      <c r="A1270" s="12">
        <f>IF(Ремонты!I183="","",Ремонты!I183)</f>
        <v/>
      </c>
      <c r="B1270" s="10">
        <f>IF($A1270="","",Ремонты!A183)</f>
        <v/>
      </c>
      <c r="C1270" s="10">
        <f>IF($A1270="","",Ремонты!D183)</f>
        <v/>
      </c>
      <c r="D1270" s="10">
        <f>IF($A1270="","",Ремонты!E183)</f>
        <v/>
      </c>
      <c r="E1270" s="10">
        <f>IF($A1270="","","Отправка из ремонта")</f>
        <v/>
      </c>
      <c r="F1270" s="10">
        <f>IF($A1270="","",Ремонты!T183)</f>
        <v/>
      </c>
      <c r="G1270" s="10">
        <f>IF($A1270="","","Автозапись из листа Ремонты")</f>
        <v/>
      </c>
    </row>
    <row r="1271">
      <c r="A1271" s="12">
        <f>IF(Ремонты!J183="","",Ремонты!J183)</f>
        <v/>
      </c>
      <c r="B1271" s="10">
        <f>IF($A1271="","",Ремонты!A183)</f>
        <v/>
      </c>
      <c r="C1271" s="10">
        <f>IF($A1271="","",Ремонты!D183)</f>
        <v/>
      </c>
      <c r="D1271" s="10">
        <f>IF($A1271="","",Ремонты!E183)</f>
        <v/>
      </c>
      <c r="E1271" s="10">
        <f>IF($A1271="","","Отправка из Иркутска")</f>
        <v/>
      </c>
      <c r="F1271" s="10">
        <f>IF($A1271="","",Ремонты!T183)</f>
        <v/>
      </c>
      <c r="G1271" s="10">
        <f>IF($A1271="","","Автозапись из листа Ремонты")</f>
        <v/>
      </c>
    </row>
    <row r="1272">
      <c r="A1272" s="12">
        <f>IF(Ремонты!K183="","",Ремонты!K183)</f>
        <v/>
      </c>
      <c r="B1272" s="10">
        <f>IF($A1272="","",Ремонты!A183)</f>
        <v/>
      </c>
      <c r="C1272" s="10">
        <f>IF($A1272="","",Ремонты!D183)</f>
        <v/>
      </c>
      <c r="D1272" s="10">
        <f>IF($A1272="","",Ремонты!E183)</f>
        <v/>
      </c>
      <c r="E1272" s="10">
        <f>IF($A1272="","","Прибытие в Ленск")</f>
        <v/>
      </c>
      <c r="F1272" s="10">
        <f>IF($A1272="","",Ремонты!T183)</f>
        <v/>
      </c>
      <c r="G1272" s="10">
        <f>IF($A1272="","","Автозапись из листа Ремонты")</f>
        <v/>
      </c>
    </row>
    <row r="1273">
      <c r="A1273" s="12">
        <f>IF(Ремонты!M183="","",Ремонты!M183)</f>
        <v/>
      </c>
      <c r="B1273" s="10">
        <f>IF($A1273="","",Ремонты!A183)</f>
        <v/>
      </c>
      <c r="C1273" s="10">
        <f>IF($A1273="","",Ремонты!D183)</f>
        <v/>
      </c>
      <c r="D1273" s="10">
        <f>IF($A1273="","",Ремонты!E183)</f>
        <v/>
      </c>
      <c r="E1273" s="10">
        <f>IF($A1273="","","Фактическое получение")</f>
        <v/>
      </c>
      <c r="F1273" s="10">
        <f>IF($A1273="","",Ремонты!T183)</f>
        <v/>
      </c>
      <c r="G1273" s="10">
        <f>IF($A1273="","","Автозапись из листа Ремонты")</f>
        <v/>
      </c>
    </row>
    <row r="1274">
      <c r="A1274" s="12">
        <f>IF(Ремонты!P183="","",Ремонты!P183)</f>
        <v/>
      </c>
      <c r="B1274" s="10">
        <f>IF($A1274="","",Ремонты!A183)</f>
        <v/>
      </c>
      <c r="C1274" s="10">
        <f>IF($A1274="","",Ремонты!D183)</f>
        <v/>
      </c>
      <c r="D1274" s="10">
        <f>IF($A1274="","",Ремонты!E183)</f>
        <v/>
      </c>
      <c r="E1274" s="10">
        <f>IF($A1274="","","Входной контроль")</f>
        <v/>
      </c>
      <c r="F1274" s="10">
        <f>IF($A1274="","",Ремонты!T183)</f>
        <v/>
      </c>
      <c r="G1274" s="10">
        <f>IF($A1274="","","Автозапись из листа Ремонты")</f>
        <v/>
      </c>
    </row>
    <row r="1275">
      <c r="A1275" s="12">
        <f>IF(Ремонты!S183="","",Ремонты!S183)</f>
        <v/>
      </c>
      <c r="B1275" s="10">
        <f>IF($A1275="","",Ремонты!A183)</f>
        <v/>
      </c>
      <c r="C1275" s="10">
        <f>IF($A1275="","",Ремонты!D183)</f>
        <v/>
      </c>
      <c r="D1275" s="10">
        <f>IF($A1275="","",Ремонты!E183)</f>
        <v/>
      </c>
      <c r="E1275" s="10">
        <f>IF($A1275="","","Оплата")</f>
        <v/>
      </c>
      <c r="F1275" s="10">
        <f>IF($A1275="","",Ремонты!T183)</f>
        <v/>
      </c>
      <c r="G1275" s="10">
        <f>IF($A1275="","","Автозапись из листа Ремонты")</f>
        <v/>
      </c>
    </row>
    <row r="1276">
      <c r="A1276" s="12">
        <f>IF(Ремонты!G184="","",Ремонты!G184)</f>
        <v/>
      </c>
      <c r="B1276" s="10">
        <f>IF($A1276="","",Ремонты!A184)</f>
        <v/>
      </c>
      <c r="C1276" s="10">
        <f>IF($A1276="","",Ремонты!D184)</f>
        <v/>
      </c>
      <c r="D1276" s="10">
        <f>IF($A1276="","",Ремонты!E184)</f>
        <v/>
      </c>
      <c r="E1276" s="10">
        <f>IF($A1276="","","Отправка в ремонт")</f>
        <v/>
      </c>
      <c r="F1276" s="10">
        <f>IF($A1276="","",Ремонты!T184)</f>
        <v/>
      </c>
      <c r="G1276" s="10">
        <f>IF($A1276="","","Автозапись из листа Ремонты")</f>
        <v/>
      </c>
    </row>
    <row r="1277">
      <c r="A1277" s="12">
        <f>IF(Ремонты!I184="","",Ремонты!I184)</f>
        <v/>
      </c>
      <c r="B1277" s="10">
        <f>IF($A1277="","",Ремонты!A184)</f>
        <v/>
      </c>
      <c r="C1277" s="10">
        <f>IF($A1277="","",Ремонты!D184)</f>
        <v/>
      </c>
      <c r="D1277" s="10">
        <f>IF($A1277="","",Ремонты!E184)</f>
        <v/>
      </c>
      <c r="E1277" s="10">
        <f>IF($A1277="","","Отправка из ремонта")</f>
        <v/>
      </c>
      <c r="F1277" s="10">
        <f>IF($A1277="","",Ремонты!T184)</f>
        <v/>
      </c>
      <c r="G1277" s="10">
        <f>IF($A1277="","","Автозапись из листа Ремонты")</f>
        <v/>
      </c>
    </row>
    <row r="1278">
      <c r="A1278" s="12">
        <f>IF(Ремонты!J184="","",Ремонты!J184)</f>
        <v/>
      </c>
      <c r="B1278" s="10">
        <f>IF($A1278="","",Ремонты!A184)</f>
        <v/>
      </c>
      <c r="C1278" s="10">
        <f>IF($A1278="","",Ремонты!D184)</f>
        <v/>
      </c>
      <c r="D1278" s="10">
        <f>IF($A1278="","",Ремонты!E184)</f>
        <v/>
      </c>
      <c r="E1278" s="10">
        <f>IF($A1278="","","Отправка из Иркутска")</f>
        <v/>
      </c>
      <c r="F1278" s="10">
        <f>IF($A1278="","",Ремонты!T184)</f>
        <v/>
      </c>
      <c r="G1278" s="10">
        <f>IF($A1278="","","Автозапись из листа Ремонты")</f>
        <v/>
      </c>
    </row>
    <row r="1279">
      <c r="A1279" s="12">
        <f>IF(Ремонты!K184="","",Ремонты!K184)</f>
        <v/>
      </c>
      <c r="B1279" s="10">
        <f>IF($A1279="","",Ремонты!A184)</f>
        <v/>
      </c>
      <c r="C1279" s="10">
        <f>IF($A1279="","",Ремонты!D184)</f>
        <v/>
      </c>
      <c r="D1279" s="10">
        <f>IF($A1279="","",Ремонты!E184)</f>
        <v/>
      </c>
      <c r="E1279" s="10">
        <f>IF($A1279="","","Прибытие в Ленск")</f>
        <v/>
      </c>
      <c r="F1279" s="10">
        <f>IF($A1279="","",Ремонты!T184)</f>
        <v/>
      </c>
      <c r="G1279" s="10">
        <f>IF($A1279="","","Автозапись из листа Ремонты")</f>
        <v/>
      </c>
    </row>
    <row r="1280">
      <c r="A1280" s="12">
        <f>IF(Ремонты!M184="","",Ремонты!M184)</f>
        <v/>
      </c>
      <c r="B1280" s="10">
        <f>IF($A1280="","",Ремонты!A184)</f>
        <v/>
      </c>
      <c r="C1280" s="10">
        <f>IF($A1280="","",Ремонты!D184)</f>
        <v/>
      </c>
      <c r="D1280" s="10">
        <f>IF($A1280="","",Ремонты!E184)</f>
        <v/>
      </c>
      <c r="E1280" s="10">
        <f>IF($A1280="","","Фактическое получение")</f>
        <v/>
      </c>
      <c r="F1280" s="10">
        <f>IF($A1280="","",Ремонты!T184)</f>
        <v/>
      </c>
      <c r="G1280" s="10">
        <f>IF($A1280="","","Автозапись из листа Ремонты")</f>
        <v/>
      </c>
    </row>
    <row r="1281">
      <c r="A1281" s="12">
        <f>IF(Ремонты!P184="","",Ремонты!P184)</f>
        <v/>
      </c>
      <c r="B1281" s="10">
        <f>IF($A1281="","",Ремонты!A184)</f>
        <v/>
      </c>
      <c r="C1281" s="10">
        <f>IF($A1281="","",Ремонты!D184)</f>
        <v/>
      </c>
      <c r="D1281" s="10">
        <f>IF($A1281="","",Ремонты!E184)</f>
        <v/>
      </c>
      <c r="E1281" s="10">
        <f>IF($A1281="","","Входной контроль")</f>
        <v/>
      </c>
      <c r="F1281" s="10">
        <f>IF($A1281="","",Ремонты!T184)</f>
        <v/>
      </c>
      <c r="G1281" s="10">
        <f>IF($A1281="","","Автозапись из листа Ремонты")</f>
        <v/>
      </c>
    </row>
    <row r="1282">
      <c r="A1282" s="12">
        <f>IF(Ремонты!S184="","",Ремонты!S184)</f>
        <v/>
      </c>
      <c r="B1282" s="10">
        <f>IF($A1282="","",Ремонты!A184)</f>
        <v/>
      </c>
      <c r="C1282" s="10">
        <f>IF($A1282="","",Ремонты!D184)</f>
        <v/>
      </c>
      <c r="D1282" s="10">
        <f>IF($A1282="","",Ремонты!E184)</f>
        <v/>
      </c>
      <c r="E1282" s="10">
        <f>IF($A1282="","","Оплата")</f>
        <v/>
      </c>
      <c r="F1282" s="10">
        <f>IF($A1282="","",Ремонты!T184)</f>
        <v/>
      </c>
      <c r="G1282" s="10">
        <f>IF($A1282="","","Автозапись из листа Ремонты")</f>
        <v/>
      </c>
    </row>
    <row r="1283">
      <c r="A1283" s="12">
        <f>IF(Ремонты!G185="","",Ремонты!G185)</f>
        <v/>
      </c>
      <c r="B1283" s="10">
        <f>IF($A1283="","",Ремонты!A185)</f>
        <v/>
      </c>
      <c r="C1283" s="10">
        <f>IF($A1283="","",Ремонты!D185)</f>
        <v/>
      </c>
      <c r="D1283" s="10">
        <f>IF($A1283="","",Ремонты!E185)</f>
        <v/>
      </c>
      <c r="E1283" s="10">
        <f>IF($A1283="","","Отправка в ремонт")</f>
        <v/>
      </c>
      <c r="F1283" s="10">
        <f>IF($A1283="","",Ремонты!T185)</f>
        <v/>
      </c>
      <c r="G1283" s="10">
        <f>IF($A1283="","","Автозапись из листа Ремонты")</f>
        <v/>
      </c>
    </row>
    <row r="1284">
      <c r="A1284" s="12">
        <f>IF(Ремонты!I185="","",Ремонты!I185)</f>
        <v/>
      </c>
      <c r="B1284" s="10">
        <f>IF($A1284="","",Ремонты!A185)</f>
        <v/>
      </c>
      <c r="C1284" s="10">
        <f>IF($A1284="","",Ремонты!D185)</f>
        <v/>
      </c>
      <c r="D1284" s="10">
        <f>IF($A1284="","",Ремонты!E185)</f>
        <v/>
      </c>
      <c r="E1284" s="10">
        <f>IF($A1284="","","Отправка из ремонта")</f>
        <v/>
      </c>
      <c r="F1284" s="10">
        <f>IF($A1284="","",Ремонты!T185)</f>
        <v/>
      </c>
      <c r="G1284" s="10">
        <f>IF($A1284="","","Автозапись из листа Ремонты")</f>
        <v/>
      </c>
    </row>
    <row r="1285">
      <c r="A1285" s="12">
        <f>IF(Ремонты!J185="","",Ремонты!J185)</f>
        <v/>
      </c>
      <c r="B1285" s="10">
        <f>IF($A1285="","",Ремонты!A185)</f>
        <v/>
      </c>
      <c r="C1285" s="10">
        <f>IF($A1285="","",Ремонты!D185)</f>
        <v/>
      </c>
      <c r="D1285" s="10">
        <f>IF($A1285="","",Ремонты!E185)</f>
        <v/>
      </c>
      <c r="E1285" s="10">
        <f>IF($A1285="","","Отправка из Иркутска")</f>
        <v/>
      </c>
      <c r="F1285" s="10">
        <f>IF($A1285="","",Ремонты!T185)</f>
        <v/>
      </c>
      <c r="G1285" s="10">
        <f>IF($A1285="","","Автозапись из листа Ремонты")</f>
        <v/>
      </c>
    </row>
    <row r="1286">
      <c r="A1286" s="12">
        <f>IF(Ремонты!K185="","",Ремонты!K185)</f>
        <v/>
      </c>
      <c r="B1286" s="10">
        <f>IF($A1286="","",Ремонты!A185)</f>
        <v/>
      </c>
      <c r="C1286" s="10">
        <f>IF($A1286="","",Ремонты!D185)</f>
        <v/>
      </c>
      <c r="D1286" s="10">
        <f>IF($A1286="","",Ремонты!E185)</f>
        <v/>
      </c>
      <c r="E1286" s="10">
        <f>IF($A1286="","","Прибытие в Ленск")</f>
        <v/>
      </c>
      <c r="F1286" s="10">
        <f>IF($A1286="","",Ремонты!T185)</f>
        <v/>
      </c>
      <c r="G1286" s="10">
        <f>IF($A1286="","","Автозапись из листа Ремонты")</f>
        <v/>
      </c>
    </row>
    <row r="1287">
      <c r="A1287" s="12">
        <f>IF(Ремонты!M185="","",Ремонты!M185)</f>
        <v/>
      </c>
      <c r="B1287" s="10">
        <f>IF($A1287="","",Ремонты!A185)</f>
        <v/>
      </c>
      <c r="C1287" s="10">
        <f>IF($A1287="","",Ремонты!D185)</f>
        <v/>
      </c>
      <c r="D1287" s="10">
        <f>IF($A1287="","",Ремонты!E185)</f>
        <v/>
      </c>
      <c r="E1287" s="10">
        <f>IF($A1287="","","Фактическое получение")</f>
        <v/>
      </c>
      <c r="F1287" s="10">
        <f>IF($A1287="","",Ремонты!T185)</f>
        <v/>
      </c>
      <c r="G1287" s="10">
        <f>IF($A1287="","","Автозапись из листа Ремонты")</f>
        <v/>
      </c>
    </row>
    <row r="1288">
      <c r="A1288" s="12">
        <f>IF(Ремонты!P185="","",Ремонты!P185)</f>
        <v/>
      </c>
      <c r="B1288" s="10">
        <f>IF($A1288="","",Ремонты!A185)</f>
        <v/>
      </c>
      <c r="C1288" s="10">
        <f>IF($A1288="","",Ремонты!D185)</f>
        <v/>
      </c>
      <c r="D1288" s="10">
        <f>IF($A1288="","",Ремонты!E185)</f>
        <v/>
      </c>
      <c r="E1288" s="10">
        <f>IF($A1288="","","Входной контроль")</f>
        <v/>
      </c>
      <c r="F1288" s="10">
        <f>IF($A1288="","",Ремонты!T185)</f>
        <v/>
      </c>
      <c r="G1288" s="10">
        <f>IF($A1288="","","Автозапись из листа Ремонты")</f>
        <v/>
      </c>
    </row>
    <row r="1289">
      <c r="A1289" s="12">
        <f>IF(Ремонты!S185="","",Ремонты!S185)</f>
        <v/>
      </c>
      <c r="B1289" s="10">
        <f>IF($A1289="","",Ремонты!A185)</f>
        <v/>
      </c>
      <c r="C1289" s="10">
        <f>IF($A1289="","",Ремонты!D185)</f>
        <v/>
      </c>
      <c r="D1289" s="10">
        <f>IF($A1289="","",Ремонты!E185)</f>
        <v/>
      </c>
      <c r="E1289" s="10">
        <f>IF($A1289="","","Оплата")</f>
        <v/>
      </c>
      <c r="F1289" s="10">
        <f>IF($A1289="","",Ремонты!T185)</f>
        <v/>
      </c>
      <c r="G1289" s="10">
        <f>IF($A1289="","","Автозапись из листа Ремонты")</f>
        <v/>
      </c>
    </row>
    <row r="1290">
      <c r="A1290" s="12">
        <f>IF(Ремонты!G186="","",Ремонты!G186)</f>
        <v/>
      </c>
      <c r="B1290" s="10">
        <f>IF($A1290="","",Ремонты!A186)</f>
        <v/>
      </c>
      <c r="C1290" s="10">
        <f>IF($A1290="","",Ремонты!D186)</f>
        <v/>
      </c>
      <c r="D1290" s="10">
        <f>IF($A1290="","",Ремонты!E186)</f>
        <v/>
      </c>
      <c r="E1290" s="10">
        <f>IF($A1290="","","Отправка в ремонт")</f>
        <v/>
      </c>
      <c r="F1290" s="10">
        <f>IF($A1290="","",Ремонты!T186)</f>
        <v/>
      </c>
      <c r="G1290" s="10">
        <f>IF($A1290="","","Автозапись из листа Ремонты")</f>
        <v/>
      </c>
    </row>
    <row r="1291">
      <c r="A1291" s="12">
        <f>IF(Ремонты!I186="","",Ремонты!I186)</f>
        <v/>
      </c>
      <c r="B1291" s="10">
        <f>IF($A1291="","",Ремонты!A186)</f>
        <v/>
      </c>
      <c r="C1291" s="10">
        <f>IF($A1291="","",Ремонты!D186)</f>
        <v/>
      </c>
      <c r="D1291" s="10">
        <f>IF($A1291="","",Ремонты!E186)</f>
        <v/>
      </c>
      <c r="E1291" s="10">
        <f>IF($A1291="","","Отправка из ремонта")</f>
        <v/>
      </c>
      <c r="F1291" s="10">
        <f>IF($A1291="","",Ремонты!T186)</f>
        <v/>
      </c>
      <c r="G1291" s="10">
        <f>IF($A1291="","","Автозапись из листа Ремонты")</f>
        <v/>
      </c>
    </row>
    <row r="1292">
      <c r="A1292" s="12">
        <f>IF(Ремонты!J186="","",Ремонты!J186)</f>
        <v/>
      </c>
      <c r="B1292" s="10">
        <f>IF($A1292="","",Ремонты!A186)</f>
        <v/>
      </c>
      <c r="C1292" s="10">
        <f>IF($A1292="","",Ремонты!D186)</f>
        <v/>
      </c>
      <c r="D1292" s="10">
        <f>IF($A1292="","",Ремонты!E186)</f>
        <v/>
      </c>
      <c r="E1292" s="10">
        <f>IF($A1292="","","Отправка из Иркутска")</f>
        <v/>
      </c>
      <c r="F1292" s="10">
        <f>IF($A1292="","",Ремонты!T186)</f>
        <v/>
      </c>
      <c r="G1292" s="10">
        <f>IF($A1292="","","Автозапись из листа Ремонты")</f>
        <v/>
      </c>
    </row>
    <row r="1293">
      <c r="A1293" s="12">
        <f>IF(Ремонты!K186="","",Ремонты!K186)</f>
        <v/>
      </c>
      <c r="B1293" s="10">
        <f>IF($A1293="","",Ремонты!A186)</f>
        <v/>
      </c>
      <c r="C1293" s="10">
        <f>IF($A1293="","",Ремонты!D186)</f>
        <v/>
      </c>
      <c r="D1293" s="10">
        <f>IF($A1293="","",Ремонты!E186)</f>
        <v/>
      </c>
      <c r="E1293" s="10">
        <f>IF($A1293="","","Прибытие в Ленск")</f>
        <v/>
      </c>
      <c r="F1293" s="10">
        <f>IF($A1293="","",Ремонты!T186)</f>
        <v/>
      </c>
      <c r="G1293" s="10">
        <f>IF($A1293="","","Автозапись из листа Ремонты")</f>
        <v/>
      </c>
    </row>
    <row r="1294">
      <c r="A1294" s="12">
        <f>IF(Ремонты!M186="","",Ремонты!M186)</f>
        <v/>
      </c>
      <c r="B1294" s="10">
        <f>IF($A1294="","",Ремонты!A186)</f>
        <v/>
      </c>
      <c r="C1294" s="10">
        <f>IF($A1294="","",Ремонты!D186)</f>
        <v/>
      </c>
      <c r="D1294" s="10">
        <f>IF($A1294="","",Ремонты!E186)</f>
        <v/>
      </c>
      <c r="E1294" s="10">
        <f>IF($A1294="","","Фактическое получение")</f>
        <v/>
      </c>
      <c r="F1294" s="10">
        <f>IF($A1294="","",Ремонты!T186)</f>
        <v/>
      </c>
      <c r="G1294" s="10">
        <f>IF($A1294="","","Автозапись из листа Ремонты")</f>
        <v/>
      </c>
    </row>
    <row r="1295">
      <c r="A1295" s="12">
        <f>IF(Ремонты!P186="","",Ремонты!P186)</f>
        <v/>
      </c>
      <c r="B1295" s="10">
        <f>IF($A1295="","",Ремонты!A186)</f>
        <v/>
      </c>
      <c r="C1295" s="10">
        <f>IF($A1295="","",Ремонты!D186)</f>
        <v/>
      </c>
      <c r="D1295" s="10">
        <f>IF($A1295="","",Ремонты!E186)</f>
        <v/>
      </c>
      <c r="E1295" s="10">
        <f>IF($A1295="","","Входной контроль")</f>
        <v/>
      </c>
      <c r="F1295" s="10">
        <f>IF($A1295="","",Ремонты!T186)</f>
        <v/>
      </c>
      <c r="G1295" s="10">
        <f>IF($A1295="","","Автозапись из листа Ремонты")</f>
        <v/>
      </c>
    </row>
    <row r="1296">
      <c r="A1296" s="12">
        <f>IF(Ремонты!S186="","",Ремонты!S186)</f>
        <v/>
      </c>
      <c r="B1296" s="10">
        <f>IF($A1296="","",Ремонты!A186)</f>
        <v/>
      </c>
      <c r="C1296" s="10">
        <f>IF($A1296="","",Ремонты!D186)</f>
        <v/>
      </c>
      <c r="D1296" s="10">
        <f>IF($A1296="","",Ремонты!E186)</f>
        <v/>
      </c>
      <c r="E1296" s="10">
        <f>IF($A1296="","","Оплата")</f>
        <v/>
      </c>
      <c r="F1296" s="10">
        <f>IF($A1296="","",Ремонты!T186)</f>
        <v/>
      </c>
      <c r="G1296" s="10">
        <f>IF($A1296="","","Автозапись из листа Ремонты")</f>
        <v/>
      </c>
    </row>
    <row r="1297">
      <c r="A1297" s="12">
        <f>IF(Ремонты!G187="","",Ремонты!G187)</f>
        <v/>
      </c>
      <c r="B1297" s="10">
        <f>IF($A1297="","",Ремонты!A187)</f>
        <v/>
      </c>
      <c r="C1297" s="10">
        <f>IF($A1297="","",Ремонты!D187)</f>
        <v/>
      </c>
      <c r="D1297" s="10">
        <f>IF($A1297="","",Ремонты!E187)</f>
        <v/>
      </c>
      <c r="E1297" s="10">
        <f>IF($A1297="","","Отправка в ремонт")</f>
        <v/>
      </c>
      <c r="F1297" s="10">
        <f>IF($A1297="","",Ремонты!T187)</f>
        <v/>
      </c>
      <c r="G1297" s="10">
        <f>IF($A1297="","","Автозапись из листа Ремонты")</f>
        <v/>
      </c>
    </row>
    <row r="1298">
      <c r="A1298" s="12">
        <f>IF(Ремонты!I187="","",Ремонты!I187)</f>
        <v/>
      </c>
      <c r="B1298" s="10">
        <f>IF($A1298="","",Ремонты!A187)</f>
        <v/>
      </c>
      <c r="C1298" s="10">
        <f>IF($A1298="","",Ремонты!D187)</f>
        <v/>
      </c>
      <c r="D1298" s="10">
        <f>IF($A1298="","",Ремонты!E187)</f>
        <v/>
      </c>
      <c r="E1298" s="10">
        <f>IF($A1298="","","Отправка из ремонта")</f>
        <v/>
      </c>
      <c r="F1298" s="10">
        <f>IF($A1298="","",Ремонты!T187)</f>
        <v/>
      </c>
      <c r="G1298" s="10">
        <f>IF($A1298="","","Автозапись из листа Ремонты")</f>
        <v/>
      </c>
    </row>
    <row r="1299">
      <c r="A1299" s="12">
        <f>IF(Ремонты!J187="","",Ремонты!J187)</f>
        <v/>
      </c>
      <c r="B1299" s="10">
        <f>IF($A1299="","",Ремонты!A187)</f>
        <v/>
      </c>
      <c r="C1299" s="10">
        <f>IF($A1299="","",Ремонты!D187)</f>
        <v/>
      </c>
      <c r="D1299" s="10">
        <f>IF($A1299="","",Ремонты!E187)</f>
        <v/>
      </c>
      <c r="E1299" s="10">
        <f>IF($A1299="","","Отправка из Иркутска")</f>
        <v/>
      </c>
      <c r="F1299" s="10">
        <f>IF($A1299="","",Ремонты!T187)</f>
        <v/>
      </c>
      <c r="G1299" s="10">
        <f>IF($A1299="","","Автозапись из листа Ремонты")</f>
        <v/>
      </c>
    </row>
    <row r="1300">
      <c r="A1300" s="12">
        <f>IF(Ремонты!K187="","",Ремонты!K187)</f>
        <v/>
      </c>
      <c r="B1300" s="10">
        <f>IF($A1300="","",Ремонты!A187)</f>
        <v/>
      </c>
      <c r="C1300" s="10">
        <f>IF($A1300="","",Ремонты!D187)</f>
        <v/>
      </c>
      <c r="D1300" s="10">
        <f>IF($A1300="","",Ремонты!E187)</f>
        <v/>
      </c>
      <c r="E1300" s="10">
        <f>IF($A1300="","","Прибытие в Ленск")</f>
        <v/>
      </c>
      <c r="F1300" s="10">
        <f>IF($A1300="","",Ремонты!T187)</f>
        <v/>
      </c>
      <c r="G1300" s="10">
        <f>IF($A1300="","","Автозапись из листа Ремонты")</f>
        <v/>
      </c>
    </row>
    <row r="1301">
      <c r="A1301" s="12">
        <f>IF(Ремонты!M187="","",Ремонты!M187)</f>
        <v/>
      </c>
      <c r="B1301" s="10">
        <f>IF($A1301="","",Ремонты!A187)</f>
        <v/>
      </c>
      <c r="C1301" s="10">
        <f>IF($A1301="","",Ремонты!D187)</f>
        <v/>
      </c>
      <c r="D1301" s="10">
        <f>IF($A1301="","",Ремонты!E187)</f>
        <v/>
      </c>
      <c r="E1301" s="10">
        <f>IF($A1301="","","Фактическое получение")</f>
        <v/>
      </c>
      <c r="F1301" s="10">
        <f>IF($A1301="","",Ремонты!T187)</f>
        <v/>
      </c>
      <c r="G1301" s="10">
        <f>IF($A1301="","","Автозапись из листа Ремонты")</f>
        <v/>
      </c>
    </row>
    <row r="1302">
      <c r="A1302" s="12">
        <f>IF(Ремонты!P187="","",Ремонты!P187)</f>
        <v/>
      </c>
      <c r="B1302" s="10">
        <f>IF($A1302="","",Ремонты!A187)</f>
        <v/>
      </c>
      <c r="C1302" s="10">
        <f>IF($A1302="","",Ремонты!D187)</f>
        <v/>
      </c>
      <c r="D1302" s="10">
        <f>IF($A1302="","",Ремонты!E187)</f>
        <v/>
      </c>
      <c r="E1302" s="10">
        <f>IF($A1302="","","Входной контроль")</f>
        <v/>
      </c>
      <c r="F1302" s="10">
        <f>IF($A1302="","",Ремонты!T187)</f>
        <v/>
      </c>
      <c r="G1302" s="10">
        <f>IF($A1302="","","Автозапись из листа Ремонты")</f>
        <v/>
      </c>
    </row>
    <row r="1303">
      <c r="A1303" s="12">
        <f>IF(Ремонты!S187="","",Ремонты!S187)</f>
        <v/>
      </c>
      <c r="B1303" s="10">
        <f>IF($A1303="","",Ремонты!A187)</f>
        <v/>
      </c>
      <c r="C1303" s="10">
        <f>IF($A1303="","",Ремонты!D187)</f>
        <v/>
      </c>
      <c r="D1303" s="10">
        <f>IF($A1303="","",Ремонты!E187)</f>
        <v/>
      </c>
      <c r="E1303" s="10">
        <f>IF($A1303="","","Оплата")</f>
        <v/>
      </c>
      <c r="F1303" s="10">
        <f>IF($A1303="","",Ремонты!T187)</f>
        <v/>
      </c>
      <c r="G1303" s="10">
        <f>IF($A1303="","","Автозапись из листа Ремонты")</f>
        <v/>
      </c>
    </row>
    <row r="1304">
      <c r="A1304" s="12">
        <f>IF(Ремонты!G188="","",Ремонты!G188)</f>
        <v/>
      </c>
      <c r="B1304" s="10">
        <f>IF($A1304="","",Ремонты!A188)</f>
        <v/>
      </c>
      <c r="C1304" s="10">
        <f>IF($A1304="","",Ремонты!D188)</f>
        <v/>
      </c>
      <c r="D1304" s="10">
        <f>IF($A1304="","",Ремонты!E188)</f>
        <v/>
      </c>
      <c r="E1304" s="10">
        <f>IF($A1304="","","Отправка в ремонт")</f>
        <v/>
      </c>
      <c r="F1304" s="10">
        <f>IF($A1304="","",Ремонты!T188)</f>
        <v/>
      </c>
      <c r="G1304" s="10">
        <f>IF($A1304="","","Автозапись из листа Ремонты")</f>
        <v/>
      </c>
    </row>
    <row r="1305">
      <c r="A1305" s="12">
        <f>IF(Ремонты!I188="","",Ремонты!I188)</f>
        <v/>
      </c>
      <c r="B1305" s="10">
        <f>IF($A1305="","",Ремонты!A188)</f>
        <v/>
      </c>
      <c r="C1305" s="10">
        <f>IF($A1305="","",Ремонты!D188)</f>
        <v/>
      </c>
      <c r="D1305" s="10">
        <f>IF($A1305="","",Ремонты!E188)</f>
        <v/>
      </c>
      <c r="E1305" s="10">
        <f>IF($A1305="","","Отправка из ремонта")</f>
        <v/>
      </c>
      <c r="F1305" s="10">
        <f>IF($A1305="","",Ремонты!T188)</f>
        <v/>
      </c>
      <c r="G1305" s="10">
        <f>IF($A1305="","","Автозапись из листа Ремонты")</f>
        <v/>
      </c>
    </row>
    <row r="1306">
      <c r="A1306" s="12">
        <f>IF(Ремонты!J188="","",Ремонты!J188)</f>
        <v/>
      </c>
      <c r="B1306" s="10">
        <f>IF($A1306="","",Ремонты!A188)</f>
        <v/>
      </c>
      <c r="C1306" s="10">
        <f>IF($A1306="","",Ремонты!D188)</f>
        <v/>
      </c>
      <c r="D1306" s="10">
        <f>IF($A1306="","",Ремонты!E188)</f>
        <v/>
      </c>
      <c r="E1306" s="10">
        <f>IF($A1306="","","Отправка из Иркутска")</f>
        <v/>
      </c>
      <c r="F1306" s="10">
        <f>IF($A1306="","",Ремонты!T188)</f>
        <v/>
      </c>
      <c r="G1306" s="10">
        <f>IF($A1306="","","Автозапись из листа Ремонты")</f>
        <v/>
      </c>
    </row>
    <row r="1307">
      <c r="A1307" s="12">
        <f>IF(Ремонты!K188="","",Ремонты!K188)</f>
        <v/>
      </c>
      <c r="B1307" s="10">
        <f>IF($A1307="","",Ремонты!A188)</f>
        <v/>
      </c>
      <c r="C1307" s="10">
        <f>IF($A1307="","",Ремонты!D188)</f>
        <v/>
      </c>
      <c r="D1307" s="10">
        <f>IF($A1307="","",Ремонты!E188)</f>
        <v/>
      </c>
      <c r="E1307" s="10">
        <f>IF($A1307="","","Прибытие в Ленск")</f>
        <v/>
      </c>
      <c r="F1307" s="10">
        <f>IF($A1307="","",Ремонты!T188)</f>
        <v/>
      </c>
      <c r="G1307" s="10">
        <f>IF($A1307="","","Автозапись из листа Ремонты")</f>
        <v/>
      </c>
    </row>
    <row r="1308">
      <c r="A1308" s="12">
        <f>IF(Ремонты!M188="","",Ремонты!M188)</f>
        <v/>
      </c>
      <c r="B1308" s="10">
        <f>IF($A1308="","",Ремонты!A188)</f>
        <v/>
      </c>
      <c r="C1308" s="10">
        <f>IF($A1308="","",Ремонты!D188)</f>
        <v/>
      </c>
      <c r="D1308" s="10">
        <f>IF($A1308="","",Ремонты!E188)</f>
        <v/>
      </c>
      <c r="E1308" s="10">
        <f>IF($A1308="","","Фактическое получение")</f>
        <v/>
      </c>
      <c r="F1308" s="10">
        <f>IF($A1308="","",Ремонты!T188)</f>
        <v/>
      </c>
      <c r="G1308" s="10">
        <f>IF($A1308="","","Автозапись из листа Ремонты")</f>
        <v/>
      </c>
    </row>
    <row r="1309">
      <c r="A1309" s="12">
        <f>IF(Ремонты!P188="","",Ремонты!P188)</f>
        <v/>
      </c>
      <c r="B1309" s="10">
        <f>IF($A1309="","",Ремонты!A188)</f>
        <v/>
      </c>
      <c r="C1309" s="10">
        <f>IF($A1309="","",Ремонты!D188)</f>
        <v/>
      </c>
      <c r="D1309" s="10">
        <f>IF($A1309="","",Ремонты!E188)</f>
        <v/>
      </c>
      <c r="E1309" s="10">
        <f>IF($A1309="","","Входной контроль")</f>
        <v/>
      </c>
      <c r="F1309" s="10">
        <f>IF($A1309="","",Ремонты!T188)</f>
        <v/>
      </c>
      <c r="G1309" s="10">
        <f>IF($A1309="","","Автозапись из листа Ремонты")</f>
        <v/>
      </c>
    </row>
    <row r="1310">
      <c r="A1310" s="12">
        <f>IF(Ремонты!S188="","",Ремонты!S188)</f>
        <v/>
      </c>
      <c r="B1310" s="10">
        <f>IF($A1310="","",Ремонты!A188)</f>
        <v/>
      </c>
      <c r="C1310" s="10">
        <f>IF($A1310="","",Ремонты!D188)</f>
        <v/>
      </c>
      <c r="D1310" s="10">
        <f>IF($A1310="","",Ремонты!E188)</f>
        <v/>
      </c>
      <c r="E1310" s="10">
        <f>IF($A1310="","","Оплата")</f>
        <v/>
      </c>
      <c r="F1310" s="10">
        <f>IF($A1310="","",Ремонты!T188)</f>
        <v/>
      </c>
      <c r="G1310" s="10">
        <f>IF($A1310="","","Автозапись из листа Ремонты")</f>
        <v/>
      </c>
    </row>
    <row r="1311">
      <c r="A1311" s="12">
        <f>IF(Ремонты!G189="","",Ремонты!G189)</f>
        <v/>
      </c>
      <c r="B1311" s="10">
        <f>IF($A1311="","",Ремонты!A189)</f>
        <v/>
      </c>
      <c r="C1311" s="10">
        <f>IF($A1311="","",Ремонты!D189)</f>
        <v/>
      </c>
      <c r="D1311" s="10">
        <f>IF($A1311="","",Ремонты!E189)</f>
        <v/>
      </c>
      <c r="E1311" s="10">
        <f>IF($A1311="","","Отправка в ремонт")</f>
        <v/>
      </c>
      <c r="F1311" s="10">
        <f>IF($A1311="","",Ремонты!T189)</f>
        <v/>
      </c>
      <c r="G1311" s="10">
        <f>IF($A1311="","","Автозапись из листа Ремонты")</f>
        <v/>
      </c>
    </row>
    <row r="1312">
      <c r="A1312" s="12">
        <f>IF(Ремонты!I189="","",Ремонты!I189)</f>
        <v/>
      </c>
      <c r="B1312" s="10">
        <f>IF($A1312="","",Ремонты!A189)</f>
        <v/>
      </c>
      <c r="C1312" s="10">
        <f>IF($A1312="","",Ремонты!D189)</f>
        <v/>
      </c>
      <c r="D1312" s="10">
        <f>IF($A1312="","",Ремонты!E189)</f>
        <v/>
      </c>
      <c r="E1312" s="10">
        <f>IF($A1312="","","Отправка из ремонта")</f>
        <v/>
      </c>
      <c r="F1312" s="10">
        <f>IF($A1312="","",Ремонты!T189)</f>
        <v/>
      </c>
      <c r="G1312" s="10">
        <f>IF($A1312="","","Автозапись из листа Ремонты")</f>
        <v/>
      </c>
    </row>
    <row r="1313">
      <c r="A1313" s="12">
        <f>IF(Ремонты!J189="","",Ремонты!J189)</f>
        <v/>
      </c>
      <c r="B1313" s="10">
        <f>IF($A1313="","",Ремонты!A189)</f>
        <v/>
      </c>
      <c r="C1313" s="10">
        <f>IF($A1313="","",Ремонты!D189)</f>
        <v/>
      </c>
      <c r="D1313" s="10">
        <f>IF($A1313="","",Ремонты!E189)</f>
        <v/>
      </c>
      <c r="E1313" s="10">
        <f>IF($A1313="","","Отправка из Иркутска")</f>
        <v/>
      </c>
      <c r="F1313" s="10">
        <f>IF($A1313="","",Ремонты!T189)</f>
        <v/>
      </c>
      <c r="G1313" s="10">
        <f>IF($A1313="","","Автозапись из листа Ремонты")</f>
        <v/>
      </c>
    </row>
    <row r="1314">
      <c r="A1314" s="12">
        <f>IF(Ремонты!K189="","",Ремонты!K189)</f>
        <v/>
      </c>
      <c r="B1314" s="10">
        <f>IF($A1314="","",Ремонты!A189)</f>
        <v/>
      </c>
      <c r="C1314" s="10">
        <f>IF($A1314="","",Ремонты!D189)</f>
        <v/>
      </c>
      <c r="D1314" s="10">
        <f>IF($A1314="","",Ремонты!E189)</f>
        <v/>
      </c>
      <c r="E1314" s="10">
        <f>IF($A1314="","","Прибытие в Ленск")</f>
        <v/>
      </c>
      <c r="F1314" s="10">
        <f>IF($A1314="","",Ремонты!T189)</f>
        <v/>
      </c>
      <c r="G1314" s="10">
        <f>IF($A1314="","","Автозапись из листа Ремонты")</f>
        <v/>
      </c>
    </row>
    <row r="1315">
      <c r="A1315" s="12">
        <f>IF(Ремонты!M189="","",Ремонты!M189)</f>
        <v/>
      </c>
      <c r="B1315" s="10">
        <f>IF($A1315="","",Ремонты!A189)</f>
        <v/>
      </c>
      <c r="C1315" s="10">
        <f>IF($A1315="","",Ремонты!D189)</f>
        <v/>
      </c>
      <c r="D1315" s="10">
        <f>IF($A1315="","",Ремонты!E189)</f>
        <v/>
      </c>
      <c r="E1315" s="10">
        <f>IF($A1315="","","Фактическое получение")</f>
        <v/>
      </c>
      <c r="F1315" s="10">
        <f>IF($A1315="","",Ремонты!T189)</f>
        <v/>
      </c>
      <c r="G1315" s="10">
        <f>IF($A1315="","","Автозапись из листа Ремонты")</f>
        <v/>
      </c>
    </row>
    <row r="1316">
      <c r="A1316" s="12">
        <f>IF(Ремонты!P189="","",Ремонты!P189)</f>
        <v/>
      </c>
      <c r="B1316" s="10">
        <f>IF($A1316="","",Ремонты!A189)</f>
        <v/>
      </c>
      <c r="C1316" s="10">
        <f>IF($A1316="","",Ремонты!D189)</f>
        <v/>
      </c>
      <c r="D1316" s="10">
        <f>IF($A1316="","",Ремонты!E189)</f>
        <v/>
      </c>
      <c r="E1316" s="10">
        <f>IF($A1316="","","Входной контроль")</f>
        <v/>
      </c>
      <c r="F1316" s="10">
        <f>IF($A1316="","",Ремонты!T189)</f>
        <v/>
      </c>
      <c r="G1316" s="10">
        <f>IF($A1316="","","Автозапись из листа Ремонты")</f>
        <v/>
      </c>
    </row>
    <row r="1317">
      <c r="A1317" s="12">
        <f>IF(Ремонты!S189="","",Ремонты!S189)</f>
        <v/>
      </c>
      <c r="B1317" s="10">
        <f>IF($A1317="","",Ремонты!A189)</f>
        <v/>
      </c>
      <c r="C1317" s="10">
        <f>IF($A1317="","",Ремонты!D189)</f>
        <v/>
      </c>
      <c r="D1317" s="10">
        <f>IF($A1317="","",Ремонты!E189)</f>
        <v/>
      </c>
      <c r="E1317" s="10">
        <f>IF($A1317="","","Оплата")</f>
        <v/>
      </c>
      <c r="F1317" s="10">
        <f>IF($A1317="","",Ремонты!T189)</f>
        <v/>
      </c>
      <c r="G1317" s="10">
        <f>IF($A1317="","","Автозапись из листа Ремонты")</f>
        <v/>
      </c>
    </row>
    <row r="1318">
      <c r="A1318" s="12">
        <f>IF(Ремонты!G190="","",Ремонты!G190)</f>
        <v/>
      </c>
      <c r="B1318" s="10">
        <f>IF($A1318="","",Ремонты!A190)</f>
        <v/>
      </c>
      <c r="C1318" s="10">
        <f>IF($A1318="","",Ремонты!D190)</f>
        <v/>
      </c>
      <c r="D1318" s="10">
        <f>IF($A1318="","",Ремонты!E190)</f>
        <v/>
      </c>
      <c r="E1318" s="10">
        <f>IF($A1318="","","Отправка в ремонт")</f>
        <v/>
      </c>
      <c r="F1318" s="10">
        <f>IF($A1318="","",Ремонты!T190)</f>
        <v/>
      </c>
      <c r="G1318" s="10">
        <f>IF($A1318="","","Автозапись из листа Ремонты")</f>
        <v/>
      </c>
    </row>
    <row r="1319">
      <c r="A1319" s="12">
        <f>IF(Ремонты!I190="","",Ремонты!I190)</f>
        <v/>
      </c>
      <c r="B1319" s="10">
        <f>IF($A1319="","",Ремонты!A190)</f>
        <v/>
      </c>
      <c r="C1319" s="10">
        <f>IF($A1319="","",Ремонты!D190)</f>
        <v/>
      </c>
      <c r="D1319" s="10">
        <f>IF($A1319="","",Ремонты!E190)</f>
        <v/>
      </c>
      <c r="E1319" s="10">
        <f>IF($A1319="","","Отправка из ремонта")</f>
        <v/>
      </c>
      <c r="F1319" s="10">
        <f>IF($A1319="","",Ремонты!T190)</f>
        <v/>
      </c>
      <c r="G1319" s="10">
        <f>IF($A1319="","","Автозапись из листа Ремонты")</f>
        <v/>
      </c>
    </row>
    <row r="1320">
      <c r="A1320" s="12">
        <f>IF(Ремонты!J190="","",Ремонты!J190)</f>
        <v/>
      </c>
      <c r="B1320" s="10">
        <f>IF($A1320="","",Ремонты!A190)</f>
        <v/>
      </c>
      <c r="C1320" s="10">
        <f>IF($A1320="","",Ремонты!D190)</f>
        <v/>
      </c>
      <c r="D1320" s="10">
        <f>IF($A1320="","",Ремонты!E190)</f>
        <v/>
      </c>
      <c r="E1320" s="10">
        <f>IF($A1320="","","Отправка из Иркутска")</f>
        <v/>
      </c>
      <c r="F1320" s="10">
        <f>IF($A1320="","",Ремонты!T190)</f>
        <v/>
      </c>
      <c r="G1320" s="10">
        <f>IF($A1320="","","Автозапись из листа Ремонты")</f>
        <v/>
      </c>
    </row>
    <row r="1321">
      <c r="A1321" s="12">
        <f>IF(Ремонты!K190="","",Ремонты!K190)</f>
        <v/>
      </c>
      <c r="B1321" s="10">
        <f>IF($A1321="","",Ремонты!A190)</f>
        <v/>
      </c>
      <c r="C1321" s="10">
        <f>IF($A1321="","",Ремонты!D190)</f>
        <v/>
      </c>
      <c r="D1321" s="10">
        <f>IF($A1321="","",Ремонты!E190)</f>
        <v/>
      </c>
      <c r="E1321" s="10">
        <f>IF($A1321="","","Прибытие в Ленск")</f>
        <v/>
      </c>
      <c r="F1321" s="10">
        <f>IF($A1321="","",Ремонты!T190)</f>
        <v/>
      </c>
      <c r="G1321" s="10">
        <f>IF($A1321="","","Автозапись из листа Ремонты")</f>
        <v/>
      </c>
    </row>
    <row r="1322">
      <c r="A1322" s="12">
        <f>IF(Ремонты!M190="","",Ремонты!M190)</f>
        <v/>
      </c>
      <c r="B1322" s="10">
        <f>IF($A1322="","",Ремонты!A190)</f>
        <v/>
      </c>
      <c r="C1322" s="10">
        <f>IF($A1322="","",Ремонты!D190)</f>
        <v/>
      </c>
      <c r="D1322" s="10">
        <f>IF($A1322="","",Ремонты!E190)</f>
        <v/>
      </c>
      <c r="E1322" s="10">
        <f>IF($A1322="","","Фактическое получение")</f>
        <v/>
      </c>
      <c r="F1322" s="10">
        <f>IF($A1322="","",Ремонты!T190)</f>
        <v/>
      </c>
      <c r="G1322" s="10">
        <f>IF($A1322="","","Автозапись из листа Ремонты")</f>
        <v/>
      </c>
    </row>
    <row r="1323">
      <c r="A1323" s="12">
        <f>IF(Ремонты!P190="","",Ремонты!P190)</f>
        <v/>
      </c>
      <c r="B1323" s="10">
        <f>IF($A1323="","",Ремонты!A190)</f>
        <v/>
      </c>
      <c r="C1323" s="10">
        <f>IF($A1323="","",Ремонты!D190)</f>
        <v/>
      </c>
      <c r="D1323" s="10">
        <f>IF($A1323="","",Ремонты!E190)</f>
        <v/>
      </c>
      <c r="E1323" s="10">
        <f>IF($A1323="","","Входной контроль")</f>
        <v/>
      </c>
      <c r="F1323" s="10">
        <f>IF($A1323="","",Ремонты!T190)</f>
        <v/>
      </c>
      <c r="G1323" s="10">
        <f>IF($A1323="","","Автозапись из листа Ремонты")</f>
        <v/>
      </c>
    </row>
    <row r="1324">
      <c r="A1324" s="12">
        <f>IF(Ремонты!S190="","",Ремонты!S190)</f>
        <v/>
      </c>
      <c r="B1324" s="10">
        <f>IF($A1324="","",Ремонты!A190)</f>
        <v/>
      </c>
      <c r="C1324" s="10">
        <f>IF($A1324="","",Ремонты!D190)</f>
        <v/>
      </c>
      <c r="D1324" s="10">
        <f>IF($A1324="","",Ремонты!E190)</f>
        <v/>
      </c>
      <c r="E1324" s="10">
        <f>IF($A1324="","","Оплата")</f>
        <v/>
      </c>
      <c r="F1324" s="10">
        <f>IF($A1324="","",Ремонты!T190)</f>
        <v/>
      </c>
      <c r="G1324" s="10">
        <f>IF($A1324="","","Автозапись из листа Ремонты")</f>
        <v/>
      </c>
    </row>
    <row r="1325">
      <c r="A1325" s="12">
        <f>IF(Ремонты!G191="","",Ремонты!G191)</f>
        <v/>
      </c>
      <c r="B1325" s="10">
        <f>IF($A1325="","",Ремонты!A191)</f>
        <v/>
      </c>
      <c r="C1325" s="10">
        <f>IF($A1325="","",Ремонты!D191)</f>
        <v/>
      </c>
      <c r="D1325" s="10">
        <f>IF($A1325="","",Ремонты!E191)</f>
        <v/>
      </c>
      <c r="E1325" s="10">
        <f>IF($A1325="","","Отправка в ремонт")</f>
        <v/>
      </c>
      <c r="F1325" s="10">
        <f>IF($A1325="","",Ремонты!T191)</f>
        <v/>
      </c>
      <c r="G1325" s="10">
        <f>IF($A1325="","","Автозапись из листа Ремонты")</f>
        <v/>
      </c>
    </row>
    <row r="1326">
      <c r="A1326" s="12">
        <f>IF(Ремонты!I191="","",Ремонты!I191)</f>
        <v/>
      </c>
      <c r="B1326" s="10">
        <f>IF($A1326="","",Ремонты!A191)</f>
        <v/>
      </c>
      <c r="C1326" s="10">
        <f>IF($A1326="","",Ремонты!D191)</f>
        <v/>
      </c>
      <c r="D1326" s="10">
        <f>IF($A1326="","",Ремонты!E191)</f>
        <v/>
      </c>
      <c r="E1326" s="10">
        <f>IF($A1326="","","Отправка из ремонта")</f>
        <v/>
      </c>
      <c r="F1326" s="10">
        <f>IF($A1326="","",Ремонты!T191)</f>
        <v/>
      </c>
      <c r="G1326" s="10">
        <f>IF($A1326="","","Автозапись из листа Ремонты")</f>
        <v/>
      </c>
    </row>
    <row r="1327">
      <c r="A1327" s="12">
        <f>IF(Ремонты!J191="","",Ремонты!J191)</f>
        <v/>
      </c>
      <c r="B1327" s="10">
        <f>IF($A1327="","",Ремонты!A191)</f>
        <v/>
      </c>
      <c r="C1327" s="10">
        <f>IF($A1327="","",Ремонты!D191)</f>
        <v/>
      </c>
      <c r="D1327" s="10">
        <f>IF($A1327="","",Ремонты!E191)</f>
        <v/>
      </c>
      <c r="E1327" s="10">
        <f>IF($A1327="","","Отправка из Иркутска")</f>
        <v/>
      </c>
      <c r="F1327" s="10">
        <f>IF($A1327="","",Ремонты!T191)</f>
        <v/>
      </c>
      <c r="G1327" s="10">
        <f>IF($A1327="","","Автозапись из листа Ремонты")</f>
        <v/>
      </c>
    </row>
    <row r="1328">
      <c r="A1328" s="12">
        <f>IF(Ремонты!K191="","",Ремонты!K191)</f>
        <v/>
      </c>
      <c r="B1328" s="10">
        <f>IF($A1328="","",Ремонты!A191)</f>
        <v/>
      </c>
      <c r="C1328" s="10">
        <f>IF($A1328="","",Ремонты!D191)</f>
        <v/>
      </c>
      <c r="D1328" s="10">
        <f>IF($A1328="","",Ремонты!E191)</f>
        <v/>
      </c>
      <c r="E1328" s="10">
        <f>IF($A1328="","","Прибытие в Ленск")</f>
        <v/>
      </c>
      <c r="F1328" s="10">
        <f>IF($A1328="","",Ремонты!T191)</f>
        <v/>
      </c>
      <c r="G1328" s="10">
        <f>IF($A1328="","","Автозапись из листа Ремонты")</f>
        <v/>
      </c>
    </row>
    <row r="1329">
      <c r="A1329" s="12">
        <f>IF(Ремонты!M191="","",Ремонты!M191)</f>
        <v/>
      </c>
      <c r="B1329" s="10">
        <f>IF($A1329="","",Ремонты!A191)</f>
        <v/>
      </c>
      <c r="C1329" s="10">
        <f>IF($A1329="","",Ремонты!D191)</f>
        <v/>
      </c>
      <c r="D1329" s="10">
        <f>IF($A1329="","",Ремонты!E191)</f>
        <v/>
      </c>
      <c r="E1329" s="10">
        <f>IF($A1329="","","Фактическое получение")</f>
        <v/>
      </c>
      <c r="F1329" s="10">
        <f>IF($A1329="","",Ремонты!T191)</f>
        <v/>
      </c>
      <c r="G1329" s="10">
        <f>IF($A1329="","","Автозапись из листа Ремонты")</f>
        <v/>
      </c>
    </row>
    <row r="1330">
      <c r="A1330" s="12">
        <f>IF(Ремонты!P191="","",Ремонты!P191)</f>
        <v/>
      </c>
      <c r="B1330" s="10">
        <f>IF($A1330="","",Ремонты!A191)</f>
        <v/>
      </c>
      <c r="C1330" s="10">
        <f>IF($A1330="","",Ремонты!D191)</f>
        <v/>
      </c>
      <c r="D1330" s="10">
        <f>IF($A1330="","",Ремонты!E191)</f>
        <v/>
      </c>
      <c r="E1330" s="10">
        <f>IF($A1330="","","Входной контроль")</f>
        <v/>
      </c>
      <c r="F1330" s="10">
        <f>IF($A1330="","",Ремонты!T191)</f>
        <v/>
      </c>
      <c r="G1330" s="10">
        <f>IF($A1330="","","Автозапись из листа Ремонты")</f>
        <v/>
      </c>
    </row>
    <row r="1331">
      <c r="A1331" s="12">
        <f>IF(Ремонты!S191="","",Ремонты!S191)</f>
        <v/>
      </c>
      <c r="B1331" s="10">
        <f>IF($A1331="","",Ремонты!A191)</f>
        <v/>
      </c>
      <c r="C1331" s="10">
        <f>IF($A1331="","",Ремонты!D191)</f>
        <v/>
      </c>
      <c r="D1331" s="10">
        <f>IF($A1331="","",Ремонты!E191)</f>
        <v/>
      </c>
      <c r="E1331" s="10">
        <f>IF($A1331="","","Оплата")</f>
        <v/>
      </c>
      <c r="F1331" s="10">
        <f>IF($A1331="","",Ремонты!T191)</f>
        <v/>
      </c>
      <c r="G1331" s="10">
        <f>IF($A1331="","","Автозапись из листа Ремонты")</f>
        <v/>
      </c>
    </row>
    <row r="1332">
      <c r="A1332" s="12">
        <f>IF(Ремонты!G192="","",Ремонты!G192)</f>
        <v/>
      </c>
      <c r="B1332" s="10">
        <f>IF($A1332="","",Ремонты!A192)</f>
        <v/>
      </c>
      <c r="C1332" s="10">
        <f>IF($A1332="","",Ремонты!D192)</f>
        <v/>
      </c>
      <c r="D1332" s="10">
        <f>IF($A1332="","",Ремонты!E192)</f>
        <v/>
      </c>
      <c r="E1332" s="10">
        <f>IF($A1332="","","Отправка в ремонт")</f>
        <v/>
      </c>
      <c r="F1332" s="10">
        <f>IF($A1332="","",Ремонты!T192)</f>
        <v/>
      </c>
      <c r="G1332" s="10">
        <f>IF($A1332="","","Автозапись из листа Ремонты")</f>
        <v/>
      </c>
    </row>
    <row r="1333">
      <c r="A1333" s="12">
        <f>IF(Ремонты!I192="","",Ремонты!I192)</f>
        <v/>
      </c>
      <c r="B1333" s="10">
        <f>IF($A1333="","",Ремонты!A192)</f>
        <v/>
      </c>
      <c r="C1333" s="10">
        <f>IF($A1333="","",Ремонты!D192)</f>
        <v/>
      </c>
      <c r="D1333" s="10">
        <f>IF($A1333="","",Ремонты!E192)</f>
        <v/>
      </c>
      <c r="E1333" s="10">
        <f>IF($A1333="","","Отправка из ремонта")</f>
        <v/>
      </c>
      <c r="F1333" s="10">
        <f>IF($A1333="","",Ремонты!T192)</f>
        <v/>
      </c>
      <c r="G1333" s="10">
        <f>IF($A1333="","","Автозапись из листа Ремонты")</f>
        <v/>
      </c>
    </row>
    <row r="1334">
      <c r="A1334" s="12">
        <f>IF(Ремонты!J192="","",Ремонты!J192)</f>
        <v/>
      </c>
      <c r="B1334" s="10">
        <f>IF($A1334="","",Ремонты!A192)</f>
        <v/>
      </c>
      <c r="C1334" s="10">
        <f>IF($A1334="","",Ремонты!D192)</f>
        <v/>
      </c>
      <c r="D1334" s="10">
        <f>IF($A1334="","",Ремонты!E192)</f>
        <v/>
      </c>
      <c r="E1334" s="10">
        <f>IF($A1334="","","Отправка из Иркутска")</f>
        <v/>
      </c>
      <c r="F1334" s="10">
        <f>IF($A1334="","",Ремонты!T192)</f>
        <v/>
      </c>
      <c r="G1334" s="10">
        <f>IF($A1334="","","Автозапись из листа Ремонты")</f>
        <v/>
      </c>
    </row>
    <row r="1335">
      <c r="A1335" s="12">
        <f>IF(Ремонты!K192="","",Ремонты!K192)</f>
        <v/>
      </c>
      <c r="B1335" s="10">
        <f>IF($A1335="","",Ремонты!A192)</f>
        <v/>
      </c>
      <c r="C1335" s="10">
        <f>IF($A1335="","",Ремонты!D192)</f>
        <v/>
      </c>
      <c r="D1335" s="10">
        <f>IF($A1335="","",Ремонты!E192)</f>
        <v/>
      </c>
      <c r="E1335" s="10">
        <f>IF($A1335="","","Прибытие в Ленск")</f>
        <v/>
      </c>
      <c r="F1335" s="10">
        <f>IF($A1335="","",Ремонты!T192)</f>
        <v/>
      </c>
      <c r="G1335" s="10">
        <f>IF($A1335="","","Автозапись из листа Ремонты")</f>
        <v/>
      </c>
    </row>
    <row r="1336">
      <c r="A1336" s="12">
        <f>IF(Ремонты!M192="","",Ремонты!M192)</f>
        <v/>
      </c>
      <c r="B1336" s="10">
        <f>IF($A1336="","",Ремонты!A192)</f>
        <v/>
      </c>
      <c r="C1336" s="10">
        <f>IF($A1336="","",Ремонты!D192)</f>
        <v/>
      </c>
      <c r="D1336" s="10">
        <f>IF($A1336="","",Ремонты!E192)</f>
        <v/>
      </c>
      <c r="E1336" s="10">
        <f>IF($A1336="","","Фактическое получение")</f>
        <v/>
      </c>
      <c r="F1336" s="10">
        <f>IF($A1336="","",Ремонты!T192)</f>
        <v/>
      </c>
      <c r="G1336" s="10">
        <f>IF($A1336="","","Автозапись из листа Ремонты")</f>
        <v/>
      </c>
    </row>
    <row r="1337">
      <c r="A1337" s="12">
        <f>IF(Ремонты!P192="","",Ремонты!P192)</f>
        <v/>
      </c>
      <c r="B1337" s="10">
        <f>IF($A1337="","",Ремонты!A192)</f>
        <v/>
      </c>
      <c r="C1337" s="10">
        <f>IF($A1337="","",Ремонты!D192)</f>
        <v/>
      </c>
      <c r="D1337" s="10">
        <f>IF($A1337="","",Ремонты!E192)</f>
        <v/>
      </c>
      <c r="E1337" s="10">
        <f>IF($A1337="","","Входной контроль")</f>
        <v/>
      </c>
      <c r="F1337" s="10">
        <f>IF($A1337="","",Ремонты!T192)</f>
        <v/>
      </c>
      <c r="G1337" s="10">
        <f>IF($A1337="","","Автозапись из листа Ремонты")</f>
        <v/>
      </c>
    </row>
    <row r="1338">
      <c r="A1338" s="12">
        <f>IF(Ремонты!S192="","",Ремонты!S192)</f>
        <v/>
      </c>
      <c r="B1338" s="10">
        <f>IF($A1338="","",Ремонты!A192)</f>
        <v/>
      </c>
      <c r="C1338" s="10">
        <f>IF($A1338="","",Ремонты!D192)</f>
        <v/>
      </c>
      <c r="D1338" s="10">
        <f>IF($A1338="","",Ремонты!E192)</f>
        <v/>
      </c>
      <c r="E1338" s="10">
        <f>IF($A1338="","","Оплата")</f>
        <v/>
      </c>
      <c r="F1338" s="10">
        <f>IF($A1338="","",Ремонты!T192)</f>
        <v/>
      </c>
      <c r="G1338" s="10">
        <f>IF($A1338="","","Автозапись из листа Ремонты")</f>
        <v/>
      </c>
    </row>
    <row r="1339">
      <c r="A1339" s="12">
        <f>IF(Ремонты!G193="","",Ремонты!G193)</f>
        <v/>
      </c>
      <c r="B1339" s="10">
        <f>IF($A1339="","",Ремонты!A193)</f>
        <v/>
      </c>
      <c r="C1339" s="10">
        <f>IF($A1339="","",Ремонты!D193)</f>
        <v/>
      </c>
      <c r="D1339" s="10">
        <f>IF($A1339="","",Ремонты!E193)</f>
        <v/>
      </c>
      <c r="E1339" s="10">
        <f>IF($A1339="","","Отправка в ремонт")</f>
        <v/>
      </c>
      <c r="F1339" s="10">
        <f>IF($A1339="","",Ремонты!T193)</f>
        <v/>
      </c>
      <c r="G1339" s="10">
        <f>IF($A1339="","","Автозапись из листа Ремонты")</f>
        <v/>
      </c>
    </row>
    <row r="1340">
      <c r="A1340" s="12">
        <f>IF(Ремонты!I193="","",Ремонты!I193)</f>
        <v/>
      </c>
      <c r="B1340" s="10">
        <f>IF($A1340="","",Ремонты!A193)</f>
        <v/>
      </c>
      <c r="C1340" s="10">
        <f>IF($A1340="","",Ремонты!D193)</f>
        <v/>
      </c>
      <c r="D1340" s="10">
        <f>IF($A1340="","",Ремонты!E193)</f>
        <v/>
      </c>
      <c r="E1340" s="10">
        <f>IF($A1340="","","Отправка из ремонта")</f>
        <v/>
      </c>
      <c r="F1340" s="10">
        <f>IF($A1340="","",Ремонты!T193)</f>
        <v/>
      </c>
      <c r="G1340" s="10">
        <f>IF($A1340="","","Автозапись из листа Ремонты")</f>
        <v/>
      </c>
    </row>
    <row r="1341">
      <c r="A1341" s="12">
        <f>IF(Ремонты!J193="","",Ремонты!J193)</f>
        <v/>
      </c>
      <c r="B1341" s="10">
        <f>IF($A1341="","",Ремонты!A193)</f>
        <v/>
      </c>
      <c r="C1341" s="10">
        <f>IF($A1341="","",Ремонты!D193)</f>
        <v/>
      </c>
      <c r="D1341" s="10">
        <f>IF($A1341="","",Ремонты!E193)</f>
        <v/>
      </c>
      <c r="E1341" s="10">
        <f>IF($A1341="","","Отправка из Иркутска")</f>
        <v/>
      </c>
      <c r="F1341" s="10">
        <f>IF($A1341="","",Ремонты!T193)</f>
        <v/>
      </c>
      <c r="G1341" s="10">
        <f>IF($A1341="","","Автозапись из листа Ремонты")</f>
        <v/>
      </c>
    </row>
    <row r="1342">
      <c r="A1342" s="12">
        <f>IF(Ремонты!K193="","",Ремонты!K193)</f>
        <v/>
      </c>
      <c r="B1342" s="10">
        <f>IF($A1342="","",Ремонты!A193)</f>
        <v/>
      </c>
      <c r="C1342" s="10">
        <f>IF($A1342="","",Ремонты!D193)</f>
        <v/>
      </c>
      <c r="D1342" s="10">
        <f>IF($A1342="","",Ремонты!E193)</f>
        <v/>
      </c>
      <c r="E1342" s="10">
        <f>IF($A1342="","","Прибытие в Ленск")</f>
        <v/>
      </c>
      <c r="F1342" s="10">
        <f>IF($A1342="","",Ремонты!T193)</f>
        <v/>
      </c>
      <c r="G1342" s="10">
        <f>IF($A1342="","","Автозапись из листа Ремонты")</f>
        <v/>
      </c>
    </row>
    <row r="1343">
      <c r="A1343" s="12">
        <f>IF(Ремонты!M193="","",Ремонты!M193)</f>
        <v/>
      </c>
      <c r="B1343" s="10">
        <f>IF($A1343="","",Ремонты!A193)</f>
        <v/>
      </c>
      <c r="C1343" s="10">
        <f>IF($A1343="","",Ремонты!D193)</f>
        <v/>
      </c>
      <c r="D1343" s="10">
        <f>IF($A1343="","",Ремонты!E193)</f>
        <v/>
      </c>
      <c r="E1343" s="10">
        <f>IF($A1343="","","Фактическое получение")</f>
        <v/>
      </c>
      <c r="F1343" s="10">
        <f>IF($A1343="","",Ремонты!T193)</f>
        <v/>
      </c>
      <c r="G1343" s="10">
        <f>IF($A1343="","","Автозапись из листа Ремонты")</f>
        <v/>
      </c>
    </row>
    <row r="1344">
      <c r="A1344" s="12">
        <f>IF(Ремонты!P193="","",Ремонты!P193)</f>
        <v/>
      </c>
      <c r="B1344" s="10">
        <f>IF($A1344="","",Ремонты!A193)</f>
        <v/>
      </c>
      <c r="C1344" s="10">
        <f>IF($A1344="","",Ремонты!D193)</f>
        <v/>
      </c>
      <c r="D1344" s="10">
        <f>IF($A1344="","",Ремонты!E193)</f>
        <v/>
      </c>
      <c r="E1344" s="10">
        <f>IF($A1344="","","Входной контроль")</f>
        <v/>
      </c>
      <c r="F1344" s="10">
        <f>IF($A1344="","",Ремонты!T193)</f>
        <v/>
      </c>
      <c r="G1344" s="10">
        <f>IF($A1344="","","Автозапись из листа Ремонты")</f>
        <v/>
      </c>
    </row>
    <row r="1345">
      <c r="A1345" s="12">
        <f>IF(Ремонты!S193="","",Ремонты!S193)</f>
        <v/>
      </c>
      <c r="B1345" s="10">
        <f>IF($A1345="","",Ремонты!A193)</f>
        <v/>
      </c>
      <c r="C1345" s="10">
        <f>IF($A1345="","",Ремонты!D193)</f>
        <v/>
      </c>
      <c r="D1345" s="10">
        <f>IF($A1345="","",Ремонты!E193)</f>
        <v/>
      </c>
      <c r="E1345" s="10">
        <f>IF($A1345="","","Оплата")</f>
        <v/>
      </c>
      <c r="F1345" s="10">
        <f>IF($A1345="","",Ремонты!T193)</f>
        <v/>
      </c>
      <c r="G1345" s="10">
        <f>IF($A1345="","","Автозапись из листа Ремонты")</f>
        <v/>
      </c>
    </row>
    <row r="1346">
      <c r="A1346" s="12">
        <f>IF(Ремонты!G194="","",Ремонты!G194)</f>
        <v/>
      </c>
      <c r="B1346" s="10">
        <f>IF($A1346="","",Ремонты!A194)</f>
        <v/>
      </c>
      <c r="C1346" s="10">
        <f>IF($A1346="","",Ремонты!D194)</f>
        <v/>
      </c>
      <c r="D1346" s="10">
        <f>IF($A1346="","",Ремонты!E194)</f>
        <v/>
      </c>
      <c r="E1346" s="10">
        <f>IF($A1346="","","Отправка в ремонт")</f>
        <v/>
      </c>
      <c r="F1346" s="10">
        <f>IF($A1346="","",Ремонты!T194)</f>
        <v/>
      </c>
      <c r="G1346" s="10">
        <f>IF($A1346="","","Автозапись из листа Ремонты")</f>
        <v/>
      </c>
    </row>
    <row r="1347">
      <c r="A1347" s="12">
        <f>IF(Ремонты!I194="","",Ремонты!I194)</f>
        <v/>
      </c>
      <c r="B1347" s="10">
        <f>IF($A1347="","",Ремонты!A194)</f>
        <v/>
      </c>
      <c r="C1347" s="10">
        <f>IF($A1347="","",Ремонты!D194)</f>
        <v/>
      </c>
      <c r="D1347" s="10">
        <f>IF($A1347="","",Ремонты!E194)</f>
        <v/>
      </c>
      <c r="E1347" s="10">
        <f>IF($A1347="","","Отправка из ремонта")</f>
        <v/>
      </c>
      <c r="F1347" s="10">
        <f>IF($A1347="","",Ремонты!T194)</f>
        <v/>
      </c>
      <c r="G1347" s="10">
        <f>IF($A1347="","","Автозапись из листа Ремонты")</f>
        <v/>
      </c>
    </row>
    <row r="1348">
      <c r="A1348" s="12">
        <f>IF(Ремонты!J194="","",Ремонты!J194)</f>
        <v/>
      </c>
      <c r="B1348" s="10">
        <f>IF($A1348="","",Ремонты!A194)</f>
        <v/>
      </c>
      <c r="C1348" s="10">
        <f>IF($A1348="","",Ремонты!D194)</f>
        <v/>
      </c>
      <c r="D1348" s="10">
        <f>IF($A1348="","",Ремонты!E194)</f>
        <v/>
      </c>
      <c r="E1348" s="10">
        <f>IF($A1348="","","Отправка из Иркутска")</f>
        <v/>
      </c>
      <c r="F1348" s="10">
        <f>IF($A1348="","",Ремонты!T194)</f>
        <v/>
      </c>
      <c r="G1348" s="10">
        <f>IF($A1348="","","Автозапись из листа Ремонты")</f>
        <v/>
      </c>
    </row>
    <row r="1349">
      <c r="A1349" s="12">
        <f>IF(Ремонты!K194="","",Ремонты!K194)</f>
        <v/>
      </c>
      <c r="B1349" s="10">
        <f>IF($A1349="","",Ремонты!A194)</f>
        <v/>
      </c>
      <c r="C1349" s="10">
        <f>IF($A1349="","",Ремонты!D194)</f>
        <v/>
      </c>
      <c r="D1349" s="10">
        <f>IF($A1349="","",Ремонты!E194)</f>
        <v/>
      </c>
      <c r="E1349" s="10">
        <f>IF($A1349="","","Прибытие в Ленск")</f>
        <v/>
      </c>
      <c r="F1349" s="10">
        <f>IF($A1349="","",Ремонты!T194)</f>
        <v/>
      </c>
      <c r="G1349" s="10">
        <f>IF($A1349="","","Автозапись из листа Ремонты")</f>
        <v/>
      </c>
    </row>
    <row r="1350">
      <c r="A1350" s="12">
        <f>IF(Ремонты!M194="","",Ремонты!M194)</f>
        <v/>
      </c>
      <c r="B1350" s="10">
        <f>IF($A1350="","",Ремонты!A194)</f>
        <v/>
      </c>
      <c r="C1350" s="10">
        <f>IF($A1350="","",Ремонты!D194)</f>
        <v/>
      </c>
      <c r="D1350" s="10">
        <f>IF($A1350="","",Ремонты!E194)</f>
        <v/>
      </c>
      <c r="E1350" s="10">
        <f>IF($A1350="","","Фактическое получение")</f>
        <v/>
      </c>
      <c r="F1350" s="10">
        <f>IF($A1350="","",Ремонты!T194)</f>
        <v/>
      </c>
      <c r="G1350" s="10">
        <f>IF($A1350="","","Автозапись из листа Ремонты")</f>
        <v/>
      </c>
    </row>
    <row r="1351">
      <c r="A1351" s="12">
        <f>IF(Ремонты!P194="","",Ремонты!P194)</f>
        <v/>
      </c>
      <c r="B1351" s="10">
        <f>IF($A1351="","",Ремонты!A194)</f>
        <v/>
      </c>
      <c r="C1351" s="10">
        <f>IF($A1351="","",Ремонты!D194)</f>
        <v/>
      </c>
      <c r="D1351" s="10">
        <f>IF($A1351="","",Ремонты!E194)</f>
        <v/>
      </c>
      <c r="E1351" s="10">
        <f>IF($A1351="","","Входной контроль")</f>
        <v/>
      </c>
      <c r="F1351" s="10">
        <f>IF($A1351="","",Ремонты!T194)</f>
        <v/>
      </c>
      <c r="G1351" s="10">
        <f>IF($A1351="","","Автозапись из листа Ремонты")</f>
        <v/>
      </c>
    </row>
    <row r="1352">
      <c r="A1352" s="12">
        <f>IF(Ремонты!S194="","",Ремонты!S194)</f>
        <v/>
      </c>
      <c r="B1352" s="10">
        <f>IF($A1352="","",Ремонты!A194)</f>
        <v/>
      </c>
      <c r="C1352" s="10">
        <f>IF($A1352="","",Ремонты!D194)</f>
        <v/>
      </c>
      <c r="D1352" s="10">
        <f>IF($A1352="","",Ремонты!E194)</f>
        <v/>
      </c>
      <c r="E1352" s="10">
        <f>IF($A1352="","","Оплата")</f>
        <v/>
      </c>
      <c r="F1352" s="10">
        <f>IF($A1352="","",Ремонты!T194)</f>
        <v/>
      </c>
      <c r="G1352" s="10">
        <f>IF($A1352="","","Автозапись из листа Ремонты")</f>
        <v/>
      </c>
    </row>
    <row r="1353">
      <c r="A1353" s="12">
        <f>IF(Ремонты!G195="","",Ремонты!G195)</f>
        <v/>
      </c>
      <c r="B1353" s="10">
        <f>IF($A1353="","",Ремонты!A195)</f>
        <v/>
      </c>
      <c r="C1353" s="10">
        <f>IF($A1353="","",Ремонты!D195)</f>
        <v/>
      </c>
      <c r="D1353" s="10">
        <f>IF($A1353="","",Ремонты!E195)</f>
        <v/>
      </c>
      <c r="E1353" s="10">
        <f>IF($A1353="","","Отправка в ремонт")</f>
        <v/>
      </c>
      <c r="F1353" s="10">
        <f>IF($A1353="","",Ремонты!T195)</f>
        <v/>
      </c>
      <c r="G1353" s="10">
        <f>IF($A1353="","","Автозапись из листа Ремонты")</f>
        <v/>
      </c>
    </row>
    <row r="1354">
      <c r="A1354" s="12">
        <f>IF(Ремонты!I195="","",Ремонты!I195)</f>
        <v/>
      </c>
      <c r="B1354" s="10">
        <f>IF($A1354="","",Ремонты!A195)</f>
        <v/>
      </c>
      <c r="C1354" s="10">
        <f>IF($A1354="","",Ремонты!D195)</f>
        <v/>
      </c>
      <c r="D1354" s="10">
        <f>IF($A1354="","",Ремонты!E195)</f>
        <v/>
      </c>
      <c r="E1354" s="10">
        <f>IF($A1354="","","Отправка из ремонта")</f>
        <v/>
      </c>
      <c r="F1354" s="10">
        <f>IF($A1354="","",Ремонты!T195)</f>
        <v/>
      </c>
      <c r="G1354" s="10">
        <f>IF($A1354="","","Автозапись из листа Ремонты")</f>
        <v/>
      </c>
    </row>
    <row r="1355">
      <c r="A1355" s="12">
        <f>IF(Ремонты!J195="","",Ремонты!J195)</f>
        <v/>
      </c>
      <c r="B1355" s="10">
        <f>IF($A1355="","",Ремонты!A195)</f>
        <v/>
      </c>
      <c r="C1355" s="10">
        <f>IF($A1355="","",Ремонты!D195)</f>
        <v/>
      </c>
      <c r="D1355" s="10">
        <f>IF($A1355="","",Ремонты!E195)</f>
        <v/>
      </c>
      <c r="E1355" s="10">
        <f>IF($A1355="","","Отправка из Иркутска")</f>
        <v/>
      </c>
      <c r="F1355" s="10">
        <f>IF($A1355="","",Ремонты!T195)</f>
        <v/>
      </c>
      <c r="G1355" s="10">
        <f>IF($A1355="","","Автозапись из листа Ремонты")</f>
        <v/>
      </c>
    </row>
    <row r="1356">
      <c r="A1356" s="12">
        <f>IF(Ремонты!K195="","",Ремонты!K195)</f>
        <v/>
      </c>
      <c r="B1356" s="10">
        <f>IF($A1356="","",Ремонты!A195)</f>
        <v/>
      </c>
      <c r="C1356" s="10">
        <f>IF($A1356="","",Ремонты!D195)</f>
        <v/>
      </c>
      <c r="D1356" s="10">
        <f>IF($A1356="","",Ремонты!E195)</f>
        <v/>
      </c>
      <c r="E1356" s="10">
        <f>IF($A1356="","","Прибытие в Ленск")</f>
        <v/>
      </c>
      <c r="F1356" s="10">
        <f>IF($A1356="","",Ремонты!T195)</f>
        <v/>
      </c>
      <c r="G1356" s="10">
        <f>IF($A1356="","","Автозапись из листа Ремонты")</f>
        <v/>
      </c>
    </row>
    <row r="1357">
      <c r="A1357" s="12">
        <f>IF(Ремонты!M195="","",Ремонты!M195)</f>
        <v/>
      </c>
      <c r="B1357" s="10">
        <f>IF($A1357="","",Ремонты!A195)</f>
        <v/>
      </c>
      <c r="C1357" s="10">
        <f>IF($A1357="","",Ремонты!D195)</f>
        <v/>
      </c>
      <c r="D1357" s="10">
        <f>IF($A1357="","",Ремонты!E195)</f>
        <v/>
      </c>
      <c r="E1357" s="10">
        <f>IF($A1357="","","Фактическое получение")</f>
        <v/>
      </c>
      <c r="F1357" s="10">
        <f>IF($A1357="","",Ремонты!T195)</f>
        <v/>
      </c>
      <c r="G1357" s="10">
        <f>IF($A1357="","","Автозапись из листа Ремонты")</f>
        <v/>
      </c>
    </row>
    <row r="1358">
      <c r="A1358" s="12">
        <f>IF(Ремонты!P195="","",Ремонты!P195)</f>
        <v/>
      </c>
      <c r="B1358" s="10">
        <f>IF($A1358="","",Ремонты!A195)</f>
        <v/>
      </c>
      <c r="C1358" s="10">
        <f>IF($A1358="","",Ремонты!D195)</f>
        <v/>
      </c>
      <c r="D1358" s="10">
        <f>IF($A1358="","",Ремонты!E195)</f>
        <v/>
      </c>
      <c r="E1358" s="10">
        <f>IF($A1358="","","Входной контроль")</f>
        <v/>
      </c>
      <c r="F1358" s="10">
        <f>IF($A1358="","",Ремонты!T195)</f>
        <v/>
      </c>
      <c r="G1358" s="10">
        <f>IF($A1358="","","Автозапись из листа Ремонты")</f>
        <v/>
      </c>
    </row>
    <row r="1359">
      <c r="A1359" s="12">
        <f>IF(Ремонты!S195="","",Ремонты!S195)</f>
        <v/>
      </c>
      <c r="B1359" s="10">
        <f>IF($A1359="","",Ремонты!A195)</f>
        <v/>
      </c>
      <c r="C1359" s="10">
        <f>IF($A1359="","",Ремонты!D195)</f>
        <v/>
      </c>
      <c r="D1359" s="10">
        <f>IF($A1359="","",Ремонты!E195)</f>
        <v/>
      </c>
      <c r="E1359" s="10">
        <f>IF($A1359="","","Оплата")</f>
        <v/>
      </c>
      <c r="F1359" s="10">
        <f>IF($A1359="","",Ремонты!T195)</f>
        <v/>
      </c>
      <c r="G1359" s="10">
        <f>IF($A1359="","","Автозапись из листа Ремонты")</f>
        <v/>
      </c>
    </row>
    <row r="1360">
      <c r="A1360" s="12">
        <f>IF(Ремонты!G196="","",Ремонты!G196)</f>
        <v/>
      </c>
      <c r="B1360" s="10">
        <f>IF($A1360="","",Ремонты!A196)</f>
        <v/>
      </c>
      <c r="C1360" s="10">
        <f>IF($A1360="","",Ремонты!D196)</f>
        <v/>
      </c>
      <c r="D1360" s="10">
        <f>IF($A1360="","",Ремонты!E196)</f>
        <v/>
      </c>
      <c r="E1360" s="10">
        <f>IF($A1360="","","Отправка в ремонт")</f>
        <v/>
      </c>
      <c r="F1360" s="10">
        <f>IF($A1360="","",Ремонты!T196)</f>
        <v/>
      </c>
      <c r="G1360" s="10">
        <f>IF($A1360="","","Автозапись из листа Ремонты")</f>
        <v/>
      </c>
    </row>
    <row r="1361">
      <c r="A1361" s="12">
        <f>IF(Ремонты!I196="","",Ремонты!I196)</f>
        <v/>
      </c>
      <c r="B1361" s="10">
        <f>IF($A1361="","",Ремонты!A196)</f>
        <v/>
      </c>
      <c r="C1361" s="10">
        <f>IF($A1361="","",Ремонты!D196)</f>
        <v/>
      </c>
      <c r="D1361" s="10">
        <f>IF($A1361="","",Ремонты!E196)</f>
        <v/>
      </c>
      <c r="E1361" s="10">
        <f>IF($A1361="","","Отправка из ремонта")</f>
        <v/>
      </c>
      <c r="F1361" s="10">
        <f>IF($A1361="","",Ремонты!T196)</f>
        <v/>
      </c>
      <c r="G1361" s="10">
        <f>IF($A1361="","","Автозапись из листа Ремонты")</f>
        <v/>
      </c>
    </row>
    <row r="1362">
      <c r="A1362" s="12">
        <f>IF(Ремонты!J196="","",Ремонты!J196)</f>
        <v/>
      </c>
      <c r="B1362" s="10">
        <f>IF($A1362="","",Ремонты!A196)</f>
        <v/>
      </c>
      <c r="C1362" s="10">
        <f>IF($A1362="","",Ремонты!D196)</f>
        <v/>
      </c>
      <c r="D1362" s="10">
        <f>IF($A1362="","",Ремонты!E196)</f>
        <v/>
      </c>
      <c r="E1362" s="10">
        <f>IF($A1362="","","Отправка из Иркутска")</f>
        <v/>
      </c>
      <c r="F1362" s="10">
        <f>IF($A1362="","",Ремонты!T196)</f>
        <v/>
      </c>
      <c r="G1362" s="10">
        <f>IF($A1362="","","Автозапись из листа Ремонты")</f>
        <v/>
      </c>
    </row>
    <row r="1363">
      <c r="A1363" s="12">
        <f>IF(Ремонты!K196="","",Ремонты!K196)</f>
        <v/>
      </c>
      <c r="B1363" s="10">
        <f>IF($A1363="","",Ремонты!A196)</f>
        <v/>
      </c>
      <c r="C1363" s="10">
        <f>IF($A1363="","",Ремонты!D196)</f>
        <v/>
      </c>
      <c r="D1363" s="10">
        <f>IF($A1363="","",Ремонты!E196)</f>
        <v/>
      </c>
      <c r="E1363" s="10">
        <f>IF($A1363="","","Прибытие в Ленск")</f>
        <v/>
      </c>
      <c r="F1363" s="10">
        <f>IF($A1363="","",Ремонты!T196)</f>
        <v/>
      </c>
      <c r="G1363" s="10">
        <f>IF($A1363="","","Автозапись из листа Ремонты")</f>
        <v/>
      </c>
    </row>
    <row r="1364">
      <c r="A1364" s="12">
        <f>IF(Ремонты!M196="","",Ремонты!M196)</f>
        <v/>
      </c>
      <c r="B1364" s="10">
        <f>IF($A1364="","",Ремонты!A196)</f>
        <v/>
      </c>
      <c r="C1364" s="10">
        <f>IF($A1364="","",Ремонты!D196)</f>
        <v/>
      </c>
      <c r="D1364" s="10">
        <f>IF($A1364="","",Ремонты!E196)</f>
        <v/>
      </c>
      <c r="E1364" s="10">
        <f>IF($A1364="","","Фактическое получение")</f>
        <v/>
      </c>
      <c r="F1364" s="10">
        <f>IF($A1364="","",Ремонты!T196)</f>
        <v/>
      </c>
      <c r="G1364" s="10">
        <f>IF($A1364="","","Автозапись из листа Ремонты")</f>
        <v/>
      </c>
    </row>
    <row r="1365">
      <c r="A1365" s="12">
        <f>IF(Ремонты!P196="","",Ремонты!P196)</f>
        <v/>
      </c>
      <c r="B1365" s="10">
        <f>IF($A1365="","",Ремонты!A196)</f>
        <v/>
      </c>
      <c r="C1365" s="10">
        <f>IF($A1365="","",Ремонты!D196)</f>
        <v/>
      </c>
      <c r="D1365" s="10">
        <f>IF($A1365="","",Ремонты!E196)</f>
        <v/>
      </c>
      <c r="E1365" s="10">
        <f>IF($A1365="","","Входной контроль")</f>
        <v/>
      </c>
      <c r="F1365" s="10">
        <f>IF($A1365="","",Ремонты!T196)</f>
        <v/>
      </c>
      <c r="G1365" s="10">
        <f>IF($A1365="","","Автозапись из листа Ремонты")</f>
        <v/>
      </c>
    </row>
    <row r="1366">
      <c r="A1366" s="12">
        <f>IF(Ремонты!S196="","",Ремонты!S196)</f>
        <v/>
      </c>
      <c r="B1366" s="10">
        <f>IF($A1366="","",Ремонты!A196)</f>
        <v/>
      </c>
      <c r="C1366" s="10">
        <f>IF($A1366="","",Ремонты!D196)</f>
        <v/>
      </c>
      <c r="D1366" s="10">
        <f>IF($A1366="","",Ремонты!E196)</f>
        <v/>
      </c>
      <c r="E1366" s="10">
        <f>IF($A1366="","","Оплата")</f>
        <v/>
      </c>
      <c r="F1366" s="10">
        <f>IF($A1366="","",Ремонты!T196)</f>
        <v/>
      </c>
      <c r="G1366" s="10">
        <f>IF($A1366="","","Автозапись из листа Ремонты")</f>
        <v/>
      </c>
    </row>
    <row r="1367">
      <c r="A1367" s="12">
        <f>IF(Ремонты!G197="","",Ремонты!G197)</f>
        <v/>
      </c>
      <c r="B1367" s="10">
        <f>IF($A1367="","",Ремонты!A197)</f>
        <v/>
      </c>
      <c r="C1367" s="10">
        <f>IF($A1367="","",Ремонты!D197)</f>
        <v/>
      </c>
      <c r="D1367" s="10">
        <f>IF($A1367="","",Ремонты!E197)</f>
        <v/>
      </c>
      <c r="E1367" s="10">
        <f>IF($A1367="","","Отправка в ремонт")</f>
        <v/>
      </c>
      <c r="F1367" s="10">
        <f>IF($A1367="","",Ремонты!T197)</f>
        <v/>
      </c>
      <c r="G1367" s="10">
        <f>IF($A1367="","","Автозапись из листа Ремонты")</f>
        <v/>
      </c>
    </row>
    <row r="1368">
      <c r="A1368" s="12">
        <f>IF(Ремонты!I197="","",Ремонты!I197)</f>
        <v/>
      </c>
      <c r="B1368" s="10">
        <f>IF($A1368="","",Ремонты!A197)</f>
        <v/>
      </c>
      <c r="C1368" s="10">
        <f>IF($A1368="","",Ремонты!D197)</f>
        <v/>
      </c>
      <c r="D1368" s="10">
        <f>IF($A1368="","",Ремонты!E197)</f>
        <v/>
      </c>
      <c r="E1368" s="10">
        <f>IF($A1368="","","Отправка из ремонта")</f>
        <v/>
      </c>
      <c r="F1368" s="10">
        <f>IF($A1368="","",Ремонты!T197)</f>
        <v/>
      </c>
      <c r="G1368" s="10">
        <f>IF($A1368="","","Автозапись из листа Ремонты")</f>
        <v/>
      </c>
    </row>
    <row r="1369">
      <c r="A1369" s="12">
        <f>IF(Ремонты!J197="","",Ремонты!J197)</f>
        <v/>
      </c>
      <c r="B1369" s="10">
        <f>IF($A1369="","",Ремонты!A197)</f>
        <v/>
      </c>
      <c r="C1369" s="10">
        <f>IF($A1369="","",Ремонты!D197)</f>
        <v/>
      </c>
      <c r="D1369" s="10">
        <f>IF($A1369="","",Ремонты!E197)</f>
        <v/>
      </c>
      <c r="E1369" s="10">
        <f>IF($A1369="","","Отправка из Иркутска")</f>
        <v/>
      </c>
      <c r="F1369" s="10">
        <f>IF($A1369="","",Ремонты!T197)</f>
        <v/>
      </c>
      <c r="G1369" s="10">
        <f>IF($A1369="","","Автозапись из листа Ремонты")</f>
        <v/>
      </c>
    </row>
    <row r="1370">
      <c r="A1370" s="12">
        <f>IF(Ремонты!K197="","",Ремонты!K197)</f>
        <v/>
      </c>
      <c r="B1370" s="10">
        <f>IF($A1370="","",Ремонты!A197)</f>
        <v/>
      </c>
      <c r="C1370" s="10">
        <f>IF($A1370="","",Ремонты!D197)</f>
        <v/>
      </c>
      <c r="D1370" s="10">
        <f>IF($A1370="","",Ремонты!E197)</f>
        <v/>
      </c>
      <c r="E1370" s="10">
        <f>IF($A1370="","","Прибытие в Ленск")</f>
        <v/>
      </c>
      <c r="F1370" s="10">
        <f>IF($A1370="","",Ремонты!T197)</f>
        <v/>
      </c>
      <c r="G1370" s="10">
        <f>IF($A1370="","","Автозапись из листа Ремонты")</f>
        <v/>
      </c>
    </row>
    <row r="1371">
      <c r="A1371" s="12">
        <f>IF(Ремонты!M197="","",Ремонты!M197)</f>
        <v/>
      </c>
      <c r="B1371" s="10">
        <f>IF($A1371="","",Ремонты!A197)</f>
        <v/>
      </c>
      <c r="C1371" s="10">
        <f>IF($A1371="","",Ремонты!D197)</f>
        <v/>
      </c>
      <c r="D1371" s="10">
        <f>IF($A1371="","",Ремонты!E197)</f>
        <v/>
      </c>
      <c r="E1371" s="10">
        <f>IF($A1371="","","Фактическое получение")</f>
        <v/>
      </c>
      <c r="F1371" s="10">
        <f>IF($A1371="","",Ремонты!T197)</f>
        <v/>
      </c>
      <c r="G1371" s="10">
        <f>IF($A1371="","","Автозапись из листа Ремонты")</f>
        <v/>
      </c>
    </row>
    <row r="1372">
      <c r="A1372" s="12">
        <f>IF(Ремонты!P197="","",Ремонты!P197)</f>
        <v/>
      </c>
      <c r="B1372" s="10">
        <f>IF($A1372="","",Ремонты!A197)</f>
        <v/>
      </c>
      <c r="C1372" s="10">
        <f>IF($A1372="","",Ремонты!D197)</f>
        <v/>
      </c>
      <c r="D1372" s="10">
        <f>IF($A1372="","",Ремонты!E197)</f>
        <v/>
      </c>
      <c r="E1372" s="10">
        <f>IF($A1372="","","Входной контроль")</f>
        <v/>
      </c>
      <c r="F1372" s="10">
        <f>IF($A1372="","",Ремонты!T197)</f>
        <v/>
      </c>
      <c r="G1372" s="10">
        <f>IF($A1372="","","Автозапись из листа Ремонты")</f>
        <v/>
      </c>
    </row>
    <row r="1373">
      <c r="A1373" s="12">
        <f>IF(Ремонты!S197="","",Ремонты!S197)</f>
        <v/>
      </c>
      <c r="B1373" s="10">
        <f>IF($A1373="","",Ремонты!A197)</f>
        <v/>
      </c>
      <c r="C1373" s="10">
        <f>IF($A1373="","",Ремонты!D197)</f>
        <v/>
      </c>
      <c r="D1373" s="10">
        <f>IF($A1373="","",Ремонты!E197)</f>
        <v/>
      </c>
      <c r="E1373" s="10">
        <f>IF($A1373="","","Оплата")</f>
        <v/>
      </c>
      <c r="F1373" s="10">
        <f>IF($A1373="","",Ремонты!T197)</f>
        <v/>
      </c>
      <c r="G1373" s="10">
        <f>IF($A1373="","","Автозапись из листа Ремонты")</f>
        <v/>
      </c>
    </row>
    <row r="1374">
      <c r="A1374" s="12">
        <f>IF(Ремонты!G198="","",Ремонты!G198)</f>
        <v/>
      </c>
      <c r="B1374" s="10">
        <f>IF($A1374="","",Ремонты!A198)</f>
        <v/>
      </c>
      <c r="C1374" s="10">
        <f>IF($A1374="","",Ремонты!D198)</f>
        <v/>
      </c>
      <c r="D1374" s="10">
        <f>IF($A1374="","",Ремонты!E198)</f>
        <v/>
      </c>
      <c r="E1374" s="10">
        <f>IF($A1374="","","Отправка в ремонт")</f>
        <v/>
      </c>
      <c r="F1374" s="10">
        <f>IF($A1374="","",Ремонты!T198)</f>
        <v/>
      </c>
      <c r="G1374" s="10">
        <f>IF($A1374="","","Автозапись из листа Ремонты")</f>
        <v/>
      </c>
    </row>
    <row r="1375">
      <c r="A1375" s="12">
        <f>IF(Ремонты!I198="","",Ремонты!I198)</f>
        <v/>
      </c>
      <c r="B1375" s="10">
        <f>IF($A1375="","",Ремонты!A198)</f>
        <v/>
      </c>
      <c r="C1375" s="10">
        <f>IF($A1375="","",Ремонты!D198)</f>
        <v/>
      </c>
      <c r="D1375" s="10">
        <f>IF($A1375="","",Ремонты!E198)</f>
        <v/>
      </c>
      <c r="E1375" s="10">
        <f>IF($A1375="","","Отправка из ремонта")</f>
        <v/>
      </c>
      <c r="F1375" s="10">
        <f>IF($A1375="","",Ремонты!T198)</f>
        <v/>
      </c>
      <c r="G1375" s="10">
        <f>IF($A1375="","","Автозапись из листа Ремонты")</f>
        <v/>
      </c>
    </row>
    <row r="1376">
      <c r="A1376" s="12">
        <f>IF(Ремонты!J198="","",Ремонты!J198)</f>
        <v/>
      </c>
      <c r="B1376" s="10">
        <f>IF($A1376="","",Ремонты!A198)</f>
        <v/>
      </c>
      <c r="C1376" s="10">
        <f>IF($A1376="","",Ремонты!D198)</f>
        <v/>
      </c>
      <c r="D1376" s="10">
        <f>IF($A1376="","",Ремонты!E198)</f>
        <v/>
      </c>
      <c r="E1376" s="10">
        <f>IF($A1376="","","Отправка из Иркутска")</f>
        <v/>
      </c>
      <c r="F1376" s="10">
        <f>IF($A1376="","",Ремонты!T198)</f>
        <v/>
      </c>
      <c r="G1376" s="10">
        <f>IF($A1376="","","Автозапись из листа Ремонты")</f>
        <v/>
      </c>
    </row>
    <row r="1377">
      <c r="A1377" s="12">
        <f>IF(Ремонты!K198="","",Ремонты!K198)</f>
        <v/>
      </c>
      <c r="B1377" s="10">
        <f>IF($A1377="","",Ремонты!A198)</f>
        <v/>
      </c>
      <c r="C1377" s="10">
        <f>IF($A1377="","",Ремонты!D198)</f>
        <v/>
      </c>
      <c r="D1377" s="10">
        <f>IF($A1377="","",Ремонты!E198)</f>
        <v/>
      </c>
      <c r="E1377" s="10">
        <f>IF($A1377="","","Прибытие в Ленск")</f>
        <v/>
      </c>
      <c r="F1377" s="10">
        <f>IF($A1377="","",Ремонты!T198)</f>
        <v/>
      </c>
      <c r="G1377" s="10">
        <f>IF($A1377="","","Автозапись из листа Ремонты")</f>
        <v/>
      </c>
    </row>
    <row r="1378">
      <c r="A1378" s="12">
        <f>IF(Ремонты!M198="","",Ремонты!M198)</f>
        <v/>
      </c>
      <c r="B1378" s="10">
        <f>IF($A1378="","",Ремонты!A198)</f>
        <v/>
      </c>
      <c r="C1378" s="10">
        <f>IF($A1378="","",Ремонты!D198)</f>
        <v/>
      </c>
      <c r="D1378" s="10">
        <f>IF($A1378="","",Ремонты!E198)</f>
        <v/>
      </c>
      <c r="E1378" s="10">
        <f>IF($A1378="","","Фактическое получение")</f>
        <v/>
      </c>
      <c r="F1378" s="10">
        <f>IF($A1378="","",Ремонты!T198)</f>
        <v/>
      </c>
      <c r="G1378" s="10">
        <f>IF($A1378="","","Автозапись из листа Ремонты")</f>
        <v/>
      </c>
    </row>
    <row r="1379">
      <c r="A1379" s="12">
        <f>IF(Ремонты!P198="","",Ремонты!P198)</f>
        <v/>
      </c>
      <c r="B1379" s="10">
        <f>IF($A1379="","",Ремонты!A198)</f>
        <v/>
      </c>
      <c r="C1379" s="10">
        <f>IF($A1379="","",Ремонты!D198)</f>
        <v/>
      </c>
      <c r="D1379" s="10">
        <f>IF($A1379="","",Ремонты!E198)</f>
        <v/>
      </c>
      <c r="E1379" s="10">
        <f>IF($A1379="","","Входной контроль")</f>
        <v/>
      </c>
      <c r="F1379" s="10">
        <f>IF($A1379="","",Ремонты!T198)</f>
        <v/>
      </c>
      <c r="G1379" s="10">
        <f>IF($A1379="","","Автозапись из листа Ремонты")</f>
        <v/>
      </c>
    </row>
    <row r="1380">
      <c r="A1380" s="12">
        <f>IF(Ремонты!S198="","",Ремонты!S198)</f>
        <v/>
      </c>
      <c r="B1380" s="10">
        <f>IF($A1380="","",Ремонты!A198)</f>
        <v/>
      </c>
      <c r="C1380" s="10">
        <f>IF($A1380="","",Ремонты!D198)</f>
        <v/>
      </c>
      <c r="D1380" s="10">
        <f>IF($A1380="","",Ремонты!E198)</f>
        <v/>
      </c>
      <c r="E1380" s="10">
        <f>IF($A1380="","","Оплата")</f>
        <v/>
      </c>
      <c r="F1380" s="10">
        <f>IF($A1380="","",Ремонты!T198)</f>
        <v/>
      </c>
      <c r="G1380" s="10">
        <f>IF($A1380="","","Автозапись из листа Ремонты")</f>
        <v/>
      </c>
    </row>
    <row r="1381">
      <c r="A1381" s="12">
        <f>IF(Ремонты!G199="","",Ремонты!G199)</f>
        <v/>
      </c>
      <c r="B1381" s="10">
        <f>IF($A1381="","",Ремонты!A199)</f>
        <v/>
      </c>
      <c r="C1381" s="10">
        <f>IF($A1381="","",Ремонты!D199)</f>
        <v/>
      </c>
      <c r="D1381" s="10">
        <f>IF($A1381="","",Ремонты!E199)</f>
        <v/>
      </c>
      <c r="E1381" s="10">
        <f>IF($A1381="","","Отправка в ремонт")</f>
        <v/>
      </c>
      <c r="F1381" s="10">
        <f>IF($A1381="","",Ремонты!T199)</f>
        <v/>
      </c>
      <c r="G1381" s="10">
        <f>IF($A1381="","","Автозапись из листа Ремонты")</f>
        <v/>
      </c>
    </row>
    <row r="1382">
      <c r="A1382" s="12">
        <f>IF(Ремонты!I199="","",Ремонты!I199)</f>
        <v/>
      </c>
      <c r="B1382" s="10">
        <f>IF($A1382="","",Ремонты!A199)</f>
        <v/>
      </c>
      <c r="C1382" s="10">
        <f>IF($A1382="","",Ремонты!D199)</f>
        <v/>
      </c>
      <c r="D1382" s="10">
        <f>IF($A1382="","",Ремонты!E199)</f>
        <v/>
      </c>
      <c r="E1382" s="10">
        <f>IF($A1382="","","Отправка из ремонта")</f>
        <v/>
      </c>
      <c r="F1382" s="10">
        <f>IF($A1382="","",Ремонты!T199)</f>
        <v/>
      </c>
      <c r="G1382" s="10">
        <f>IF($A1382="","","Автозапись из листа Ремонты")</f>
        <v/>
      </c>
    </row>
    <row r="1383">
      <c r="A1383" s="12">
        <f>IF(Ремонты!J199="","",Ремонты!J199)</f>
        <v/>
      </c>
      <c r="B1383" s="10">
        <f>IF($A1383="","",Ремонты!A199)</f>
        <v/>
      </c>
      <c r="C1383" s="10">
        <f>IF($A1383="","",Ремонты!D199)</f>
        <v/>
      </c>
      <c r="D1383" s="10">
        <f>IF($A1383="","",Ремонты!E199)</f>
        <v/>
      </c>
      <c r="E1383" s="10">
        <f>IF($A1383="","","Отправка из Иркутска")</f>
        <v/>
      </c>
      <c r="F1383" s="10">
        <f>IF($A1383="","",Ремонты!T199)</f>
        <v/>
      </c>
      <c r="G1383" s="10">
        <f>IF($A1383="","","Автозапись из листа Ремонты")</f>
        <v/>
      </c>
    </row>
    <row r="1384">
      <c r="A1384" s="12">
        <f>IF(Ремонты!K199="","",Ремонты!K199)</f>
        <v/>
      </c>
      <c r="B1384" s="10">
        <f>IF($A1384="","",Ремонты!A199)</f>
        <v/>
      </c>
      <c r="C1384" s="10">
        <f>IF($A1384="","",Ремонты!D199)</f>
        <v/>
      </c>
      <c r="D1384" s="10">
        <f>IF($A1384="","",Ремонты!E199)</f>
        <v/>
      </c>
      <c r="E1384" s="10">
        <f>IF($A1384="","","Прибытие в Ленск")</f>
        <v/>
      </c>
      <c r="F1384" s="10">
        <f>IF($A1384="","",Ремонты!T199)</f>
        <v/>
      </c>
      <c r="G1384" s="10">
        <f>IF($A1384="","","Автозапись из листа Ремонты")</f>
        <v/>
      </c>
    </row>
    <row r="1385">
      <c r="A1385" s="12">
        <f>IF(Ремонты!M199="","",Ремонты!M199)</f>
        <v/>
      </c>
      <c r="B1385" s="10">
        <f>IF($A1385="","",Ремонты!A199)</f>
        <v/>
      </c>
      <c r="C1385" s="10">
        <f>IF($A1385="","",Ремонты!D199)</f>
        <v/>
      </c>
      <c r="D1385" s="10">
        <f>IF($A1385="","",Ремонты!E199)</f>
        <v/>
      </c>
      <c r="E1385" s="10">
        <f>IF($A1385="","","Фактическое получение")</f>
        <v/>
      </c>
      <c r="F1385" s="10">
        <f>IF($A1385="","",Ремонты!T199)</f>
        <v/>
      </c>
      <c r="G1385" s="10">
        <f>IF($A1385="","","Автозапись из листа Ремонты")</f>
        <v/>
      </c>
    </row>
    <row r="1386">
      <c r="A1386" s="12">
        <f>IF(Ремонты!P199="","",Ремонты!P199)</f>
        <v/>
      </c>
      <c r="B1386" s="10">
        <f>IF($A1386="","",Ремонты!A199)</f>
        <v/>
      </c>
      <c r="C1386" s="10">
        <f>IF($A1386="","",Ремонты!D199)</f>
        <v/>
      </c>
      <c r="D1386" s="10">
        <f>IF($A1386="","",Ремонты!E199)</f>
        <v/>
      </c>
      <c r="E1386" s="10">
        <f>IF($A1386="","","Входной контроль")</f>
        <v/>
      </c>
      <c r="F1386" s="10">
        <f>IF($A1386="","",Ремонты!T199)</f>
        <v/>
      </c>
      <c r="G1386" s="10">
        <f>IF($A1386="","","Автозапись из листа Ремонты")</f>
        <v/>
      </c>
    </row>
    <row r="1387">
      <c r="A1387" s="12">
        <f>IF(Ремонты!S199="","",Ремонты!S199)</f>
        <v/>
      </c>
      <c r="B1387" s="10">
        <f>IF($A1387="","",Ремонты!A199)</f>
        <v/>
      </c>
      <c r="C1387" s="10">
        <f>IF($A1387="","",Ремонты!D199)</f>
        <v/>
      </c>
      <c r="D1387" s="10">
        <f>IF($A1387="","",Ремонты!E199)</f>
        <v/>
      </c>
      <c r="E1387" s="10">
        <f>IF($A1387="","","Оплата")</f>
        <v/>
      </c>
      <c r="F1387" s="10">
        <f>IF($A1387="","",Ремонты!T199)</f>
        <v/>
      </c>
      <c r="G1387" s="10">
        <f>IF($A1387="","","Автозапись из листа Ремонты")</f>
        <v/>
      </c>
    </row>
    <row r="1388">
      <c r="A1388" s="12">
        <f>IF(Ремонты!G200="","",Ремонты!G200)</f>
        <v/>
      </c>
      <c r="B1388" s="10">
        <f>IF($A1388="","",Ремонты!A200)</f>
        <v/>
      </c>
      <c r="C1388" s="10">
        <f>IF($A1388="","",Ремонты!D200)</f>
        <v/>
      </c>
      <c r="D1388" s="10">
        <f>IF($A1388="","",Ремонты!E200)</f>
        <v/>
      </c>
      <c r="E1388" s="10">
        <f>IF($A1388="","","Отправка в ремонт")</f>
        <v/>
      </c>
      <c r="F1388" s="10">
        <f>IF($A1388="","",Ремонты!T200)</f>
        <v/>
      </c>
      <c r="G1388" s="10">
        <f>IF($A1388="","","Автозапись из листа Ремонты")</f>
        <v/>
      </c>
    </row>
    <row r="1389">
      <c r="A1389" s="12">
        <f>IF(Ремонты!I200="","",Ремонты!I200)</f>
        <v/>
      </c>
      <c r="B1389" s="10">
        <f>IF($A1389="","",Ремонты!A200)</f>
        <v/>
      </c>
      <c r="C1389" s="10">
        <f>IF($A1389="","",Ремонты!D200)</f>
        <v/>
      </c>
      <c r="D1389" s="10">
        <f>IF($A1389="","",Ремонты!E200)</f>
        <v/>
      </c>
      <c r="E1389" s="10">
        <f>IF($A1389="","","Отправка из ремонта")</f>
        <v/>
      </c>
      <c r="F1389" s="10">
        <f>IF($A1389="","",Ремонты!T200)</f>
        <v/>
      </c>
      <c r="G1389" s="10">
        <f>IF($A1389="","","Автозапись из листа Ремонты")</f>
        <v/>
      </c>
    </row>
    <row r="1390">
      <c r="A1390" s="12">
        <f>IF(Ремонты!J200="","",Ремонты!J200)</f>
        <v/>
      </c>
      <c r="B1390" s="10">
        <f>IF($A1390="","",Ремонты!A200)</f>
        <v/>
      </c>
      <c r="C1390" s="10">
        <f>IF($A1390="","",Ремонты!D200)</f>
        <v/>
      </c>
      <c r="D1390" s="10">
        <f>IF($A1390="","",Ремонты!E200)</f>
        <v/>
      </c>
      <c r="E1390" s="10">
        <f>IF($A1390="","","Отправка из Иркутска")</f>
        <v/>
      </c>
      <c r="F1390" s="10">
        <f>IF($A1390="","",Ремонты!T200)</f>
        <v/>
      </c>
      <c r="G1390" s="10">
        <f>IF($A1390="","","Автозапись из листа Ремонты")</f>
        <v/>
      </c>
    </row>
    <row r="1391">
      <c r="A1391" s="12">
        <f>IF(Ремонты!K200="","",Ремонты!K200)</f>
        <v/>
      </c>
      <c r="B1391" s="10">
        <f>IF($A1391="","",Ремонты!A200)</f>
        <v/>
      </c>
      <c r="C1391" s="10">
        <f>IF($A1391="","",Ремонты!D200)</f>
        <v/>
      </c>
      <c r="D1391" s="10">
        <f>IF($A1391="","",Ремонты!E200)</f>
        <v/>
      </c>
      <c r="E1391" s="10">
        <f>IF($A1391="","","Прибытие в Ленск")</f>
        <v/>
      </c>
      <c r="F1391" s="10">
        <f>IF($A1391="","",Ремонты!T200)</f>
        <v/>
      </c>
      <c r="G1391" s="10">
        <f>IF($A1391="","","Автозапись из листа Ремонты")</f>
        <v/>
      </c>
    </row>
    <row r="1392">
      <c r="A1392" s="12">
        <f>IF(Ремонты!M200="","",Ремонты!M200)</f>
        <v/>
      </c>
      <c r="B1392" s="10">
        <f>IF($A1392="","",Ремонты!A200)</f>
        <v/>
      </c>
      <c r="C1392" s="10">
        <f>IF($A1392="","",Ремонты!D200)</f>
        <v/>
      </c>
      <c r="D1392" s="10">
        <f>IF($A1392="","",Ремонты!E200)</f>
        <v/>
      </c>
      <c r="E1392" s="10">
        <f>IF($A1392="","","Фактическое получение")</f>
        <v/>
      </c>
      <c r="F1392" s="10">
        <f>IF($A1392="","",Ремонты!T200)</f>
        <v/>
      </c>
      <c r="G1392" s="10">
        <f>IF($A1392="","","Автозапись из листа Ремонты")</f>
        <v/>
      </c>
    </row>
    <row r="1393">
      <c r="A1393" s="12">
        <f>IF(Ремонты!P200="","",Ремонты!P200)</f>
        <v/>
      </c>
      <c r="B1393" s="10">
        <f>IF($A1393="","",Ремонты!A200)</f>
        <v/>
      </c>
      <c r="C1393" s="10">
        <f>IF($A1393="","",Ремонты!D200)</f>
        <v/>
      </c>
      <c r="D1393" s="10">
        <f>IF($A1393="","",Ремонты!E200)</f>
        <v/>
      </c>
      <c r="E1393" s="10">
        <f>IF($A1393="","","Входной контроль")</f>
        <v/>
      </c>
      <c r="F1393" s="10">
        <f>IF($A1393="","",Ремонты!T200)</f>
        <v/>
      </c>
      <c r="G1393" s="10">
        <f>IF($A1393="","","Автозапись из листа Ремонты")</f>
        <v/>
      </c>
    </row>
    <row r="1394">
      <c r="A1394" s="12">
        <f>IF(Ремонты!S200="","",Ремонты!S200)</f>
        <v/>
      </c>
      <c r="B1394" s="10">
        <f>IF($A1394="","",Ремонты!A200)</f>
        <v/>
      </c>
      <c r="C1394" s="10">
        <f>IF($A1394="","",Ремонты!D200)</f>
        <v/>
      </c>
      <c r="D1394" s="10">
        <f>IF($A1394="","",Ремонты!E200)</f>
        <v/>
      </c>
      <c r="E1394" s="10">
        <f>IF($A1394="","","Оплата")</f>
        <v/>
      </c>
      <c r="F1394" s="10">
        <f>IF($A1394="","",Ремонты!T200)</f>
        <v/>
      </c>
      <c r="G1394" s="10">
        <f>IF($A1394="","","Автозапись из листа Ремонты")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" customWidth="1" min="3" max="3"/>
    <col width="22" customWidth="1" min="4" max="4"/>
    <col width="30" customWidth="1" min="5" max="5"/>
    <col width="4" customWidth="1" min="6" max="6"/>
  </cols>
  <sheetData>
    <row r="1">
      <c r="A1" s="3" t="inlineStr">
        <is>
          <t>КАРТОЧКА ПРИБОРА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4" t="inlineStr">
        <is>
          <t>Выберите ID</t>
        </is>
      </c>
      <c r="B4" s="13" t="inlineStr">
        <is>
          <t>SI-0001</t>
        </is>
      </c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14" t="inlineStr">
        <is>
          <t>ID прибора</t>
        </is>
      </c>
      <c r="B6" s="15">
        <f>IFERROR(INDEX(Оборудование!$A$2:$A$200,MATCH($B$4,Оборудование!$A$2:$A$200,0)),"")</f>
        <v/>
      </c>
      <c r="C6" s="4" t="n"/>
      <c r="D6" s="14" t="inlineStr">
        <is>
          <t>Рег. номер типа СИ</t>
        </is>
      </c>
      <c r="E6" s="15">
        <f>IF(B8="СИ",IFERROR(INDEX(Оборудование!$K$2:$K$200,MATCH($B$4,Оборудование!$A$2:$A$200,0)),""),"не применяется")</f>
        <v/>
      </c>
      <c r="F6" s="4" t="n"/>
    </row>
    <row r="7">
      <c r="A7" s="14" t="inlineStr">
        <is>
          <t>Объект</t>
        </is>
      </c>
      <c r="B7" s="15">
        <f>IFERROR(INDEX(Оборудование!$B$2:$B$200,MATCH($B$4,Оборудование!$A$2:$A$200,0)),"")</f>
        <v/>
      </c>
      <c r="C7" s="4" t="n"/>
      <c r="D7" s="14" t="inlineStr">
        <is>
          <t>Наименование типа СИ</t>
        </is>
      </c>
      <c r="E7" s="15">
        <f>IF(B8="СИ",IFERROR(INDEX(Оборудование!$L$2:$L$200,MATCH($B$4,Оборудование!$A$2:$A$200,0)),""),"не применяется")</f>
        <v/>
      </c>
      <c r="F7" s="4" t="n"/>
    </row>
    <row r="8">
      <c r="A8" s="14" t="inlineStr">
        <is>
          <t>Тип</t>
        </is>
      </c>
      <c r="B8" s="15">
        <f>IFERROR(INDEX(Оборудование!$C$2:$C$200,MATCH($B$4,Оборудование!$A$2:$A$200,0)),"")</f>
        <v/>
      </c>
      <c r="C8" s="4" t="n"/>
      <c r="D8" s="14" t="inlineStr">
        <is>
          <t>Обозначение типа СИ</t>
        </is>
      </c>
      <c r="E8" s="15">
        <f>IF(B8="СИ",IFERROR(INDEX(Оборудование!$M$2:$M$200,MATCH($B$4,Оборудование!$A$2:$A$200,0)),""),"не применяется")</f>
        <v/>
      </c>
      <c r="F8" s="4" t="n"/>
    </row>
    <row r="9">
      <c r="A9" s="14" t="inlineStr">
        <is>
          <t>Наименование</t>
        </is>
      </c>
      <c r="B9" s="15">
        <f>IFERROR(INDEX(Оборудование!$D$2:$D$200,MATCH($B$4,Оборудование!$A$2:$A$200,0)),"")</f>
        <v/>
      </c>
      <c r="C9" s="4" t="n"/>
      <c r="D9" s="14" t="inlineStr">
        <is>
          <t>Номер свидетельства</t>
        </is>
      </c>
      <c r="E9" s="15">
        <f>IF(B8="СИ",IFERROR(INDEX(Оборудование!$N$2:$N$200,MATCH($B$4,Оборудование!$A$2:$A$200,0)),""),"не применяется")</f>
        <v/>
      </c>
      <c r="F9" s="4" t="n"/>
    </row>
    <row r="10">
      <c r="A10" s="14" t="inlineStr">
        <is>
          <t>Модификация</t>
        </is>
      </c>
      <c r="B10" s="15">
        <f>IFERROR(INDEX(Оборудование!$E$2:$E$200,MATCH($B$4,Оборудование!$A$2:$A$200,0)),"")</f>
        <v/>
      </c>
      <c r="C10" s="4" t="n"/>
      <c r="D10" s="14" t="inlineStr">
        <is>
          <t>Дата поверки</t>
        </is>
      </c>
      <c r="E10" s="16">
        <f>IF(B8="СИ",IFERROR(INDEX(Оборудование!$O$2:$O$200,MATCH($B$4,Оборудование!$A$2:$A$200,0)),""),"не применяется")</f>
        <v/>
      </c>
      <c r="F10" s="4" t="n"/>
    </row>
    <row r="11">
      <c r="A11" s="14" t="inlineStr">
        <is>
          <t>Заводской номер</t>
        </is>
      </c>
      <c r="B11" s="15">
        <f>IFERROR(INDEX(Оборудование!$F$2:$F$200,MATCH($B$4,Оборудование!$A$2:$A$200,0)),"")</f>
        <v/>
      </c>
      <c r="C11" s="4" t="n"/>
      <c r="D11" s="14" t="inlineStr">
        <is>
          <t>Поверка до</t>
        </is>
      </c>
      <c r="E11" s="16">
        <f>IF(B8="СИ",IFERROR(INDEX(Оборудование!$P$2:$P$200,MATCH($B$4,Оборудование!$A$2:$A$200,0)),""),"не применяется")</f>
        <v/>
      </c>
      <c r="F11" s="4" t="n"/>
    </row>
    <row r="12">
      <c r="A12" s="14" t="inlineStr">
        <is>
          <t>Статус</t>
        </is>
      </c>
      <c r="B12" s="15">
        <f>IFERROR(INDEX(Оборудование!$H$2:$H$200,MATCH($B$4,Оборудование!$A$2:$A$200,0)),"")</f>
        <v/>
      </c>
      <c r="C12" s="4" t="n"/>
      <c r="D12" s="14" t="inlineStr">
        <is>
          <t>Владелец СИ</t>
        </is>
      </c>
      <c r="E12" s="15">
        <f>IF(B8="СИ",IFERROR(INDEX(Оборудование!$Q$2:$Q$200,MATCH($B$4,Оборудование!$A$2:$A$200,0)),""),"не применяется")</f>
        <v/>
      </c>
      <c r="F12" s="4" t="n"/>
    </row>
    <row r="13">
      <c r="A13" s="14" t="inlineStr">
        <is>
          <t>Где сейчас прибор</t>
        </is>
      </c>
      <c r="B13" s="15">
        <f>IFERROR(INDEX(Оборудование!$I$2:$I$200,MATCH($B$4,Оборудование!$A$2:$A$200,0)),"")</f>
        <v/>
      </c>
      <c r="C13" s="4" t="n"/>
      <c r="D13" s="14" t="inlineStr">
        <is>
          <t>Этап ремонта</t>
        </is>
      </c>
      <c r="E13" s="15">
        <f>IFERROR(INDEX(Ремонты!$T$2:$T$200,MATCH($B$4,Ремонты!$A$2:$A$200,0)),"нет активного ремонта")</f>
        <v/>
      </c>
      <c r="F13" s="4" t="n"/>
    </row>
    <row r="14">
      <c r="A14" s="14" t="inlineStr">
        <is>
          <t>Активный ремонт</t>
        </is>
      </c>
      <c r="B14" s="15">
        <f>IFERROR(INDEX(Оборудование!$J$2:$J$200,MATCH($B$4,Оборудование!$A$2:$A$200,0)),"")</f>
        <v/>
      </c>
      <c r="C14" s="4" t="n"/>
      <c r="D14" s="14" t="inlineStr">
        <is>
          <t>Макс. просрочка</t>
        </is>
      </c>
      <c r="E14" s="15">
        <f>IFERROR(INDEX(Ремонты!$Y$2:$Y$200,MATCH($B$4,Ремонты!$A$2:$A$200,0)),"-")</f>
        <v/>
      </c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inlineStr">
        <is>
          <t>Подсказка</t>
        </is>
      </c>
      <c r="B16" s="17" t="inlineStr">
        <is>
          <t>Для ИО, ВО и Другое поля СИ автоматически показывают «не применяется».</t>
        </is>
      </c>
      <c r="C16" s="4" t="n"/>
      <c r="D16" s="4" t="n"/>
      <c r="E16" s="4" t="n"/>
      <c r="F16" s="4" t="n"/>
    </row>
  </sheetData>
  <mergeCells count="1">
    <mergeCell ref="A1:F2"/>
  </mergeCells>
  <dataValidations count="1">
    <dataValidation sqref="B4" showDropDown="0" showInputMessage="0" showErrorMessage="0" allowBlank="0" type="list">
      <formula1>=Оборудование!$A$2:$A$200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8" t="inlineStr">
        <is>
          <t>Что добавлено</t>
        </is>
      </c>
      <c r="B1" s="19" t="inlineStr">
        <is>
          <t>Карточка прибора, автостатус «где сейчас прибор», тестовые ВО/ИО/Другое и автожурнал событий.</t>
        </is>
      </c>
    </row>
    <row r="2">
      <c r="A2" s="18" t="inlineStr">
        <is>
          <t>Как работает журнал</t>
        </is>
      </c>
      <c r="B2" s="19" t="inlineStr">
        <is>
          <t>Если вы меняете дату на листе Ремонты, связанная запись автоматически появляется или меняется в листе Журнал_событий.</t>
        </is>
      </c>
    </row>
    <row r="3">
      <c r="A3" s="18" t="inlineStr">
        <is>
          <t>Что важно</t>
        </is>
      </c>
      <c r="B3" s="19" t="inlineStr">
        <is>
          <t>Это именно автожурнал событий по введенным датам, а не неоткатный аудит изменений. Для настоящего журнала правок нужен VBA или база данных.</t>
        </is>
      </c>
    </row>
    <row r="4">
      <c r="A4" s="18" t="inlineStr">
        <is>
          <t>Связи</t>
        </is>
      </c>
      <c r="B4" s="19" t="inlineStr">
        <is>
          <t>Лист Ремонты подтягивает объект, тип, наименование и статус прибора по ID из листа Оборудование.</t>
        </is>
      </c>
    </row>
    <row r="5">
      <c r="A5" s="18" t="inlineStr">
        <is>
          <t>Тест</t>
        </is>
      </c>
      <c r="B5" s="19" t="inlineStr">
        <is>
          <t>Контрольная дата для теста сейчас 11.03.2026 на листе Настройки.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2026-03-11T11:46:36Z</dcterms:created>
  <dcterms:modified xmlns:dcterms="http://purl.org/dc/terms/" xmlns:xsi="http://www.w3.org/2001/XMLSchema-instance" xsi:type="dcterms:W3CDTF">2026-03-11T11:46:37Z</dcterms:modified>
</cp:coreProperties>
</file>