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nbul\Documents\МКАИР\Объекты\Таас-Юрях Нефтегазодобыча ООО\Иркутск Полярная 117\СПРАВКА РЕМОНТ\"/>
    </mc:Choice>
  </mc:AlternateContent>
  <xr:revisionPtr revIDLastSave="0" documentId="13_ncr:1_{1233E2AC-BFE4-4C64-A628-1A12257821D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Общая информация" sheetId="5" r:id="rId1"/>
    <sheet name="1 группа" sheetId="1" r:id="rId2"/>
    <sheet name="2 группа" sheetId="6" r:id="rId3"/>
    <sheet name="3 группа" sheetId="4" r:id="rId4"/>
    <sheet name="Список" sheetId="2" r:id="rId5"/>
  </sheets>
  <externalReferences>
    <externalReference r:id="rId6"/>
    <externalReference r:id="rId7"/>
    <externalReference r:id="rId8"/>
    <externalReference r:id="rId9"/>
  </externalReferences>
  <definedNames>
    <definedName name="_xlnm._FilterDatabase" localSheetId="1" hidden="1">'1 группа'!$A$5:$V$38</definedName>
    <definedName name="_xlnm._FilterDatabase" localSheetId="2" hidden="1">'2 группа'!$A$4:$Y$100</definedName>
    <definedName name="_xlnm._FilterDatabase" localSheetId="3" hidden="1">'3 группа'!$A$5:$W$60</definedName>
    <definedName name="_xlnm._FilterDatabase" localSheetId="0" hidden="1">'Общая информация'!$A$5:$Q$476</definedName>
    <definedName name="A" localSheetId="2" hidden="1">{"IASTrail",#N/A,FALSE,"IAS"}</definedName>
    <definedName name="A" hidden="1">{"IASTrail",#N/A,FALSE,"IAS"}</definedName>
    <definedName name="aaa" localSheetId="2" hidden="1">{"AnalRSA",#N/A,TRUE,"PL-Anal";"AnalIAS",#N/A,TRUE,"PL-Anal"}</definedName>
    <definedName name="aaa" hidden="1">{"AnalRSA",#N/A,TRUE,"PL-Anal";"AnalIAS",#N/A,TRUE,"PL-Anal"}</definedName>
    <definedName name="ab" localSheetId="2" hidden="1">{"Area1",#N/A,FALSE,"OREWACC";"Area2",#N/A,FALSE,"OREWACC"}</definedName>
    <definedName name="ab" hidden="1">{"Area1",#N/A,FALSE,"OREWACC";"Area2",#N/A,FALSE,"OREWACC"}</definedName>
    <definedName name="COMPARE" localSheetId="2" hidden="1">{"Table A,pg 1",#N/A,FALSE,"Table A-Prov GUR";"Table A,pg 2",#N/A,FALSE,"Table A-Prov GUR"}</definedName>
    <definedName name="COMPARE" hidden="1">{"Table A,pg 1",#N/A,FALSE,"Table A-Prov GUR";"Table A,pg 2",#N/A,FALSE,"Table A-Prov GUR"}</definedName>
    <definedName name="й" localSheetId="2" hidden="1">{"Area1",#N/A,FALSE,"OREWACC";"Area2",#N/A,FALSE,"OREWACC"}</definedName>
    <definedName name="й" hidden="1">{"Area1",#N/A,FALSE,"OREWACC";"Area2",#N/A,FALSE,"OREWACC"}</definedName>
    <definedName name="_xlnm.Print_Area" localSheetId="1">'1 группа'!$A$1:$W$38</definedName>
    <definedName name="_xlnm.Print_Area" localSheetId="2">'2 группа'!$A$1:$X$46</definedName>
    <definedName name="_xlnm.Print_Area" localSheetId="3">'3 группа'!$A$1:$W$60</definedName>
    <definedName name="объект">[1]Лист1!$A$2:$A$9</definedName>
    <definedName name="Ремонт1">'[2]Причины невыполнения'!$B$2:$B$12</definedName>
    <definedName name="СПРАВОЧНИК_В_АМИКК">OFFSET([3]Спр!сл_спрк_В_статья,MATCH('[3]4-Реестр'!XFD1,[3]Спр!сл_спрк_В_статья,0)-1,1,COUNTIF([3]Спр!сл_спрк_В_статья,'[3]4-Реестр'!XFD1),1)</definedName>
    <definedName name="Справочник_Тип_Расходов">[3]Спр!$R$1:$R$2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524" i="5" l="1"/>
  <c r="A525" i="5" s="1"/>
  <c r="A526" i="5" s="1"/>
  <c r="A527" i="5" s="1"/>
  <c r="A528" i="5" s="1"/>
  <c r="A529" i="5" s="1"/>
  <c r="A530" i="5" s="1"/>
  <c r="A531" i="5" s="1"/>
  <c r="A532" i="5" s="1"/>
  <c r="A533" i="5" s="1"/>
  <c r="A534" i="5" s="1"/>
  <c r="A535" i="5" s="1"/>
  <c r="A536" i="5" s="1"/>
  <c r="A537" i="5" s="1"/>
  <c r="A538" i="5" s="1"/>
  <c r="A539" i="5" s="1"/>
  <c r="A540" i="5" s="1"/>
  <c r="A541" i="5" s="1"/>
  <c r="A542" i="5" s="1"/>
  <c r="A543" i="5" s="1"/>
  <c r="A544" i="5" s="1"/>
  <c r="A545" i="5" s="1"/>
  <c r="A546" i="5" s="1"/>
  <c r="A547" i="5" s="1"/>
  <c r="A548" i="5" s="1"/>
  <c r="A549" i="5" s="1"/>
  <c r="A550" i="5" s="1"/>
  <c r="A551" i="5" s="1"/>
  <c r="A552" i="5" s="1"/>
  <c r="A553" i="5" s="1"/>
  <c r="A554" i="5" s="1"/>
  <c r="A555" i="5" s="1"/>
  <c r="A556" i="5" s="1"/>
  <c r="A557" i="5" s="1"/>
  <c r="A558" i="5" s="1"/>
  <c r="A559" i="5" s="1"/>
  <c r="A560" i="5" s="1"/>
  <c r="A561" i="5" s="1"/>
  <c r="A562" i="5" s="1"/>
  <c r="A563" i="5" s="1"/>
  <c r="A564" i="5" s="1"/>
  <c r="A565" i="5" s="1"/>
  <c r="A566" i="5" s="1"/>
  <c r="A567" i="5" s="1"/>
  <c r="A568" i="5" s="1"/>
  <c r="A569" i="5" s="1"/>
  <c r="A570" i="5" s="1"/>
  <c r="A571" i="5" s="1"/>
  <c r="A572" i="5" s="1"/>
  <c r="A573" i="5" s="1"/>
  <c r="A574" i="5" s="1"/>
  <c r="A575" i="5" s="1"/>
  <c r="A576" i="5" s="1"/>
  <c r="A577" i="5" s="1"/>
  <c r="A523" i="5"/>
  <c r="X493" i="5"/>
  <c r="X492" i="5"/>
  <c r="E58" i="6"/>
  <c r="W492" i="5"/>
  <c r="W493" i="5"/>
  <c r="AB28" i="6"/>
  <c r="AB29" i="6"/>
  <c r="AB30" i="6"/>
  <c r="AB31" i="6"/>
  <c r="AB32" i="6"/>
  <c r="AB33" i="6"/>
  <c r="AB34" i="6"/>
  <c r="AB35" i="6"/>
  <c r="AB36" i="6"/>
  <c r="AB37" i="6"/>
  <c r="AB38" i="6"/>
  <c r="AB26" i="6"/>
  <c r="AB27" i="6"/>
  <c r="N37" i="5"/>
  <c r="N38" i="5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T100" i="6"/>
  <c r="T99" i="6"/>
  <c r="T98" i="6"/>
  <c r="T97" i="6"/>
  <c r="T96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T62" i="6"/>
  <c r="T61" i="6"/>
  <c r="T60" i="6"/>
  <c r="T59" i="6"/>
  <c r="T58" i="6"/>
  <c r="T57" i="6"/>
  <c r="T56" i="6"/>
  <c r="T55" i="6"/>
  <c r="T54" i="6"/>
  <c r="T53" i="6"/>
  <c r="T52" i="6"/>
  <c r="T51" i="6"/>
  <c r="T50" i="6"/>
  <c r="T49" i="6"/>
  <c r="T48" i="6"/>
  <c r="T47" i="6"/>
  <c r="T46" i="6"/>
  <c r="T45" i="6"/>
  <c r="T44" i="6"/>
  <c r="T43" i="6"/>
  <c r="T42" i="6"/>
  <c r="T41" i="6"/>
  <c r="T40" i="6"/>
  <c r="T39" i="6"/>
  <c r="T38" i="6"/>
  <c r="T37" i="6"/>
  <c r="T36" i="6"/>
  <c r="T35" i="6"/>
  <c r="T34" i="6"/>
  <c r="T33" i="6"/>
  <c r="T32" i="6"/>
  <c r="T31" i="6"/>
  <c r="T30" i="6"/>
  <c r="T29" i="6"/>
  <c r="T28" i="6"/>
  <c r="T27" i="6"/>
  <c r="T26" i="6"/>
  <c r="T25" i="6"/>
  <c r="T24" i="6"/>
  <c r="T23" i="6"/>
  <c r="T22" i="6"/>
  <c r="T21" i="6"/>
  <c r="T20" i="6"/>
  <c r="T19" i="6"/>
  <c r="T18" i="6"/>
  <c r="T17" i="6"/>
  <c r="T16" i="6"/>
  <c r="T15" i="6"/>
  <c r="T14" i="6"/>
  <c r="T13" i="6"/>
  <c r="T12" i="6"/>
  <c r="T11" i="6"/>
  <c r="T10" i="6"/>
  <c r="T9" i="6"/>
  <c r="T8" i="6"/>
  <c r="T7" i="6"/>
  <c r="T6" i="6"/>
  <c r="A487" i="5"/>
  <c r="A488" i="5" s="1"/>
  <c r="A489" i="5" s="1"/>
  <c r="A490" i="5" s="1"/>
  <c r="A491" i="5" s="1"/>
  <c r="A492" i="5" s="1"/>
  <c r="A493" i="5" s="1"/>
  <c r="A494" i="5" s="1"/>
  <c r="A495" i="5" s="1"/>
  <c r="A496" i="5" s="1"/>
  <c r="A497" i="5" s="1"/>
  <c r="A498" i="5" s="1"/>
  <c r="A499" i="5" s="1"/>
  <c r="A500" i="5" s="1"/>
  <c r="A501" i="5" s="1"/>
  <c r="A502" i="5" s="1"/>
  <c r="A503" i="5" s="1"/>
  <c r="A504" i="5" s="1"/>
  <c r="A505" i="5" s="1"/>
  <c r="A506" i="5" s="1"/>
  <c r="A507" i="5" s="1"/>
  <c r="A508" i="5" s="1"/>
  <c r="A509" i="5" s="1"/>
  <c r="A510" i="5" s="1"/>
  <c r="A511" i="5" s="1"/>
  <c r="A512" i="5" s="1"/>
  <c r="A513" i="5" s="1"/>
  <c r="A514" i="5" s="1"/>
  <c r="A515" i="5" s="1"/>
  <c r="A516" i="5" s="1"/>
  <c r="A517" i="5" s="1"/>
  <c r="A518" i="5" s="1"/>
  <c r="A519" i="5" s="1"/>
  <c r="A520" i="5" s="1"/>
  <c r="A521" i="5" s="1"/>
  <c r="A522" i="5" s="1"/>
  <c r="N6" i="5"/>
  <c r="S22" i="4"/>
  <c r="S14" i="4"/>
  <c r="A42" i="6" l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T13" i="4"/>
  <c r="S13" i="4"/>
  <c r="T23" i="4"/>
  <c r="S23" i="4"/>
  <c r="T22" i="4"/>
  <c r="T12" i="4"/>
  <c r="S12" i="4"/>
  <c r="T11" i="4"/>
  <c r="S11" i="4"/>
  <c r="T10" i="4"/>
  <c r="S10" i="4"/>
  <c r="T16" i="4"/>
  <c r="S16" i="4"/>
  <c r="T14" i="4"/>
  <c r="T17" i="4"/>
  <c r="S17" i="4"/>
  <c r="T21" i="4"/>
  <c r="S21" i="4"/>
  <c r="T20" i="4"/>
  <c r="S20" i="4"/>
  <c r="T15" i="4"/>
  <c r="T19" i="4"/>
  <c r="S19" i="4"/>
  <c r="A64" i="6" l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N476" i="5"/>
  <c r="N475" i="5"/>
  <c r="N474" i="5"/>
  <c r="N473" i="5"/>
  <c r="N472" i="5"/>
  <c r="N471" i="5"/>
  <c r="N470" i="5"/>
  <c r="N469" i="5"/>
  <c r="N468" i="5"/>
  <c r="N467" i="5"/>
  <c r="N466" i="5"/>
  <c r="N465" i="5"/>
  <c r="N464" i="5"/>
  <c r="N463" i="5"/>
  <c r="N462" i="5"/>
  <c r="N461" i="5"/>
  <c r="N460" i="5"/>
  <c r="N459" i="5"/>
  <c r="N458" i="5"/>
  <c r="N457" i="5"/>
  <c r="N456" i="5"/>
  <c r="N455" i="5"/>
  <c r="N454" i="5"/>
  <c r="N453" i="5"/>
  <c r="N452" i="5"/>
  <c r="N451" i="5"/>
  <c r="N450" i="5"/>
  <c r="N449" i="5"/>
  <c r="N448" i="5"/>
  <c r="N447" i="5"/>
  <c r="N446" i="5"/>
  <c r="N445" i="5"/>
  <c r="N444" i="5"/>
  <c r="N443" i="5"/>
  <c r="N442" i="5"/>
  <c r="N441" i="5"/>
  <c r="N440" i="5"/>
  <c r="N439" i="5"/>
  <c r="N438" i="5"/>
  <c r="N437" i="5"/>
  <c r="N436" i="5"/>
  <c r="N435" i="5"/>
  <c r="N434" i="5"/>
  <c r="N433" i="5"/>
  <c r="N432" i="5"/>
  <c r="N431" i="5"/>
  <c r="N430" i="5"/>
  <c r="N429" i="5"/>
  <c r="N428" i="5"/>
  <c r="N427" i="5"/>
  <c r="N426" i="5"/>
  <c r="N425" i="5"/>
  <c r="N424" i="5"/>
  <c r="N423" i="5"/>
  <c r="N422" i="5"/>
  <c r="N421" i="5"/>
  <c r="N420" i="5"/>
  <c r="N419" i="5"/>
  <c r="N418" i="5"/>
  <c r="N417" i="5"/>
  <c r="N416" i="5"/>
  <c r="N415" i="5"/>
  <c r="N414" i="5"/>
  <c r="N413" i="5"/>
  <c r="N412" i="5"/>
  <c r="N411" i="5"/>
  <c r="N410" i="5"/>
  <c r="N409" i="5"/>
  <c r="N408" i="5"/>
  <c r="N407" i="5"/>
  <c r="N406" i="5"/>
  <c r="N405" i="5"/>
  <c r="N404" i="5"/>
  <c r="N403" i="5"/>
  <c r="N402" i="5"/>
  <c r="N401" i="5"/>
  <c r="N400" i="5"/>
  <c r="N399" i="5"/>
  <c r="N398" i="5"/>
  <c r="N397" i="5"/>
  <c r="N396" i="5"/>
  <c r="N395" i="5"/>
  <c r="N394" i="5"/>
  <c r="N393" i="5"/>
  <c r="N392" i="5"/>
  <c r="N391" i="5"/>
  <c r="N390" i="5"/>
  <c r="N389" i="5"/>
  <c r="N388" i="5"/>
  <c r="N387" i="5"/>
  <c r="N386" i="5"/>
  <c r="N385" i="5"/>
  <c r="N384" i="5"/>
  <c r="N383" i="5"/>
  <c r="N382" i="5"/>
  <c r="N381" i="5"/>
  <c r="N380" i="5"/>
  <c r="N379" i="5"/>
  <c r="N378" i="5"/>
  <c r="N377" i="5"/>
  <c r="N376" i="5"/>
  <c r="N375" i="5"/>
  <c r="N374" i="5"/>
  <c r="N373" i="5"/>
  <c r="N372" i="5"/>
  <c r="N371" i="5"/>
  <c r="N370" i="5"/>
  <c r="N369" i="5"/>
  <c r="N368" i="5"/>
  <c r="N367" i="5"/>
  <c r="N366" i="5"/>
  <c r="N365" i="5"/>
  <c r="N364" i="5"/>
  <c r="N363" i="5"/>
  <c r="N362" i="5"/>
  <c r="N361" i="5"/>
  <c r="N360" i="5"/>
  <c r="N359" i="5"/>
  <c r="N358" i="5"/>
  <c r="N357" i="5"/>
  <c r="N356" i="5"/>
  <c r="N355" i="5"/>
  <c r="N354" i="5"/>
  <c r="N353" i="5"/>
  <c r="N352" i="5"/>
  <c r="N351" i="5"/>
  <c r="N350" i="5"/>
  <c r="N349" i="5"/>
  <c r="N348" i="5"/>
  <c r="N347" i="5"/>
  <c r="N346" i="5"/>
  <c r="N345" i="5"/>
  <c r="N344" i="5"/>
  <c r="N343" i="5"/>
  <c r="N342" i="5"/>
  <c r="N341" i="5"/>
  <c r="N340" i="5"/>
  <c r="N339" i="5"/>
  <c r="N338" i="5"/>
  <c r="N337" i="5"/>
  <c r="N336" i="5"/>
  <c r="N335" i="5"/>
  <c r="N334" i="5"/>
  <c r="N333" i="5"/>
  <c r="N332" i="5"/>
  <c r="N331" i="5"/>
  <c r="N330" i="5"/>
  <c r="N329" i="5"/>
  <c r="N328" i="5"/>
  <c r="N327" i="5"/>
  <c r="N326" i="5"/>
  <c r="N325" i="5"/>
  <c r="N324" i="5"/>
  <c r="N323" i="5"/>
  <c r="N322" i="5"/>
  <c r="N321" i="5"/>
  <c r="N320" i="5"/>
  <c r="N319" i="5"/>
  <c r="N318" i="5"/>
  <c r="N317" i="5"/>
  <c r="N316" i="5"/>
  <c r="N315" i="5"/>
  <c r="N314" i="5"/>
  <c r="N313" i="5"/>
  <c r="N312" i="5"/>
  <c r="N311" i="5"/>
  <c r="N310" i="5"/>
  <c r="N309" i="5"/>
  <c r="N308" i="5"/>
  <c r="N307" i="5"/>
  <c r="N306" i="5"/>
  <c r="N305" i="5"/>
  <c r="N304" i="5"/>
  <c r="N303" i="5"/>
  <c r="N302" i="5"/>
  <c r="N301" i="5"/>
  <c r="N300" i="5"/>
  <c r="N299" i="5"/>
  <c r="N298" i="5"/>
  <c r="N297" i="5"/>
  <c r="N296" i="5"/>
  <c r="N295" i="5"/>
  <c r="N294" i="5"/>
  <c r="N293" i="5"/>
  <c r="N292" i="5"/>
  <c r="N291" i="5"/>
  <c r="N290" i="5"/>
  <c r="N289" i="5"/>
  <c r="N288" i="5"/>
  <c r="N287" i="5"/>
  <c r="N286" i="5"/>
  <c r="N285" i="5"/>
  <c r="N284" i="5"/>
  <c r="N283" i="5"/>
  <c r="N282" i="5"/>
  <c r="N281" i="5"/>
  <c r="N280" i="5"/>
  <c r="N279" i="5"/>
  <c r="N278" i="5"/>
  <c r="N277" i="5"/>
  <c r="N276" i="5"/>
  <c r="N275" i="5"/>
  <c r="N274" i="5"/>
  <c r="N273" i="5"/>
  <c r="N272" i="5"/>
  <c r="N271" i="5"/>
  <c r="N270" i="5"/>
  <c r="N269" i="5"/>
  <c r="N268" i="5"/>
  <c r="N267" i="5"/>
  <c r="N266" i="5"/>
  <c r="N265" i="5"/>
  <c r="N264" i="5"/>
  <c r="N263" i="5"/>
  <c r="N262" i="5"/>
  <c r="N261" i="5"/>
  <c r="N260" i="5"/>
  <c r="N259" i="5"/>
  <c r="N258" i="5"/>
  <c r="N257" i="5"/>
  <c r="N256" i="5"/>
  <c r="N255" i="5"/>
  <c r="N254" i="5"/>
  <c r="N253" i="5"/>
  <c r="N252" i="5"/>
  <c r="N251" i="5"/>
  <c r="N250" i="5"/>
  <c r="N249" i="5"/>
  <c r="N248" i="5"/>
  <c r="N247" i="5"/>
  <c r="N246" i="5"/>
  <c r="N245" i="5"/>
  <c r="N244" i="5"/>
  <c r="N243" i="5"/>
  <c r="N242" i="5"/>
  <c r="N241" i="5"/>
  <c r="N240" i="5"/>
  <c r="N239" i="5"/>
  <c r="N238" i="5"/>
  <c r="N237" i="5"/>
  <c r="N236" i="5"/>
  <c r="N235" i="5"/>
  <c r="N234" i="5"/>
  <c r="N233" i="5"/>
  <c r="N232" i="5"/>
  <c r="N231" i="5"/>
  <c r="N230" i="5"/>
  <c r="N229" i="5"/>
  <c r="N228" i="5"/>
  <c r="N227" i="5"/>
  <c r="N226" i="5"/>
  <c r="N225" i="5"/>
  <c r="N224" i="5"/>
  <c r="N223" i="5"/>
  <c r="N222" i="5"/>
  <c r="N221" i="5"/>
  <c r="N220" i="5"/>
  <c r="N219" i="5"/>
  <c r="N218" i="5"/>
  <c r="N217" i="5"/>
  <c r="N216" i="5"/>
  <c r="N215" i="5"/>
  <c r="N214" i="5"/>
  <c r="N213" i="5"/>
  <c r="N212" i="5"/>
  <c r="N211" i="5"/>
  <c r="N210" i="5"/>
  <c r="N209" i="5"/>
  <c r="N208" i="5"/>
  <c r="N207" i="5"/>
  <c r="N206" i="5"/>
  <c r="N205" i="5"/>
  <c r="N204" i="5"/>
  <c r="N203" i="5"/>
  <c r="N202" i="5"/>
  <c r="N201" i="5"/>
  <c r="N200" i="5"/>
  <c r="N199" i="5"/>
  <c r="N198" i="5"/>
  <c r="N197" i="5"/>
  <c r="N196" i="5"/>
  <c r="N195" i="5"/>
  <c r="N194" i="5"/>
  <c r="N193" i="5"/>
  <c r="N192" i="5"/>
  <c r="N191" i="5"/>
  <c r="N190" i="5"/>
  <c r="N189" i="5"/>
  <c r="N188" i="5"/>
  <c r="N187" i="5"/>
  <c r="N186" i="5"/>
  <c r="N185" i="5"/>
  <c r="N184" i="5"/>
  <c r="N183" i="5"/>
  <c r="N182" i="5"/>
  <c r="N181" i="5"/>
  <c r="N180" i="5"/>
  <c r="N179" i="5"/>
  <c r="N178" i="5"/>
  <c r="N177" i="5"/>
  <c r="N176" i="5"/>
  <c r="N175" i="5"/>
  <c r="N174" i="5"/>
  <c r="N173" i="5"/>
  <c r="N172" i="5"/>
  <c r="N171" i="5"/>
  <c r="N170" i="5"/>
  <c r="N169" i="5"/>
  <c r="N168" i="5"/>
  <c r="N167" i="5"/>
  <c r="N166" i="5"/>
  <c r="N165" i="5"/>
  <c r="N164" i="5"/>
  <c r="N163" i="5"/>
  <c r="N162" i="5"/>
  <c r="N161" i="5"/>
  <c r="N160" i="5"/>
  <c r="N159" i="5"/>
  <c r="N158" i="5"/>
  <c r="N157" i="5"/>
  <c r="N156" i="5"/>
  <c r="N155" i="5"/>
  <c r="N154" i="5"/>
  <c r="N153" i="5"/>
  <c r="N152" i="5"/>
  <c r="N151" i="5"/>
  <c r="N150" i="5"/>
  <c r="N149" i="5"/>
  <c r="N148" i="5"/>
  <c r="N147" i="5"/>
  <c r="N146" i="5"/>
  <c r="N145" i="5"/>
  <c r="N144" i="5"/>
  <c r="N143" i="5"/>
  <c r="N142" i="5"/>
  <c r="N141" i="5"/>
  <c r="N140" i="5"/>
  <c r="N139" i="5"/>
  <c r="N138" i="5"/>
  <c r="N137" i="5"/>
  <c r="N136" i="5"/>
  <c r="N135" i="5"/>
  <c r="N134" i="5"/>
  <c r="N133" i="5"/>
  <c r="N132" i="5"/>
  <c r="N131" i="5"/>
  <c r="N130" i="5"/>
  <c r="N129" i="5"/>
  <c r="N128" i="5"/>
  <c r="N127" i="5"/>
  <c r="N126" i="5"/>
  <c r="N125" i="5"/>
  <c r="N124" i="5"/>
  <c r="N123" i="5"/>
  <c r="N122" i="5"/>
  <c r="N121" i="5"/>
  <c r="N120" i="5"/>
  <c r="N119" i="5"/>
  <c r="N118" i="5"/>
  <c r="N117" i="5"/>
  <c r="N116" i="5"/>
  <c r="N115" i="5"/>
  <c r="N114" i="5"/>
  <c r="N113" i="5"/>
  <c r="N112" i="5"/>
  <c r="N111" i="5"/>
  <c r="N110" i="5"/>
  <c r="N109" i="5"/>
  <c r="N108" i="5"/>
  <c r="N107" i="5"/>
  <c r="N106" i="5"/>
  <c r="N105" i="5"/>
  <c r="N104" i="5"/>
  <c r="N103" i="5"/>
  <c r="N102" i="5"/>
  <c r="N101" i="5"/>
  <c r="N100" i="5"/>
  <c r="N99" i="5"/>
  <c r="N98" i="5"/>
  <c r="N97" i="5"/>
  <c r="N96" i="5"/>
  <c r="N95" i="5"/>
  <c r="N94" i="5"/>
  <c r="N93" i="5"/>
  <c r="N92" i="5"/>
  <c r="N91" i="5"/>
  <c r="N90" i="5"/>
  <c r="N89" i="5"/>
  <c r="N88" i="5"/>
  <c r="N87" i="5"/>
  <c r="N86" i="5"/>
  <c r="N85" i="5"/>
  <c r="N84" i="5"/>
  <c r="N83" i="5"/>
  <c r="N82" i="5"/>
  <c r="N81" i="5"/>
  <c r="N80" i="5"/>
  <c r="N79" i="5"/>
  <c r="N78" i="5"/>
  <c r="N77" i="5"/>
  <c r="N76" i="5"/>
  <c r="N75" i="5"/>
  <c r="N74" i="5"/>
  <c r="N73" i="5"/>
  <c r="N72" i="5"/>
  <c r="N71" i="5"/>
  <c r="N70" i="5"/>
  <c r="N69" i="5"/>
  <c r="N68" i="5"/>
  <c r="N67" i="5"/>
  <c r="N66" i="5"/>
  <c r="N65" i="5"/>
  <c r="N64" i="5"/>
  <c r="N63" i="5"/>
  <c r="N62" i="5"/>
  <c r="N61" i="5"/>
  <c r="N60" i="5"/>
  <c r="N59" i="5"/>
  <c r="N58" i="5"/>
  <c r="N57" i="5"/>
  <c r="N56" i="5"/>
  <c r="N55" i="5"/>
  <c r="N54" i="5"/>
  <c r="N53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6" i="5"/>
  <c r="N35" i="5"/>
  <c r="N34" i="5"/>
  <c r="N33" i="5"/>
  <c r="N32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E135" i="5" l="1"/>
  <c r="T40" i="4" l="1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39" i="4"/>
  <c r="T38" i="4"/>
  <c r="T37" i="4"/>
  <c r="T36" i="4"/>
  <c r="T35" i="4"/>
  <c r="T34" i="4"/>
  <c r="T33" i="4"/>
  <c r="T32" i="4"/>
  <c r="T31" i="4"/>
  <c r="T30" i="4"/>
  <c r="T29" i="4"/>
  <c r="T28" i="4"/>
  <c r="T27" i="4"/>
  <c r="T26" i="4"/>
  <c r="T25" i="4"/>
  <c r="T24" i="4"/>
  <c r="T18" i="4"/>
  <c r="T9" i="4"/>
  <c r="T8" i="4"/>
  <c r="T7" i="4"/>
  <c r="T6" i="4"/>
  <c r="T10" i="1" l="1"/>
  <c r="T11" i="1"/>
  <c r="T6" i="1"/>
  <c r="T7" i="1"/>
  <c r="T12" i="1"/>
  <c r="T8" i="1"/>
  <c r="T13" i="1"/>
  <c r="T14" i="1"/>
  <c r="T15" i="1"/>
  <c r="T16" i="1"/>
  <c r="T17" i="1"/>
  <c r="T18" i="1"/>
  <c r="T9" i="1"/>
  <c r="T19" i="1"/>
  <c r="T38" i="1" l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</calcChain>
</file>

<file path=xl/sharedStrings.xml><?xml version="1.0" encoding="utf-8"?>
<sst xmlns="http://schemas.openxmlformats.org/spreadsheetml/2006/main" count="4022" uniqueCount="993">
  <si>
    <t>УЧАСТОК МАиС</t>
  </si>
  <si>
    <t>Администратор процесса</t>
  </si>
  <si>
    <t>№ п/п</t>
  </si>
  <si>
    <t>Локация</t>
  </si>
  <si>
    <t>Оборудование</t>
  </si>
  <si>
    <t>Дополнительные сведения</t>
  </si>
  <si>
    <t>Контроль сроков</t>
  </si>
  <si>
    <t>Ремонт</t>
  </si>
  <si>
    <t>Место демонтажа
(установка / позиция)</t>
  </si>
  <si>
    <t>Наименование</t>
  </si>
  <si>
    <t>Модель</t>
  </si>
  <si>
    <t>Номер, дата акта неисправности оборудования / СИ 
(форма П-11 SLA)</t>
  </si>
  <si>
    <t>ФИО 
отв. лица
УМАиС</t>
  </si>
  <si>
    <t>Дата отказа оборудования</t>
  </si>
  <si>
    <t>Дата передачи в ремонт
(по акту)</t>
  </si>
  <si>
    <t>Дата вывоза с объекта</t>
  </si>
  <si>
    <r>
      <t xml:space="preserve">Текущий этап ремонта
</t>
    </r>
    <r>
      <rPr>
        <b/>
        <sz val="10"/>
        <color rgb="FFFF0000"/>
        <rFont val="Arial"/>
        <family val="2"/>
        <charset val="204"/>
      </rPr>
      <t>выбрать из списка</t>
    </r>
  </si>
  <si>
    <t>ОБЪЕКТ
(площадка)</t>
  </si>
  <si>
    <t>Место демонтажа
(система / установка / позиция)</t>
  </si>
  <si>
    <t>Зав. №
(кол-во при отсутствии зав.№)</t>
  </si>
  <si>
    <t>Дата подписания акта передачи в ремонт</t>
  </si>
  <si>
    <t xml:space="preserve">Дата отправки оборудования с объекта </t>
  </si>
  <si>
    <t>Уведомление об отправке из ремонта</t>
  </si>
  <si>
    <t>Сугак В.В.</t>
  </si>
  <si>
    <t>СБНГКМ</t>
  </si>
  <si>
    <t>Блок питания</t>
  </si>
  <si>
    <t>ЦППН</t>
  </si>
  <si>
    <t>ОЭТ ЛНК</t>
  </si>
  <si>
    <t xml:space="preserve">Ультразвуковой (УЗ) эхо-импульсный толщиномер </t>
  </si>
  <si>
    <t>А1207</t>
  </si>
  <si>
    <t>1005429</t>
  </si>
  <si>
    <t>Акт № 20241013-001 от 13.10.2024</t>
  </si>
  <si>
    <t>МКАИР</t>
  </si>
  <si>
    <t>ПСП</t>
  </si>
  <si>
    <t>б/н</t>
  </si>
  <si>
    <t>ППКОП</t>
  </si>
  <si>
    <t>С2000-4</t>
  </si>
  <si>
    <t>Газоанализатор  портативный</t>
  </si>
  <si>
    <t>BW GasAlertMicroClip XL</t>
  </si>
  <si>
    <t>КА421-1140162</t>
  </si>
  <si>
    <t>КА421-1135254</t>
  </si>
  <si>
    <t>KA421-1140115</t>
  </si>
  <si>
    <t>KA421-1139753</t>
  </si>
  <si>
    <t>KA421-1140166</t>
  </si>
  <si>
    <t>KA421-1140160</t>
  </si>
  <si>
    <t>KA421-1140171</t>
  </si>
  <si>
    <t>KA421-1140140</t>
  </si>
  <si>
    <t>KA421-1140135</t>
  </si>
  <si>
    <t>KA421-1139706</t>
  </si>
  <si>
    <t>КА421-1140113</t>
  </si>
  <si>
    <t>KA421-1140109</t>
  </si>
  <si>
    <t>Видеокамера</t>
  </si>
  <si>
    <t xml:space="preserve">Тахион ТВК-22 </t>
  </si>
  <si>
    <t>А-9154</t>
  </si>
  <si>
    <t>DPS-690АВ А</t>
  </si>
  <si>
    <t>HVUD1826018298</t>
  </si>
  <si>
    <t>НИППЕЛЬ</t>
  </si>
  <si>
    <t>ISO-B G3/4 СТАЛЬ - H6-63-BSPP</t>
  </si>
  <si>
    <t>б/н (6 штук)</t>
  </si>
  <si>
    <t xml:space="preserve">Магнитный уровнемер </t>
  </si>
  <si>
    <t>ПМП – 062</t>
  </si>
  <si>
    <t>поз. 142 реестра Акт № 08092023_(1062) отказа ПМП-062 на камере СОД</t>
  </si>
  <si>
    <t>KA421-1140141</t>
  </si>
  <si>
    <t>KA421-1133874</t>
  </si>
  <si>
    <t>-</t>
  </si>
  <si>
    <t xml:space="preserve">Преобразователь протокола </t>
  </si>
  <si>
    <t>С2000-ПП</t>
  </si>
  <si>
    <t>Преобразователь расхода вихреакустический</t>
  </si>
  <si>
    <t>Метран-300 ПР</t>
  </si>
  <si>
    <t>3030554</t>
  </si>
  <si>
    <t>ИОН 3030554_16082024135318.PDF</t>
  </si>
  <si>
    <t>Метран-300 ПР 32</t>
  </si>
  <si>
    <t>3030724</t>
  </si>
  <si>
    <t>ИОН 3030724_16082024135341.PDF</t>
  </si>
  <si>
    <t>3030723</t>
  </si>
  <si>
    <t>3030723_16082024135332.PDF</t>
  </si>
  <si>
    <t xml:space="preserve">Радио лучевое средство обнаружения </t>
  </si>
  <si>
    <t xml:space="preserve">РЕДУТ-500 </t>
  </si>
  <si>
    <t>Х2719</t>
  </si>
  <si>
    <t>№21082024</t>
  </si>
  <si>
    <t>Х2769</t>
  </si>
  <si>
    <t>Газоанализатор переносной</t>
  </si>
  <si>
    <t>ГИАМ-315</t>
  </si>
  <si>
    <t>05082024-(1115)</t>
  </si>
  <si>
    <t>11304/11308</t>
  </si>
  <si>
    <t>Громкоговоритель</t>
  </si>
  <si>
    <t>ГР-07е-20</t>
  </si>
  <si>
    <t>ГР-07е</t>
  </si>
  <si>
    <t xml:space="preserve">№20241206-002 </t>
  </si>
  <si>
    <t>13072024_(1107)</t>
  </si>
  <si>
    <t>LPA-15H</t>
  </si>
  <si>
    <t>поз.275 реестра 2024.12.06 Акт отказа №20241206-001 LPA-15H зав № 001234 001235  001236</t>
  </si>
  <si>
    <t>поз.275 реестра 2024.12.06 Акт отказа №20241206-001 LPA-15H зав № 001234 001235  001237</t>
  </si>
  <si>
    <t>поз.275 реестра 2024.12.06 Акт отказа №20241206-001 LPA-15H зав № 001234 001235  001238</t>
  </si>
  <si>
    <t>LPA-10H</t>
  </si>
  <si>
    <t>DB4L-15W</t>
  </si>
  <si>
    <t>Глагол Н2-3</t>
  </si>
  <si>
    <t>Силантьев А.С./Томилов Я.К.</t>
  </si>
  <si>
    <t>Наименование выбранной
ремонтной организации</t>
  </si>
  <si>
    <t>Технологическая
площадка</t>
  </si>
  <si>
    <t>Нет</t>
  </si>
  <si>
    <t>Атк дефектовки от Заказчика, при передачи в ремонт</t>
  </si>
  <si>
    <t>зав.номер</t>
  </si>
  <si>
    <r>
      <t xml:space="preserve">Текущий этап замены
</t>
    </r>
    <r>
      <rPr>
        <b/>
        <sz val="10"/>
        <color rgb="FFFF0000"/>
        <rFont val="Arial"/>
        <family val="2"/>
        <charset val="204"/>
      </rPr>
      <t>выбрать из списка</t>
    </r>
  </si>
  <si>
    <t>Акт приема передачи в ремонт Заказчиком</t>
  </si>
  <si>
    <t>Запрос ТКП на ЗИП</t>
  </si>
  <si>
    <t>Не подлежит ремонту</t>
  </si>
  <si>
    <t>Замена АКБ/гальванического элемента. Замена кнопки включения</t>
  </si>
  <si>
    <t>Стоимость ремонта / замены, 
руб. с НДС по ТКП</t>
  </si>
  <si>
    <t>Дата начала текущего этапа</t>
  </si>
  <si>
    <t>Регламентный срок</t>
  </si>
  <si>
    <t>Прогнозный срок завершения текущего этапа (По ТКП)</t>
  </si>
  <si>
    <r>
      <t xml:space="preserve">Текущая продолжительность ремонта или замены
</t>
    </r>
    <r>
      <rPr>
        <b/>
        <sz val="10"/>
        <color rgb="FFFF0000"/>
        <rFont val="Arial"/>
        <family val="2"/>
        <charset val="204"/>
      </rPr>
      <t>(Заполняется атоматически)</t>
    </r>
  </si>
  <si>
    <t>Примечание (причины задержки или не возможности ремонта)</t>
  </si>
  <si>
    <t>Дата отправки из ремонта</t>
  </si>
  <si>
    <t>Статус</t>
  </si>
  <si>
    <t>Согласованный вид работ</t>
  </si>
  <si>
    <t>Замена</t>
  </si>
  <si>
    <t>Ремонт+замена</t>
  </si>
  <si>
    <t>Утилизация</t>
  </si>
  <si>
    <t>Возврат без ремонта</t>
  </si>
  <si>
    <t>Передача в другую организацию</t>
  </si>
  <si>
    <t>Статусы</t>
  </si>
  <si>
    <t>диагностика</t>
  </si>
  <si>
    <t>выполнение ремонта</t>
  </si>
  <si>
    <t>поверка после ремонта</t>
  </si>
  <si>
    <t>в пути из ремонта</t>
  </si>
  <si>
    <t>Логистика</t>
  </si>
  <si>
    <t>КА421-1139758</t>
  </si>
  <si>
    <t>КА420-1055339</t>
  </si>
  <si>
    <t>КА421-1139737</t>
  </si>
  <si>
    <t>КА421-1134209</t>
  </si>
  <si>
    <t>КА421-1139941</t>
  </si>
  <si>
    <t>КА421-1139857</t>
  </si>
  <si>
    <t xml:space="preserve">Вибропреобразователь </t>
  </si>
  <si>
    <t>ВК-310</t>
  </si>
  <si>
    <t>102-Н-1-3 поз. 102-ST-3.7</t>
  </si>
  <si>
    <t>102-Н-1-3 поз. 102-ST-3.8</t>
  </si>
  <si>
    <t>Термопреобразователь</t>
  </si>
  <si>
    <t>ДТС045-PT100</t>
  </si>
  <si>
    <t>123-Н-1</t>
  </si>
  <si>
    <t xml:space="preserve">Термопреобразователь </t>
  </si>
  <si>
    <t xml:space="preserve">Термосопротивление </t>
  </si>
  <si>
    <t>123.3.4-ST-2</t>
  </si>
  <si>
    <t>123.3.4-ST-3</t>
  </si>
  <si>
    <t>Склад УМАИС</t>
  </si>
  <si>
    <t xml:space="preserve">Перемешивающее устройство </t>
  </si>
  <si>
    <t>ПЭ-8300</t>
  </si>
  <si>
    <t>GL131213446</t>
  </si>
  <si>
    <t>ЦПС-1 ХАЛ</t>
  </si>
  <si>
    <t>GL131213442</t>
  </si>
  <si>
    <t>KA421-1140100</t>
  </si>
  <si>
    <t>КА421-1139785</t>
  </si>
  <si>
    <t>КА417-1087325</t>
  </si>
  <si>
    <t>КА413-1080817</t>
  </si>
  <si>
    <t>КА421-1133860</t>
  </si>
  <si>
    <t>КА421-1135026</t>
  </si>
  <si>
    <t>КА417-1006909</t>
  </si>
  <si>
    <t>ЦЭРТ</t>
  </si>
  <si>
    <t>КА421-1134237</t>
  </si>
  <si>
    <t>КА421-1140182</t>
  </si>
  <si>
    <t>КА417-1087230</t>
  </si>
  <si>
    <t xml:space="preserve"> КА421-1140167</t>
  </si>
  <si>
    <t xml:space="preserve"> КА421-1139693</t>
  </si>
  <si>
    <t>КА421-1133915</t>
  </si>
  <si>
    <t>Сигнализатор давления</t>
  </si>
  <si>
    <t>Садко-107</t>
  </si>
  <si>
    <t xml:space="preserve">Титратор автоматический АТ-710 </t>
  </si>
  <si>
    <t xml:space="preserve">Зав№19381619 </t>
  </si>
  <si>
    <t xml:space="preserve">Газоанализатор </t>
  </si>
  <si>
    <t xml:space="preserve">ДГС ЭРИС-210 </t>
  </si>
  <si>
    <t>№ER210181266</t>
  </si>
  <si>
    <t>№ER210171112</t>
  </si>
  <si>
    <t xml:space="preserve">Датчик давления </t>
  </si>
  <si>
    <t xml:space="preserve">Метран 150TG </t>
  </si>
  <si>
    <t>№6032542</t>
  </si>
  <si>
    <t xml:space="preserve">Yokogawa EJX110A </t>
  </si>
  <si>
    <t>№91V717884</t>
  </si>
  <si>
    <t xml:space="preserve">Yokogawa EJX530A </t>
  </si>
  <si>
    <t>№91Т310159</t>
  </si>
  <si>
    <t xml:space="preserve">ВК-310С </t>
  </si>
  <si>
    <t>№55888</t>
  </si>
  <si>
    <t>№55029</t>
  </si>
  <si>
    <t>№55164</t>
  </si>
  <si>
    <t xml:space="preserve">Термопреобразователь температуры </t>
  </si>
  <si>
    <t xml:space="preserve">Элемер ТПУ 0304Exd/M2-Н </t>
  </si>
  <si>
    <t>№12-6887</t>
  </si>
  <si>
    <t>ИБП до 1000 VA</t>
  </si>
  <si>
    <t>Находилось в Сибинтек</t>
  </si>
  <si>
    <t>Yokogawa EJX530A</t>
  </si>
  <si>
    <t>91T308634</t>
  </si>
  <si>
    <t>Yokogawa EJX110A</t>
  </si>
  <si>
    <t>91T527533</t>
  </si>
  <si>
    <t>AQUAMETRO CONTOIL VZO 20</t>
  </si>
  <si>
    <t>Krohne OPTISONIC 3400C</t>
  </si>
  <si>
    <t>R16607832</t>
  </si>
  <si>
    <t>Krohne OPTIFLEX 2200C</t>
  </si>
  <si>
    <t>F170000000273835</t>
  </si>
  <si>
    <t>F160000000249932</t>
  </si>
  <si>
    <t>91T310162</t>
  </si>
  <si>
    <t>Плотномер Mettler-Toledo Densito 30PX</t>
  </si>
  <si>
    <t>LWE65B21</t>
  </si>
  <si>
    <t>LWE53541</t>
  </si>
  <si>
    <t>Yokogawa EJX510A</t>
  </si>
  <si>
    <t>91T505821</t>
  </si>
  <si>
    <t>91T505831</t>
  </si>
  <si>
    <t>91T505832</t>
  </si>
  <si>
    <t>91U429662</t>
  </si>
  <si>
    <t>Yokogawa EJA530E</t>
  </si>
  <si>
    <t>91T609681</t>
  </si>
  <si>
    <t>91U708256</t>
  </si>
  <si>
    <t>91Т309122</t>
  </si>
  <si>
    <t>Krohne OPTIFLEX 1300C</t>
  </si>
  <si>
    <t>R180000000005041</t>
  </si>
  <si>
    <t>Sitrans P DS III 7MF4035</t>
  </si>
  <si>
    <t>N1H9239020021</t>
  </si>
  <si>
    <t>N1H9239020001</t>
  </si>
  <si>
    <t>N1H9239020008</t>
  </si>
  <si>
    <t>N1H9239020023</t>
  </si>
  <si>
    <t>MAGFLO MAG 6000</t>
  </si>
  <si>
    <t>403040H166/N1H4135137</t>
  </si>
  <si>
    <t xml:space="preserve">MAGFLO MAG 6000 </t>
  </si>
  <si>
    <t>403340H166/N1H4135208</t>
  </si>
  <si>
    <t>E+H Prowirl 200</t>
  </si>
  <si>
    <t>M6183019000</t>
  </si>
  <si>
    <t>Газоанализатор Ventis MX4</t>
  </si>
  <si>
    <t>121139N-036</t>
  </si>
  <si>
    <t>121139N-146</t>
  </si>
  <si>
    <t>Газоанализатор Drager Polytron</t>
  </si>
  <si>
    <t>ARKF-0342</t>
  </si>
  <si>
    <t>ARKF-0343</t>
  </si>
  <si>
    <t>ARKF-0358</t>
  </si>
  <si>
    <t>Датчик Rosemount 2051</t>
  </si>
  <si>
    <t>Вибрационный сигнализатор уровня VEGASWING</t>
  </si>
  <si>
    <t>Газоанализатор Дозор-С</t>
  </si>
  <si>
    <t>3/781</t>
  </si>
  <si>
    <t>Schneider electric Zelio Logic SR3 XT141BD</t>
  </si>
  <si>
    <t>Schneider electric Zelio Logic SR3 B262BD</t>
  </si>
  <si>
    <t>1141 С00237</t>
  </si>
  <si>
    <t>ATEN KE6900T</t>
  </si>
  <si>
    <t>A1G2-036A9-0037</t>
  </si>
  <si>
    <t>A1G2-036A9-0018</t>
  </si>
  <si>
    <t>A1G2-036A9-0015</t>
  </si>
  <si>
    <t>A1FA-167A9-0032</t>
  </si>
  <si>
    <t>Преобразователь температуры Pepperl+Fuchs K-System</t>
  </si>
  <si>
    <t>Yokogawa EJA530</t>
  </si>
  <si>
    <t>91T310158 710</t>
  </si>
  <si>
    <t>91S330880</t>
  </si>
  <si>
    <t>91T709879</t>
  </si>
  <si>
    <t>91М733169</t>
  </si>
  <si>
    <t>Газоанализатор оптический ЭРИС-ОПТИМА ПЛЮС</t>
  </si>
  <si>
    <t>ER120072</t>
  </si>
  <si>
    <t>ER130389</t>
  </si>
  <si>
    <t>ER130458</t>
  </si>
  <si>
    <t>ER130390</t>
  </si>
  <si>
    <t>ER130460</t>
  </si>
  <si>
    <t>ER130469</t>
  </si>
  <si>
    <t>ER130474</t>
  </si>
  <si>
    <t>Измерительный преобразователь ТСПТ-Exi101</t>
  </si>
  <si>
    <t>2911-26-4</t>
  </si>
  <si>
    <t>ER130471</t>
  </si>
  <si>
    <t>ER130461</t>
  </si>
  <si>
    <t>ER130465</t>
  </si>
  <si>
    <t>ER130468</t>
  </si>
  <si>
    <t>ER130462</t>
  </si>
  <si>
    <t>Титратор Mettler-Toledo Т50</t>
  </si>
  <si>
    <t>B203638278</t>
  </si>
  <si>
    <t>Магнитометр дифференциальный МФ-34ФМ</t>
  </si>
  <si>
    <t>ПЛК Direct Logic 06 D0-06DR</t>
  </si>
  <si>
    <t>Блок питания Phoenix Contact QUINT PS/1AC/24DC/10</t>
  </si>
  <si>
    <t>0000231921</t>
  </si>
  <si>
    <t>Megger MIT1025</t>
  </si>
  <si>
    <t>101257630</t>
  </si>
  <si>
    <t xml:space="preserve">Газоанализатор ДГС ЭРИС-210ИК-1 </t>
  </si>
  <si>
    <t>ER210171084</t>
  </si>
  <si>
    <t>Датчик температуры с унифицированным
выходным сигналом E+H Omnigrad</t>
  </si>
  <si>
    <t>LB041F14150</t>
  </si>
  <si>
    <t>Расходомер Эмис-Вихрь 200</t>
  </si>
  <si>
    <t>15210</t>
  </si>
  <si>
    <t>18799</t>
  </si>
  <si>
    <t>Уровнемер поплавковый магнитострикционный ПМП-152</t>
  </si>
  <si>
    <t>108272</t>
  </si>
  <si>
    <t>Вычислитель потребленного тепла ВКТ-5</t>
  </si>
  <si>
    <t>11084</t>
  </si>
  <si>
    <t>Калибратор давления AMETEK</t>
  </si>
  <si>
    <t>2667114</t>
  </si>
  <si>
    <t>Danfoss КР81</t>
  </si>
  <si>
    <t xml:space="preserve">Датчик расхода ДРС.Т-25А </t>
  </si>
  <si>
    <t>2690</t>
  </si>
  <si>
    <t>Газоанализатор Sensepoint XCD Honeywell</t>
  </si>
  <si>
    <t>09209-15</t>
  </si>
  <si>
    <t>Micro Motion CDM100</t>
  </si>
  <si>
    <t>12134522</t>
  </si>
  <si>
    <t>Влагомер сырой нефти ВСН-Л-02</t>
  </si>
  <si>
    <t>ВСН-Л-02</t>
  </si>
  <si>
    <t>060</t>
  </si>
  <si>
    <t>Газоанализатор</t>
  </si>
  <si>
    <t>ИПК-02</t>
  </si>
  <si>
    <t>ЦПС Расширение, поз. 111 Азотная станция. Поз.111-QT-1001</t>
  </si>
  <si>
    <t xml:space="preserve">Влагомер сырой нефти </t>
  </si>
  <si>
    <t>ХАЛ ОБП</t>
  </si>
  <si>
    <t>метрология ОБП</t>
  </si>
  <si>
    <t>ППКОП С2000-4</t>
  </si>
  <si>
    <t>МИП-24</t>
  </si>
  <si>
    <t xml:space="preserve">Извещатель пламени пожарный </t>
  </si>
  <si>
    <t>ИП 330/2-20-А</t>
  </si>
  <si>
    <t>004519</t>
  </si>
  <si>
    <t>004518</t>
  </si>
  <si>
    <t>003179</t>
  </si>
  <si>
    <t>по акту ПП от 30.05.24 нет в списке у КА</t>
  </si>
  <si>
    <t>Блок сигнально-пусковой адресный</t>
  </si>
  <si>
    <t>С2000-4/220</t>
  </si>
  <si>
    <t>4/6909(1829592)</t>
  </si>
  <si>
    <t>ТСПУ</t>
  </si>
  <si>
    <t>11-1088</t>
  </si>
  <si>
    <t>11-1119</t>
  </si>
  <si>
    <t>11-1092</t>
  </si>
  <si>
    <t>11-7684</t>
  </si>
  <si>
    <t>11-7702</t>
  </si>
  <si>
    <t>11-1128</t>
  </si>
  <si>
    <t>по акту 27.09.24 нет в списке у КА</t>
  </si>
  <si>
    <t>ТЖИУ406-1</t>
  </si>
  <si>
    <t>226261 (10816)</t>
  </si>
  <si>
    <t>130495 (01980)</t>
  </si>
  <si>
    <t>226481 (10734)</t>
  </si>
  <si>
    <t>226251 (10117)</t>
  </si>
  <si>
    <t>Нивелир с компенсатором</t>
  </si>
  <si>
    <t>SOKKIA C300</t>
  </si>
  <si>
    <t>N21836</t>
  </si>
  <si>
    <t>дальномер лазерный</t>
  </si>
  <si>
    <t>BOSH GLM 50</t>
  </si>
  <si>
    <t>001234</t>
  </si>
  <si>
    <t>001235</t>
  </si>
  <si>
    <t>001236</t>
  </si>
  <si>
    <t>Отремонтирован. Определить статью расхода по договору</t>
  </si>
  <si>
    <t>Отремонтирован. Поверен.</t>
  </si>
  <si>
    <t>ЦОиМ склад  №21</t>
  </si>
  <si>
    <t>Весы электронные крановые радиоканальные  (комплект: грузоприемная часть и пульт управления)</t>
  </si>
  <si>
    <t>МК-15000 Д</t>
  </si>
  <si>
    <t>8931</t>
  </si>
  <si>
    <t>Акт № 20240911-02 от 11.09.2024</t>
  </si>
  <si>
    <t>8932</t>
  </si>
  <si>
    <t>ЛНК</t>
  </si>
  <si>
    <t xml:space="preserve"> Дефектоскоп вихретоковый </t>
  </si>
  <si>
    <t>ВД3-81 (-10...+40)°C, 12 В</t>
  </si>
  <si>
    <t>864</t>
  </si>
  <si>
    <t>ИОН № И-БП17-10-2023/287198488 от 17.10.2023</t>
  </si>
  <si>
    <t>ГС ЦПП</t>
  </si>
  <si>
    <t>Газоанализатор портативный многоканальный</t>
  </si>
  <si>
    <t>GMI PS200</t>
  </si>
  <si>
    <t>359124</t>
  </si>
  <si>
    <t>ИОН № 21Е2307744 от 26.01.2024</t>
  </si>
  <si>
    <t>ЦОиМ</t>
  </si>
  <si>
    <t xml:space="preserve">Весы электронные крановые </t>
  </si>
  <si>
    <t>7907</t>
  </si>
  <si>
    <t>ИОН № И-БП/07-06-2024/345377310 от 07.06.2024</t>
  </si>
  <si>
    <t>ПКУ 60 км, МН230</t>
  </si>
  <si>
    <t>Панель</t>
  </si>
  <si>
    <t>Weintek eMT3070A</t>
  </si>
  <si>
    <t>130400600</t>
  </si>
  <si>
    <t>Акт выявления неисправности АСУТП от 14.07.2023</t>
  </si>
  <si>
    <t>СУ КП 60 км, МН230</t>
  </si>
  <si>
    <t>Батарейный модуль</t>
  </si>
  <si>
    <t>GA31H11001</t>
  </si>
  <si>
    <t>Акт № 20230716_1 от 16.07.2023</t>
  </si>
  <si>
    <t>ИБП</t>
  </si>
  <si>
    <t>Eaton 9PX 5000i</t>
  </si>
  <si>
    <t>GA10H11028</t>
  </si>
  <si>
    <t>Акт № 20230716 от 16.07.2023</t>
  </si>
  <si>
    <t>ЦДНГ</t>
  </si>
  <si>
    <t>ПЛК</t>
  </si>
  <si>
    <t>Овен ПЛК323</t>
  </si>
  <si>
    <t>56370180532145662</t>
  </si>
  <si>
    <t>Акт № 20230730 от 30.07.2023</t>
  </si>
  <si>
    <t>ГКС</t>
  </si>
  <si>
    <t>ГПА-2</t>
  </si>
  <si>
    <t>Allen Bradley Micro850 (080LC5048QBB)</t>
  </si>
  <si>
    <t>57260086</t>
  </si>
  <si>
    <t>Акт выявления неисправности АСУТП от 10.08.2023</t>
  </si>
  <si>
    <t>ВЖК-400</t>
  </si>
  <si>
    <t>КНС 17.28</t>
  </si>
  <si>
    <t>Phoenix Contact. MINI-PS-100-240AC/10-15DC/2 - 2938756</t>
  </si>
  <si>
    <t>0000761811</t>
  </si>
  <si>
    <t>Акт № 20240208 от 08.02.2024</t>
  </si>
  <si>
    <t>ЦЭЭО. Энергоцех</t>
  </si>
  <si>
    <t>Измеритель параметров электробезопасности электроустановок</t>
  </si>
  <si>
    <t>Sonel MPI-525</t>
  </si>
  <si>
    <t>А92269</t>
  </si>
  <si>
    <t>Акт № 20240208-001 от 08.02.2024</t>
  </si>
  <si>
    <t>Испытательный комплекс</t>
  </si>
  <si>
    <t>РЕТОМ-61</t>
  </si>
  <si>
    <t>2271</t>
  </si>
  <si>
    <t>28.05.2024 (забракован)</t>
  </si>
  <si>
    <t>ЦПС</t>
  </si>
  <si>
    <t>ЦППН,  Подогрев нефти ПНК-1,9</t>
  </si>
  <si>
    <t>Датчик контроля пламени</t>
  </si>
  <si>
    <t>СЛ-90-1/24Е ТУ 26.51.53-008-50150673-2019</t>
  </si>
  <si>
    <t>36340</t>
  </si>
  <si>
    <t>Акт № 20230403-013 от 03.04.2023</t>
  </si>
  <si>
    <t>ХАЛ</t>
  </si>
  <si>
    <t>Анализатор-течеискатель</t>
  </si>
  <si>
    <t>АНТ-3М</t>
  </si>
  <si>
    <t>1996</t>
  </si>
  <si>
    <t>Акт № 20240428_02 от 28.04.2024</t>
  </si>
  <si>
    <t>ВЖК</t>
  </si>
  <si>
    <t>АХиБО</t>
  </si>
  <si>
    <t>APC Smart-UPS 2000VA SURT2000XLI</t>
  </si>
  <si>
    <t>QS1232231807</t>
  </si>
  <si>
    <t>Акт выявления неисправности АСУТП от 14.06.2021</t>
  </si>
  <si>
    <t>ЦПиКГ</t>
  </si>
  <si>
    <t>ГКС ВД</t>
  </si>
  <si>
    <t>Winner 3кВА/2.7кВт</t>
  </si>
  <si>
    <t>1100206135B5288300002</t>
  </si>
  <si>
    <t>Акт выявления неисправности АСУТП от 16.11.2022</t>
  </si>
  <si>
    <t xml:space="preserve"> Поз.102.5.1 - Путевой подогреватель сырой нефти (102-П-2-2)</t>
  </si>
  <si>
    <t>33702</t>
  </si>
  <si>
    <t>Акт № 20230403-010 от 03.04.2023</t>
  </si>
  <si>
    <t>44259</t>
  </si>
  <si>
    <t>Акт № 20230403-011 от 03.04.2023</t>
  </si>
  <si>
    <t>36356</t>
  </si>
  <si>
    <t>Акт № 20230403-012 от 03.04.2023</t>
  </si>
  <si>
    <t>ЦПС Расширение</t>
  </si>
  <si>
    <t>Поз. 112</t>
  </si>
  <si>
    <t>Панель оператора</t>
  </si>
  <si>
    <t>Weintek. eMT3120A</t>
  </si>
  <si>
    <t>1607001170</t>
  </si>
  <si>
    <t>Акт выявления неисправности АСУТП от 24.04.2023</t>
  </si>
  <si>
    <t>СУ КП №1 (ПК6+35) МН230</t>
  </si>
  <si>
    <t>130400593</t>
  </si>
  <si>
    <t>ЦЭЭО</t>
  </si>
  <si>
    <t>ЭСН-2, Установка воздуха КИП</t>
  </si>
  <si>
    <t>Электропривод воздушной заслонки</t>
  </si>
  <si>
    <t xml:space="preserve">Lufberg </t>
  </si>
  <si>
    <t>190300080041</t>
  </si>
  <si>
    <t>190300080040</t>
  </si>
  <si>
    <t>Поз.55, ХАЛ</t>
  </si>
  <si>
    <t>Шкаф сушильный</t>
  </si>
  <si>
    <t>Memmert UNE/UFE-400</t>
  </si>
  <si>
    <t>J511.2356</t>
  </si>
  <si>
    <t>Акт № 20240104-01 от 04.01.2024</t>
  </si>
  <si>
    <t>Автоматический пробоотборник</t>
  </si>
  <si>
    <t>ВИРА-3-50-100</t>
  </si>
  <si>
    <t>2623</t>
  </si>
  <si>
    <t>Акт № 20250116-01 от 04.02.2025</t>
  </si>
  <si>
    <t>ГПА-3 БЭТ ГПА</t>
  </si>
  <si>
    <t>Аппаратура контроля вибраций (в комплекте кабель питания - 1 ед.; кабельная сборка Bently Nevada 3300 XL 8mm № 16I01KK1 - 1 ед.; проксиметр Bently Nevada 3300 XL 5/8mm № 330180-51-RU- 1 ед.; кабель питания "Вход ВП-1" № 16132 - 1ед.; кабель питания "Вход ВП-2" № 16129 - 1ед.)</t>
  </si>
  <si>
    <t>ИВ-Д-ПФ-33-Н-4</t>
  </si>
  <si>
    <t>15846</t>
  </si>
  <si>
    <t>Акт № 20250501 от 01.05.2025</t>
  </si>
  <si>
    <t xml:space="preserve">ИБП </t>
  </si>
  <si>
    <t>APC Smart- UPC-750</t>
  </si>
  <si>
    <t>3S1533X06507</t>
  </si>
  <si>
    <t>Акт отказа оборудования №05012024.pdf</t>
  </si>
  <si>
    <t>СКАТ-1202</t>
  </si>
  <si>
    <t xml:space="preserve">Источник бесперебойного питания </t>
  </si>
  <si>
    <t xml:space="preserve">СИПБ1БА.9-11 </t>
  </si>
  <si>
    <t>18574Н0300380</t>
  </si>
  <si>
    <t>Акт отказа ИБП СИПБ1БА.9-11 ОФ ПСП 11.02.2024</t>
  </si>
  <si>
    <t xml:space="preserve">Прибор приемно-контроллерный </t>
  </si>
  <si>
    <t xml:space="preserve">ПКЦ 1101 </t>
  </si>
  <si>
    <t>поз. 214 реестра Акт отказа № 11022024_(1079) ПКЦ-1101 №458 НСПТ</t>
  </si>
  <si>
    <t xml:space="preserve"> ИБП. Блок аккумуляторных батарей. APC</t>
  </si>
  <si>
    <t>Батарейный модуль APC SYBT5</t>
  </si>
  <si>
    <t>5D1335Т01298
5D1335Т01339
5D1335Т01338</t>
  </si>
  <si>
    <t xml:space="preserve">Извещатель пожарный </t>
  </si>
  <si>
    <t>ИП101-07е</t>
  </si>
  <si>
    <t>2024.03.11  АКТ отказа № 11032024_(1084) Газоанализаторы GasAlertMicroClip</t>
  </si>
  <si>
    <t>поз. 247 реестра 2024.06.22 Акт отказа №22062024 газоанализаторы BW № КА421-1140141</t>
  </si>
  <si>
    <t>поз. 248 реестра 2024.06.22 Акт отказа №22062024 газоанализаторы BW № КА421-1133874</t>
  </si>
  <si>
    <t>Блок беспербойного питания</t>
  </si>
  <si>
    <t>ББП-20</t>
  </si>
  <si>
    <t xml:space="preserve"> СКАТ 1200</t>
  </si>
  <si>
    <t xml:space="preserve">Бесконтактный считыватель </t>
  </si>
  <si>
    <t>AL-RD-06</t>
  </si>
  <si>
    <t xml:space="preserve">Усилитель видеосигнала </t>
  </si>
  <si>
    <t>СА101</t>
  </si>
  <si>
    <t xml:space="preserve">Преобразователь интерфейсов </t>
  </si>
  <si>
    <t xml:space="preserve"> С2000-ПИ</t>
  </si>
  <si>
    <t xml:space="preserve">Извещатель ручной </t>
  </si>
  <si>
    <t>ИП535-07е</t>
  </si>
  <si>
    <t>Блок интерфейсный</t>
  </si>
  <si>
    <t xml:space="preserve"> Багульник-М </t>
  </si>
  <si>
    <t>КА421-1140204</t>
  </si>
  <si>
    <t>10.09.2024 - Передано в ИЦСМ</t>
  </si>
  <si>
    <t>КА421-1055343</t>
  </si>
  <si>
    <t>20.09.2024 - отправлен на месторождение (авиа)</t>
  </si>
  <si>
    <t>2024.03.07 акт отказа №20240307-01</t>
  </si>
  <si>
    <t>Акт о неисправности №20240414-01</t>
  </si>
  <si>
    <t>Акт неисправности №20240420-1</t>
  </si>
  <si>
    <t>Вторичный преобразователь газоанализатора</t>
  </si>
  <si>
    <t xml:space="preserve">СГМ ЭРИС-110-МВП </t>
  </si>
  <si>
    <t>в офисе в иркутске</t>
  </si>
  <si>
    <t>Сугак В. Вёл поиски, результат не ясен</t>
  </si>
  <si>
    <t>Акт о неисправности №20240424-06</t>
  </si>
  <si>
    <t xml:space="preserve">Плата интерфейса 71146988 </t>
  </si>
  <si>
    <t>Prosonic Flow 92</t>
  </si>
  <si>
    <t xml:space="preserve">Плата питания 72233849 </t>
  </si>
  <si>
    <t>Плата интерфейса 71146988</t>
  </si>
  <si>
    <t xml:space="preserve">Плата питания 71068605 </t>
  </si>
  <si>
    <t>Газоанализатор (вторичный преобразователь)</t>
  </si>
  <si>
    <t xml:space="preserve">СГМ ЭРИС-110-МВТ </t>
  </si>
  <si>
    <t>СЕНС ЭПВ-2-220</t>
  </si>
  <si>
    <t>44683/39477</t>
  </si>
  <si>
    <t>Плата местного управления</t>
  </si>
  <si>
    <t>КОМ №13408094</t>
  </si>
  <si>
    <t>Z119.146/01-02 41895 28.18 BMK</t>
  </si>
  <si>
    <t>В файлев перечне Томпрела, физически в МКАИР</t>
  </si>
  <si>
    <t>Диагностика</t>
  </si>
  <si>
    <t xml:space="preserve"> 03.02.2025</t>
  </si>
  <si>
    <t>В пути к Заказчику</t>
  </si>
  <si>
    <r>
      <rPr>
        <b/>
        <sz val="12"/>
        <color theme="1"/>
        <rFont val="Arial"/>
        <family val="2"/>
        <charset val="204"/>
      </rPr>
      <t>Не отправлен.</t>
    </r>
    <r>
      <rPr>
        <sz val="10"/>
        <color theme="1"/>
        <rFont val="Arial"/>
        <family val="2"/>
        <charset val="204"/>
      </rPr>
      <t xml:space="preserve"> 30.05.2024
</t>
    </r>
  </si>
  <si>
    <r>
      <rPr>
        <b/>
        <sz val="12"/>
        <color theme="1"/>
        <rFont val="Arial"/>
        <family val="2"/>
        <charset val="204"/>
      </rPr>
      <t>Не отправлен.</t>
    </r>
    <r>
      <rPr>
        <sz val="10"/>
        <color theme="1"/>
        <rFont val="Arial"/>
        <family val="2"/>
        <charset val="204"/>
      </rPr>
      <t xml:space="preserve"> 30.05.2024
подготовлено к отправке кабинет УМАиС</t>
    </r>
  </si>
  <si>
    <t>В АПП есть, а в списке оборудования в ремонте НЕТ</t>
  </si>
  <si>
    <t>Акт тех.экспертизы № А0410-Т-01 от 10.04.2025
о рассмотрении ремонтных работ</t>
  </si>
  <si>
    <t>Подключаемые к скнеру вихретоковые преобразователи в поставке с оборудованием отсутствуют</t>
  </si>
  <si>
    <t>Произведена дефектовка. Запрос ТКП на ЗИП</t>
  </si>
  <si>
    <t>Осуществляем замену?</t>
  </si>
  <si>
    <t>В поставке на ремонт, только вентилятор с электромоторчиком. Осуществляем замену?</t>
  </si>
  <si>
    <t>Установлен одноканавочный шток с резиновым уплотнителем. для корректной работы АП, при использовании
одноканавочного штока необходимо применять полиуретановый
уплотнитель. В двухканавочном штоке применять резиновые уплотнители.</t>
  </si>
  <si>
    <t>не поступал в ремонт</t>
  </si>
  <si>
    <t>передавался 1 батарейный модуль, без заводского номера</t>
  </si>
  <si>
    <t>Рассмотреть приобретение рос аналогов (ТКП и письмо Булашев) либо списание</t>
  </si>
  <si>
    <t>ОБОРУДОВАНИЕ НЕУЧТЕННОЕ В ЕДИНОЙ ФОРМЕ НЕИСПРАВНОГО ОБОРУДОВАНИЯ</t>
  </si>
  <si>
    <t>акт от 30.05.24 уточнить местонахождение</t>
  </si>
  <si>
    <t>не нашел в АПП</t>
  </si>
  <si>
    <t>по акту ПП от 21.05.24 нет в списке у КА</t>
  </si>
  <si>
    <t xml:space="preserve">Ремонт </t>
  </si>
  <si>
    <t>запрос на возможность принятия в ремонт</t>
  </si>
  <si>
    <t>запрос на возможность передачи в рем. в др.организацию</t>
  </si>
  <si>
    <t xml:space="preserve">запрос на возможность приема от др.организации </t>
  </si>
  <si>
    <t>в пути в ремонт</t>
  </si>
  <si>
    <t>на диагностике</t>
  </si>
  <si>
    <t>неремонтнопригодно по причине состояния оборудования</t>
  </si>
  <si>
    <t>нерементнопригодно по причине недостаточности ресурсов</t>
  </si>
  <si>
    <t>ожидание ТКП</t>
  </si>
  <si>
    <t>согласование ТКП заказчиков</t>
  </si>
  <si>
    <t>ожидание ЗИП для ремонта/замены</t>
  </si>
  <si>
    <t>в ремонте</t>
  </si>
  <si>
    <t>в поверке/калибровке после ремонта</t>
  </si>
  <si>
    <t>входной контроль после ремонта</t>
  </si>
  <si>
    <t>не пройден входной ремонт, передано повторно в ремонт</t>
  </si>
  <si>
    <t>работы приняты (подписан АВР)</t>
  </si>
  <si>
    <t xml:space="preserve">Влагомер нефти лабораторный </t>
  </si>
  <si>
    <t>УДВН-1л</t>
  </si>
  <si>
    <t>768</t>
  </si>
  <si>
    <t>2025.05.15 Акт №15052025-1  УДВН-1л № 768</t>
  </si>
  <si>
    <t>998</t>
  </si>
  <si>
    <t>2025.05.15 Акт №15052025-2  УДВН-1л № 998</t>
  </si>
  <si>
    <t>ГДЕ???</t>
  </si>
  <si>
    <t>Ремонт выполнен. В поверке в Ир.ЦСМ. По информации от 21.07.2025г. Имеется большая погрешность. Диапазон работы от от 500 В до 2,5 Кв.
Определить статью затрат</t>
  </si>
  <si>
    <t xml:space="preserve">Прибор исправен (произведен ремонт и поверен                              имитационным методом и на проливочной установке) Выточена новая крышка. Использовано 16 болтов с гайками М8х70 и тд , К50-35 4 шт., маслостойкая резина, потенциометры 2 шт. Перепаян блок управления . Проверен частотный канал и HART. Поверен в ЦСМ. Передан в адрес заказчика. На СБНГКМ не пошел по сигналу, появился нагрев. Возвращен на доработку в МКАИР. Запрос ТКП платы https://ultra-gk.ru/catalog/krohne. </t>
  </si>
  <si>
    <t xml:space="preserve">Требуется проверка шнура USB-TTL через прогу "Терминал" и подключение к компу прогой "Zelio soft" </t>
  </si>
  <si>
    <t>Сенсор исправен, измерительный преобразователь неиспрвен. Требуется Измерительный преобразователь. Модель 5350В. (Протокол FOUNDATION fieldbus, Profi Bus).  Поступит в Иркутск после подтверждения аккредитации - Сентябрь 2025г.</t>
  </si>
  <si>
    <t>Датчик исправен, требуется проверка по протоколу  FOUNDATION fieldbus.(FF H1). Требуется HART коммуникатор 475 с лицензией   на FOUNDATION fieldbus или HART коммуникатор 375 (апгрейт до 475) с поддержкой FOUNDATION fieldbus. Поступит в Иркутск послек подтверждения аккредитации - Сентябрь 2025г.</t>
  </si>
  <si>
    <t>зап.части пришли в иркутск, выполняется замена.Необходима замена трехчастотного сенсорного модуля</t>
  </si>
  <si>
    <t>Требуется сенсор. Требуется калибратор. Поступит в Иркутск послек подтверждения аккредитации - Сентябрь 2025г.</t>
  </si>
  <si>
    <t>Требуется ремонт контактной группы. Требуется калибратор. Поступит в Иркутск послек подтверждения аккредитации - Сентябрь 2025г.</t>
  </si>
  <si>
    <t>КА ожидает согласование закупки нового оборудования</t>
  </si>
  <si>
    <t>КА ожидает ответа</t>
  </si>
  <si>
    <t xml:space="preserve">Не ремонто пригоден, требуется замена электрохимического датчика (импорт, стоимость дороже нового), требуется замена прошивки ПО (изготовитель не предоставляет прошивку из-за санкций) </t>
  </si>
  <si>
    <t>КА ожидает ответ заказчика</t>
  </si>
  <si>
    <t>Прибор отремонтирован. 
Не проходит поверку по причине большой погрешности. Возможно сам сенсор неисправен. Продолжать ремонт, производить запрос ТКП на новое обор-е? Определить статью затрат</t>
  </si>
  <si>
    <t>усечена шкала, если устраивает, то готов к выдаче</t>
  </si>
  <si>
    <t>Заменена АКБ/гальванического элемента. Заменены кнопки включения</t>
  </si>
  <si>
    <t>готов к выдачи</t>
  </si>
  <si>
    <t xml:space="preserve">Контроллер линии светильников </t>
  </si>
  <si>
    <t>Заря КЛС-В</t>
  </si>
  <si>
    <t>Акт неисправности №20250720-01 от 20.07.2025</t>
  </si>
  <si>
    <t xml:space="preserve">Не критично, нет поставок,
ЗИП отсутствует </t>
  </si>
  <si>
    <r>
      <rPr>
        <b/>
        <sz val="11"/>
        <color theme="1"/>
        <rFont val="Calibri"/>
        <family val="2"/>
        <charset val="204"/>
        <scheme val="minor"/>
      </rPr>
      <t xml:space="preserve">не заявляли,
 ЗИП отсутствует </t>
    </r>
    <r>
      <rPr>
        <sz val="11"/>
        <color theme="1"/>
        <rFont val="Calibri"/>
        <family val="2"/>
        <charset val="204"/>
        <scheme val="minor"/>
      </rPr>
      <t xml:space="preserve">
Поступил в ремонт только дисплей - панель управления- некомплект.  Ремонт нерентабелен. Определить статью затрат. </t>
    </r>
  </si>
  <si>
    <r>
      <rPr>
        <b/>
        <sz val="11"/>
        <color theme="1"/>
        <rFont val="Calibri"/>
        <family val="2"/>
        <charset val="204"/>
        <scheme val="minor"/>
      </rPr>
      <t>не заявлялся,
ЗИП отстутсвует.</t>
    </r>
    <r>
      <rPr>
        <sz val="11"/>
        <color theme="1"/>
        <rFont val="Calibri"/>
        <family val="2"/>
        <charset val="204"/>
        <scheme val="minor"/>
      </rPr>
      <t xml:space="preserve">
Сгнили уплотнения. Корозия нарушила механизм счетчика. Корпус поврежден. Ремонт нерентабелен. Определить статью затрат. </t>
    </r>
  </si>
  <si>
    <r>
      <rPr>
        <b/>
        <sz val="11"/>
        <color theme="1"/>
        <rFont val="Calibri"/>
        <family val="2"/>
        <charset val="204"/>
        <scheme val="minor"/>
      </rPr>
      <t>не заявляли, 
ЗИП отсутствует.</t>
    </r>
    <r>
      <rPr>
        <sz val="11"/>
        <color theme="1"/>
        <rFont val="Calibri"/>
        <family val="2"/>
        <charset val="204"/>
        <scheme val="minor"/>
      </rPr>
      <t xml:space="preserve">
Требуется замена капиллярного зонда и силового реле. (производство Польша, аналогов ЗИП нет.)
Ремонт нерентабелен. Определить статью затрат.</t>
    </r>
  </si>
  <si>
    <r>
      <rPr>
        <b/>
        <sz val="11"/>
        <color theme="1"/>
        <rFont val="Calibri"/>
        <family val="2"/>
        <charset val="204"/>
        <scheme val="minor"/>
      </rPr>
      <t xml:space="preserve">не заявляли, 
ЗИП отсутствует </t>
    </r>
    <r>
      <rPr>
        <sz val="11"/>
        <color theme="1"/>
        <rFont val="Calibri"/>
        <family val="2"/>
        <charset val="204"/>
        <scheme val="minor"/>
      </rPr>
      <t xml:space="preserve">
не подлежит ремонту. Запрос ТКП</t>
    </r>
  </si>
  <si>
    <r>
      <rPr>
        <b/>
        <sz val="11"/>
        <color theme="1"/>
        <rFont val="Calibri"/>
        <family val="2"/>
        <charset val="204"/>
        <scheme val="minor"/>
      </rPr>
      <t>не заявляли, 
ЗИП отсутствует.</t>
    </r>
    <r>
      <rPr>
        <sz val="11"/>
        <color theme="1"/>
        <rFont val="Calibri"/>
        <family val="2"/>
        <charset val="204"/>
        <scheme val="minor"/>
      </rPr>
      <t xml:space="preserve">
Погнуты три винта регулировки уровня, заклинивший компенсатор, фокусировка не работает.</t>
    </r>
  </si>
  <si>
    <r>
      <rPr>
        <b/>
        <sz val="11"/>
        <color theme="1"/>
        <rFont val="Calibri"/>
        <family val="2"/>
        <charset val="204"/>
        <scheme val="minor"/>
      </rPr>
      <t>не заявляли, 
ЗИП отсутствует.</t>
    </r>
    <r>
      <rPr>
        <sz val="11"/>
        <color theme="1"/>
        <rFont val="Calibri"/>
        <family val="2"/>
        <charset val="204"/>
        <scheme val="minor"/>
      </rPr>
      <t xml:space="preserve">
Отслоилась графическая матрица, требуется замена аккамуляторной батареи на 3,7 В с контроллером батареи, замена системного аккамулятора С20, датчик кислородаOXYGEN O2-A2,сенсора SNSR 6A-CO MX4. Ремонт нерентабелен. Определить статью затрат</t>
    </r>
  </si>
  <si>
    <r>
      <rPr>
        <b/>
        <sz val="11"/>
        <color theme="1"/>
        <rFont val="Calibri"/>
        <family val="2"/>
        <charset val="204"/>
        <scheme val="minor"/>
      </rPr>
      <t>не заявляли, 
ЗИП отсутствует.</t>
    </r>
    <r>
      <rPr>
        <sz val="11"/>
        <color theme="1"/>
        <rFont val="Calibri"/>
        <family val="2"/>
        <charset val="204"/>
        <scheme val="minor"/>
      </rPr>
      <t xml:space="preserve">
Требуется замена аккамуляторной батареи на 3,7 В с контроллером батареи, замена системного аккамулятора С20, датчик кислородаOXYGEN O2-A2,сенсора SNSR 6A-CO MX4,SNSR 6A-Н2S MX4. Ремонт нерентабелен. Определить статью затрат</t>
    </r>
  </si>
  <si>
    <t>Аналог - Взрывозащищенный громкоговоритель рупорный ГВР-Exd-Прометей исп.02 - 30 W (большей мощности. Запрашиваемый товар снят с производства)</t>
  </si>
  <si>
    <r>
      <rPr>
        <b/>
        <sz val="11"/>
        <color theme="1"/>
        <rFont val="Calibri"/>
        <family val="2"/>
        <charset val="204"/>
        <scheme val="minor"/>
      </rPr>
      <t xml:space="preserve">не заявляли
ЗИП отсутствует 
</t>
    </r>
    <r>
      <rPr>
        <sz val="11"/>
        <color theme="1"/>
        <rFont val="Calibri"/>
        <family val="2"/>
        <charset val="204"/>
        <scheme val="minor"/>
      </rPr>
      <t xml:space="preserve">не критично
не подлежит ремонту. ТКП
</t>
    </r>
  </si>
  <si>
    <t>Готов к отправке.</t>
  </si>
  <si>
    <t xml:space="preserve">
45 800,00
предлагают аналог   источник питания 54Y8980 (по типоразмеру и мощности подходит)</t>
  </si>
  <si>
    <t>63 000,00
Аналог - Взрывозащищенный громкоговоритель рупорный ГВР-Exd-Прометей исп.02 - 30 W (большей мощности. Запрашиваемый товар снят с производства)</t>
  </si>
  <si>
    <t xml:space="preserve">MAG 6000 - 420 000,00 
в комплекте с MAG 6000 в адрес МКАИР передано MAG 3100 (сенсор).
сам сенсор имеет повреждение которые невозможно востановить. Преобразователь вырван "с корнями".
Что требуется рассмотреть к поставке? </t>
  </si>
  <si>
    <t xml:space="preserve">
2 шт на складе</t>
  </si>
  <si>
    <t xml:space="preserve">
6 шт на складе</t>
  </si>
  <si>
    <t>ТКП не предоставлено</t>
  </si>
  <si>
    <t>допустим аналог из наличия на складе</t>
  </si>
  <si>
    <t>92 шт на складе. 
допустим аналог из наличия на складе</t>
  </si>
  <si>
    <t>Стоимость в ТД "Русичи" (приобретение в счет под отчетных средств УМАСИТИБ)</t>
  </si>
  <si>
    <t>МР</t>
  </si>
  <si>
    <t>МР
метрология</t>
  </si>
  <si>
    <t>08.08.25 передано в Сибинтек</t>
  </si>
  <si>
    <t>Направлен в Братский ЦСМ</t>
  </si>
  <si>
    <t>ПОКУПАЕМ</t>
  </si>
  <si>
    <t>Под списание</t>
  </si>
  <si>
    <t>готов к выдаче</t>
  </si>
  <si>
    <t>Требуется проверочный калибратор давления для проверки после ремонта. Прогнозный срок поступления в Иркутск - 30.09.2025</t>
  </si>
  <si>
    <t>Требуется блок пробоподготовки для осуществления проверки работоспосбности в заводских режимах (емкость, насос,двигатель, измерительный зонд с датчиками) Прогнозный срок поступления в Иркутск - 30.09.2025.</t>
  </si>
  <si>
    <t>Требуется (БП7-1А, разьем ПК все закуплено). Прогнозный срок поступления в Иркутск - 30.09.2025.
Контроллер работает,проверены частотные и аналоговые каналы подключения датчиков температуры ТСМ-50.</t>
  </si>
  <si>
    <t>ремонт нерентабелен!</t>
  </si>
  <si>
    <t>15845</t>
  </si>
  <si>
    <t>Акт  П/П  от 10.09.2025</t>
  </si>
  <si>
    <t xml:space="preserve">Аппаратура контроля вибраций </t>
  </si>
  <si>
    <t>отремонтирован</t>
  </si>
  <si>
    <t xml:space="preserve">Вычислитель потребленного тепла </t>
  </si>
  <si>
    <t>ВКТ-5</t>
  </si>
  <si>
    <t>Выдали</t>
  </si>
  <si>
    <t>Передали в ТЮНГД</t>
  </si>
  <si>
    <t>Для дальнейшей диагностики необходим батарейный модуль производства Польши</t>
  </si>
  <si>
    <t>В работе</t>
  </si>
  <si>
    <t>Обзор рынка</t>
  </si>
  <si>
    <t>insol 104</t>
  </si>
  <si>
    <t>Плата дисплея</t>
  </si>
  <si>
    <t xml:space="preserve"> insol 103</t>
  </si>
  <si>
    <t xml:space="preserve"> insol 105</t>
  </si>
  <si>
    <t xml:space="preserve">Плата дисплея </t>
  </si>
  <si>
    <t>insol 107В</t>
  </si>
  <si>
    <t>передавался 1 батарейный модуль, без заводского номера
Подготовить акт на списание</t>
  </si>
  <si>
    <t>Стоимость 125 860 руб. без НДС
Ждём ответ заказчика
дата выставления КП: 02.09.2025</t>
  </si>
  <si>
    <t>140 150 руб. без НДС
Ждём ответ заказчика
дата выставления КП: 08.10.2025</t>
  </si>
  <si>
    <t>Передали в ТЮНГД (без ремонта)</t>
  </si>
  <si>
    <t>73 920 руб. без НДС (за вентилятор)
Ждём ответ заказчика
дата выставления КП: 14.10.2025</t>
  </si>
  <si>
    <t>248764</t>
  </si>
  <si>
    <t>02.10. Повторно в адрес Ультра было направлено письмо о диагностике прибора.
02.10. Поступил ответ: Прибор ещё находится в диагностике, работы должны быть завершены до 10.10.2025.
17.10. направлено ТКП в адрес заказчика. Ждем ответ заказчика.</t>
  </si>
  <si>
    <t>поверен от 02.10.25                                     готов к выдаче</t>
  </si>
  <si>
    <t>Комплектующие поступили в Иркутск. Оборудование в очереде.</t>
  </si>
  <si>
    <t>Передан через ТК ЕВА. 
Накладная № 69460 от 09.09.2025г. Оборудование передано. Подпеисание АКТа приема/передачи ТЮНГД</t>
  </si>
  <si>
    <t>Направлен запрос в адрес завода изготовителя 16.10.
По информациии от завода производителя 28.10, требуется модернизация оборудования в целом. Нет ЗИПа для ремонта плат. На данный момент, уточняется информация от завода.</t>
  </si>
  <si>
    <t>Направлено КП в адрес заказчика 27.10. Ждем ответ заказчика</t>
  </si>
  <si>
    <t>уточнить характеристики, ответ от Заказчика</t>
  </si>
  <si>
    <t>43000 без НДС</t>
  </si>
  <si>
    <t>полный аналог, только старшая модель - Polytron 8310. Готовы к ракссмотрению?</t>
  </si>
  <si>
    <t>50 540 р. Без  НДС</t>
  </si>
  <si>
    <t>2 364 640 р. Без НДС</t>
  </si>
  <si>
    <t>136 080 р. Без НДС</t>
  </si>
  <si>
    <t>38 120 р. Без НДС</t>
  </si>
  <si>
    <t>750 000,00 руб. Без НДС
АНАЛОГ
Плотномер портативный PDM4</t>
  </si>
  <si>
    <t>19 160 р. Без НДС</t>
  </si>
  <si>
    <t>185000 р. Без НДС</t>
  </si>
  <si>
    <t>34 000 р. Без НДС</t>
  </si>
  <si>
    <t>Ожидаем ответ по стоимости. Заполнить ОЛ от заказчика</t>
  </si>
  <si>
    <t>Готов к выдаче
Оборудование упаковано, ждем отправку в г.Ленск</t>
  </si>
  <si>
    <t>Прибор в работе, ориентировочный срок ремонта/поверки 2 месяца, отправка конец декабря</t>
  </si>
  <si>
    <t>Готов к выдаче, находится в Иркутске</t>
  </si>
  <si>
    <t>Передан через ТК ЕВА. 
Накладная № 69460 от 09.09.2025г. Ориентировочное прибытие 27.10.25г.
Ждем акт приема/передачи от ТЮНГД</t>
  </si>
  <si>
    <t>Запрос заводу производителю. Запросить акт дефектовки от заказчика</t>
  </si>
  <si>
    <t>Счетчик электрической энергии</t>
  </si>
  <si>
    <t>Меркурий 230 АМ-03</t>
  </si>
  <si>
    <t>Акт ПП от 14.11.2025</t>
  </si>
  <si>
    <t>Энергомер ЦЭ6803 ВМ</t>
  </si>
  <si>
    <t>Видеорегистратор</t>
  </si>
  <si>
    <t>DMT-EX-2</t>
  </si>
  <si>
    <t>024969</t>
  </si>
  <si>
    <t>024926</t>
  </si>
  <si>
    <t>Линейный привод-актуатор</t>
  </si>
  <si>
    <t>Linak dk-6430</t>
  </si>
  <si>
    <t>36-782-10150B21</t>
  </si>
  <si>
    <t>Плата управления</t>
  </si>
  <si>
    <t>Плата интерфейса</t>
  </si>
  <si>
    <t>Анемометр</t>
  </si>
  <si>
    <t>АСЦ-3</t>
  </si>
  <si>
    <t>AUMA</t>
  </si>
  <si>
    <t>Z043.617/05-04</t>
  </si>
  <si>
    <t>Z043.617/01-05</t>
  </si>
  <si>
    <t>Z119.146/01-01</t>
  </si>
  <si>
    <t>Z043.586/09-04</t>
  </si>
  <si>
    <t>КОММЕНТАРИИ НА 17.11.25г.</t>
  </si>
  <si>
    <t>Оборудование отремонтировано/поверено. Отправлено в г. Иркутск (прибытие ориентировочно 24.11.2025)</t>
  </si>
  <si>
    <t>Поступило оборудование 18.11.25г.</t>
  </si>
  <si>
    <t>Акт № Д-01-2025</t>
  </si>
  <si>
    <t>Акт № Д-02-2025</t>
  </si>
  <si>
    <t>Акт № Д-03-2025</t>
  </si>
  <si>
    <t>Акт № Д-04-2025</t>
  </si>
  <si>
    <t>Акт № Д-05-2025</t>
  </si>
  <si>
    <t>Акт № Д-26-2025</t>
  </si>
  <si>
    <t>Акт № Д-27-2025</t>
  </si>
  <si>
    <t>Акт № Д-28-2025</t>
  </si>
  <si>
    <t>Акт № Д-17-2025</t>
  </si>
  <si>
    <t>Акт № Д-18-2025</t>
  </si>
  <si>
    <t>Акт № Д-19-2025</t>
  </si>
  <si>
    <t>Акт № Д-20-2025</t>
  </si>
  <si>
    <t>Акт № Д-21-2025</t>
  </si>
  <si>
    <t>Акт № Д-22-2025</t>
  </si>
  <si>
    <t>Акт № Д-23-2025</t>
  </si>
  <si>
    <t>Акт № Д-24-2025</t>
  </si>
  <si>
    <t>Акт № Д-25-2025</t>
  </si>
  <si>
    <t>АКТ ДИАГНОСТИКИ</t>
  </si>
  <si>
    <t>?????? 
Задать вопрос по составлению актов и стоимости</t>
  </si>
  <si>
    <t>ЗИП отсутствует</t>
  </si>
  <si>
    <t>Акт № Д-45-2025</t>
  </si>
  <si>
    <t>НЕОБХОДИМО СОГЛАСОВАТЬ С ТЮНГД</t>
  </si>
  <si>
    <t>Прибор отремонтирован. 
Не проходит поверку по причине большой погрешности. Возможно сам сенсор неисправен. Продолжать ремонт, производить запрос ТКП на новое обор-е? СОГЛАСВОТЬ со стороны ТЮНГД</t>
  </si>
  <si>
    <t>Акт № Д-44-2025</t>
  </si>
  <si>
    <t>Акт № Д-43-2025</t>
  </si>
  <si>
    <t>АКТ ДИАГНОСТИКИ
ТКП</t>
  </si>
  <si>
    <t>Акт № Д-06-2025</t>
  </si>
  <si>
    <t>Акт № Д-07-2025</t>
  </si>
  <si>
    <t>Акт № Д-31-2025</t>
  </si>
  <si>
    <t>Акт № Д-08-2025</t>
  </si>
  <si>
    <t>Акт № Д-09-2025</t>
  </si>
  <si>
    <t>Акт № Д-10-2025</t>
  </si>
  <si>
    <t>Акт № Д-11-2025</t>
  </si>
  <si>
    <t>Акт № Д-12-2025</t>
  </si>
  <si>
    <t>Акт № Д-34-2025</t>
  </si>
  <si>
    <t>Акт № Д-35-2025</t>
  </si>
  <si>
    <t>Акт № Д-36-2025</t>
  </si>
  <si>
    <t>Акт № Д-37-2025</t>
  </si>
  <si>
    <t>Акт № Д-38-2025</t>
  </si>
  <si>
    <t>Акт № Д-40-2025</t>
  </si>
  <si>
    <t>Акт № Д-41-2025</t>
  </si>
  <si>
    <t>Акт № Д-42-2025</t>
  </si>
  <si>
    <t>Акт № Д-13-2025</t>
  </si>
  <si>
    <t>Акт № Д-14-2025</t>
  </si>
  <si>
    <t>Акт № Д-15-2025</t>
  </si>
  <si>
    <t>Акт № Д-16-2025</t>
  </si>
  <si>
    <t>Акт № Д-32-2025</t>
  </si>
  <si>
    <t>Акт № Д-33-2025</t>
  </si>
  <si>
    <t>Акт № Д-29-2025</t>
  </si>
  <si>
    <t>Акт № Д-30-2025</t>
  </si>
  <si>
    <t>Акт № Д-39-2025</t>
  </si>
  <si>
    <t>Акт № Д-86-2025</t>
  </si>
  <si>
    <t>Акт № Д-87-2025</t>
  </si>
  <si>
    <t>Акт № Д-88-2025</t>
  </si>
  <si>
    <t>Акт № Д-89-2025</t>
  </si>
  <si>
    <t>Акт № Д-90-2025</t>
  </si>
  <si>
    <t>Акт № Д-91-2025</t>
  </si>
  <si>
    <t>Акт № Д-95-2025</t>
  </si>
  <si>
    <t>Акт № Д-96-2025</t>
  </si>
  <si>
    <t>Акт № Д-97-2025</t>
  </si>
  <si>
    <t>Акт № Д-98-2025</t>
  </si>
  <si>
    <t>Акт № Д-99-2025</t>
  </si>
  <si>
    <t>Акт № Д-100-2025</t>
  </si>
  <si>
    <t>Акт № Д-92-2025</t>
  </si>
  <si>
    <t>Акт № Д-93-2025</t>
  </si>
  <si>
    <t>Акт № Д-94-2025</t>
  </si>
  <si>
    <t>Х2719/Х2719</t>
  </si>
  <si>
    <t>Х2769/Х2769</t>
  </si>
  <si>
    <t>Цена ремонта: 67083,34 руб. без НДС, согласована.
оплатили счет на ремонт. 
Отремонтрован, поверен
06.12.2025 приедет в Иркутск</t>
  </si>
  <si>
    <t>отремонтирован, требуется поверка</t>
  </si>
  <si>
    <t>Комментарии на 28.11.2025</t>
  </si>
  <si>
    <t>КОММЕНТАРИИ НА 01.12.25г.</t>
  </si>
  <si>
    <t>01.12.25 оборудование направлено в Иркутск</t>
  </si>
  <si>
    <t>комментарий от 01.12.25г.</t>
  </si>
  <si>
    <t xml:space="preserve">отремонтирован </t>
  </si>
  <si>
    <t>направить стоимость! 
После совещания 02.12</t>
  </si>
  <si>
    <t>Отремонтирован</t>
  </si>
  <si>
    <t>Прибытие ориентир 04.12.</t>
  </si>
  <si>
    <t>СПИСАНО 
БЕЗ ВОЗВРАТА ЗАКАЗЧИКУ!!!</t>
  </si>
  <si>
    <t>АКТ ДИАГНОСТИКИ!
СПИСАНО 
БЕЗ ВОЗВРАТА ЗАКАЗЧИКУ!!!</t>
  </si>
  <si>
    <t>КОММЕНТАРИИ 
НА 02.12.25г.</t>
  </si>
  <si>
    <t>На согласовании
Газоанализатор ЛИДЕР 04/Горючие газы+О2+СО+Н2S (4 газа) 78 000 р. Без НДС</t>
  </si>
  <si>
    <t>Забрать у Пежемского Кирилла 
чувствительный элемент!
Забрал 02.12. Данный элемент необходим для проверки работоспособности оборудования.</t>
  </si>
  <si>
    <t>К пятнице 05.12. 
предоставить ответ!</t>
  </si>
  <si>
    <t>ТОМРЭЛ ???</t>
  </si>
  <si>
    <t>комментарий от 02.12.25г.</t>
  </si>
  <si>
    <t>Актуализировать стоимость по КП 57043п-25 от 17.11.</t>
  </si>
  <si>
    <t>КОММЕНТАРИИ 
НА 04.12.25г.</t>
  </si>
  <si>
    <t>Ориентировочный срок 
прибытия в Иркутск 25.12</t>
  </si>
  <si>
    <t>Прибытие ориентир 08.12.</t>
  </si>
  <si>
    <t>32 500 р. Без НДС. 
На согласовании с 21.10.</t>
  </si>
  <si>
    <t>Предоставить оставшиеся акты!!! В срок до 08.12.</t>
  </si>
  <si>
    <t>????</t>
  </si>
  <si>
    <t>КОММЕНТАРИИ 
НА 08.12.25г.</t>
  </si>
  <si>
    <t xml:space="preserve">Титратор автоматический
 АТ-710 
</t>
  </si>
  <si>
    <t>5641218</t>
  </si>
  <si>
    <t>комментарий от 08.12.25г.</t>
  </si>
  <si>
    <t>отремонтирован???</t>
  </si>
  <si>
    <t>Прибытие ориентир 09.12.</t>
  </si>
  <si>
    <t>Проведена диагностика
Ждем ЗИП, ориентировочный срок до 30.12.</t>
  </si>
  <si>
    <t>КОММЕНТАРИИ НА 08.12.25г.</t>
  </si>
  <si>
    <t>ориентировочная дата 16.12. ответ от ТААС</t>
  </si>
  <si>
    <t>12.12. предоставление ответа от МКАИР</t>
  </si>
  <si>
    <t>Измеритель параметров электробезопасности электроустановок Sonel MPI-525. Зав.№ А92269, требуется батарейный модуль в сборе.
Батарейный модуль – 45 000 руб. с НДС
+ плата управления – 27 000 руб. с НДС
конец января 2026г.</t>
  </si>
  <si>
    <t>Отремонтирован. 
Поверка</t>
  </si>
  <si>
    <t>без закупа. Списано</t>
  </si>
  <si>
    <t>без закупа. Списано, вернуть в ХАЛ</t>
  </si>
  <si>
    <t>Акт № Д-102-2025</t>
  </si>
  <si>
    <t>Акт № Д-103-2025</t>
  </si>
  <si>
    <t>Акт № Д-85-2025</t>
  </si>
  <si>
    <t>Акт № Д-104-2025</t>
  </si>
  <si>
    <t>Акт № Д-105-2025</t>
  </si>
  <si>
    <t>Акт № Д-106-2025</t>
  </si>
  <si>
    <t>Акт № Д-107-2025</t>
  </si>
  <si>
    <t>Акт № Д-108-2025</t>
  </si>
  <si>
    <t>Акт № Д-109-2025</t>
  </si>
  <si>
    <t>Акт № Д-110-2025</t>
  </si>
  <si>
    <t>Акт № Д-111-2025</t>
  </si>
  <si>
    <t>Акт № Д-112-2025</t>
  </si>
  <si>
    <t>Акт № Д-113-2025</t>
  </si>
  <si>
    <t>Акт № Д-114-2025</t>
  </si>
  <si>
    <t>Акт № Д-115-2025</t>
  </si>
  <si>
    <t>Акт № Д-116-2025</t>
  </si>
  <si>
    <t>Акт № Д-117-2025</t>
  </si>
  <si>
    <t>Акт № Д-118-2025</t>
  </si>
  <si>
    <t>Акт № Д-119-2025</t>
  </si>
  <si>
    <t>Акт № Д-120-2025</t>
  </si>
  <si>
    <t>Акт № Д-121-2025</t>
  </si>
  <si>
    <t>718214</t>
  </si>
  <si>
    <t>Акт № Д-122-2025</t>
  </si>
  <si>
    <t>КОММЕНТАРИИ 
НА 16.12.25г.</t>
  </si>
  <si>
    <t xml:space="preserve">Отремонтирован. </t>
  </si>
  <si>
    <t>ориентировочная дата 16.12. 
ответ от ТААС</t>
  </si>
  <si>
    <t>Поставщик (завод производитель) выставил ценник ЗИП 110 т.р. (по причине того, что данный прибор уже давно вышел из срока эксплуатации и более не выпускается в такой модификации) 
Новый АНТ-3М стоит около 190 т.р.
Осуществляем закуп?</t>
  </si>
  <si>
    <t>Прибыл в Иркутск, готовится к отправке.</t>
  </si>
  <si>
    <t>комментарий актуальный на 09.12
производится закуп.</t>
  </si>
  <si>
    <t xml:space="preserve">Чувствительный элемент получен. Зачем его передали? 
Требовался уровнемер!
Комментарий от ТААС- с месторождения дали информацию, что данный элемент, его достаточно для проверки роботоспособности. </t>
  </si>
  <si>
    <t>Отремонтирован. 
Сдан в поверку</t>
  </si>
  <si>
    <t>???</t>
  </si>
  <si>
    <t>Не подлежит востановлению. Выгорание диодного моста.
Акт дефектовки на оформлении</t>
  </si>
  <si>
    <t>Акт № Д-101-2025
цена ремонта 40000,00 (Аккамуляторы 10 шт. + силовой трансформатор +
 калибровка микропроцессорного контроллера, иначе ИБП не сможет правильно оценивать время работы в автономном режиме.)
Ремонтируем?</t>
  </si>
  <si>
    <t>комментарий от 16.12.25г.</t>
  </si>
  <si>
    <t>готовится к отправке</t>
  </si>
  <si>
    <t xml:space="preserve">списан </t>
  </si>
  <si>
    <t>Ориентировочный срок прибытия в Ленск 15.02.2026г. После ремонта</t>
  </si>
  <si>
    <t>Необходимо ПО ДМТ-СОФТ 
с логином и поролем. В свободном доступе нет.</t>
  </si>
  <si>
    <t>списываем без ремонта.</t>
  </si>
  <si>
    <t>Закупаем новый вентилятор.</t>
  </si>
  <si>
    <t>готовится к отправке, сдан в поверку</t>
  </si>
  <si>
    <t xml:space="preserve"> </t>
  </si>
  <si>
    <t>Не подлежит востановлению.
Акт № Д-124-2025</t>
  </si>
  <si>
    <t>Акт дефектовки???</t>
  </si>
  <si>
    <t>Ожидаем ТКП</t>
  </si>
  <si>
    <t>закуп батарейный модуль в сборе.
Батарейный модуль – 45 000 руб. с НДС
+ плата управления – 27 000 руб. с НДС
поступление орииентировочно конец января 2026г.</t>
  </si>
  <si>
    <t>Необходимо полукчить ответ от ТЮНГД!
Поставщик (завод производитель) выставил ценник ЗИП 110 т.р. (по причине того, что данный прибор уже давно вышел из срока эксплуатации и более не выпускается в такой модификации) 
Новый АНТ-3М стоит около 190 т.р.
АКТУАЛИЗИРОВАТЬ МКАИР НА 2026г.</t>
  </si>
  <si>
    <t>Предоставить информацию в ТЮНГД, 
где прибор в поверке или уже передан в МКАИР?</t>
  </si>
  <si>
    <t>комментарий от 13.01.26г</t>
  </si>
  <si>
    <t>В закупе??? У ТД РУСИЧИ</t>
  </si>
  <si>
    <t>В закупе??? У ТД РУСИЧИ
 отправлен адрекс ТЮНГД (Ленск)
накладная номер…
ориентировочная дата прибытия…</t>
  </si>
  <si>
    <t>ждем ответ от ТЮНГД, т.к. есть оборудование на складе.</t>
  </si>
  <si>
    <t>Продублировать Акт № Д-123-2025</t>
  </si>
  <si>
    <t>Продублировать Акт № Д-113-2026</t>
  </si>
  <si>
    <t>Продублировать акт диагностики!!!</t>
  </si>
  <si>
    <t>У ЦСМ уточнить сроки поверки и сообщить в ТЮНГД</t>
  </si>
  <si>
    <t>Диагностика, уточнить стоимость ремонта и ТКП на поверку</t>
  </si>
  <si>
    <t>АКТ диагностики есть??? Направить в ТЮНГД</t>
  </si>
  <si>
    <t>КОММЕНТАРИИ НА 13.01.26г.</t>
  </si>
  <si>
    <t>Направить акт дефектовки
направить актуальное ТКП</t>
  </si>
  <si>
    <t>Предостовать акт дефектовки. Предоставить актуальный комментарий, что с прибором???</t>
  </si>
  <si>
    <t>Пробоотборник ВИРА-3-50-100 (+ЗИП)</t>
  </si>
  <si>
    <t>ВИРА-3-5-100</t>
  </si>
  <si>
    <t xml:space="preserve">Однопозионное радиолучевое средство обнаружения  </t>
  </si>
  <si>
    <t>Х1683</t>
  </si>
  <si>
    <t>Х1650</t>
  </si>
  <si>
    <t xml:space="preserve"> отправлен адрекс ТЮНГД (Ленск)
накладная № 72858 от 25.12.25г</t>
  </si>
  <si>
    <t>Закуп осуществляется.</t>
  </si>
  <si>
    <t>запрос ТКП, на паузе</t>
  </si>
  <si>
    <t>Передать в ТОМРЭЛ</t>
  </si>
  <si>
    <t xml:space="preserve">Предоставить ТКП по закупу ПО ДМТ-СОФТ, для последующего ремонта. 
Расмотреть закуп нового </t>
  </si>
  <si>
    <t xml:space="preserve">Предоставить ТКП по закупу ПО ДМТ-СОФТ, для последующего ремонта.
Расмотреть закуп нового </t>
  </si>
  <si>
    <t>Предоставить ТКП по закупу нового привода. УСКОРИТЬ!!!</t>
  </si>
  <si>
    <t>на паузе</t>
  </si>
  <si>
    <t>списан</t>
  </si>
  <si>
    <t>06.02.26 предоставить ответ Кириллу</t>
  </si>
  <si>
    <t>направлен заказчику</t>
  </si>
  <si>
    <t>ремонт срочно, предоставить стоимость
06.02.26 предоставить ответ Кириллу</t>
  </si>
  <si>
    <t>Протокол FOUNDATION fieldbu закуп, ткп</t>
  </si>
  <si>
    <t>направить ОЛ на Кирилла</t>
  </si>
  <si>
    <t>вернули заказчику</t>
  </si>
  <si>
    <t>списать</t>
  </si>
  <si>
    <t>на складе в иркутске</t>
  </si>
  <si>
    <t>35057</t>
  </si>
  <si>
    <t>отремонтирован, в поверку</t>
  </si>
  <si>
    <t>Коралл СМ-У1</t>
  </si>
  <si>
    <t xml:space="preserve">Уровнемер Альбатрос </t>
  </si>
  <si>
    <t xml:space="preserve">Альбатрос </t>
  </si>
  <si>
    <t>Вычислитель УВП-280А.01</t>
  </si>
  <si>
    <t>Устройство измерительное IMS-1042</t>
  </si>
  <si>
    <t>ЭИП</t>
  </si>
  <si>
    <t xml:space="preserve"> УВП-280А.01</t>
  </si>
  <si>
    <t xml:space="preserve"> IMS-1042</t>
  </si>
  <si>
    <t>CSI2130</t>
  </si>
  <si>
    <t>Aнализатор CSI2130</t>
  </si>
  <si>
    <t>ПКУ БАЖК.467219..009</t>
  </si>
  <si>
    <t>Волновод уровнемера Insol 901/1/3225</t>
  </si>
  <si>
    <t>Волновод уровнемера Insol 901/1/2300</t>
  </si>
  <si>
    <t>Кабель жгуты с ШР</t>
  </si>
  <si>
    <t>КОММЕНТАРИИ 
НА 17.02.26г.</t>
  </si>
  <si>
    <t>КОММЕНТАРИИ 
НА 13.02.26г.</t>
  </si>
  <si>
    <t>Акт № Д-003-2026 от 12.02.2026</t>
  </si>
  <si>
    <t>Акт № Д-004-2026 от 12.02.2026</t>
  </si>
  <si>
    <t>закуп батарейный модуль в сборе.
Батарейный модуль – 45 000 руб. с НДС
+ плата управления – 27 000 руб. с НДС
поступление орииентировочно март 2026г.</t>
  </si>
  <si>
    <t>ПО информации от завода производителя, 
с пробоотборником должны были передать Блок програмного управления.Рудометов на контрроле.</t>
  </si>
  <si>
    <t>Eaton</t>
  </si>
  <si>
    <t>В поверке, сообщить срок окончания</t>
  </si>
  <si>
    <t>вышли из строя</t>
  </si>
  <si>
    <t>неремонтопригодный акт</t>
  </si>
  <si>
    <t>в поверке</t>
  </si>
  <si>
    <t xml:space="preserve">ЗАКУП ВЕНТИЛЯТОРА 73 920 руб. без НДС </t>
  </si>
  <si>
    <t>ПЕРЕДАНО</t>
  </si>
  <si>
    <t xml:space="preserve">Новый АНТ-3М стоит  210 т.р.
Необходимо полукчить ответ от ТЮНГД! Закупаем?
</t>
  </si>
  <si>
    <t>АКТ</t>
  </si>
  <si>
    <t>МКАИР предоставить акт.
 Передано на завод производитель .Требуется модернизация ПО на заводе изготовителя (не читается архив с 2020 г, техническая ошибка ), замена лицевой панели.калиброка и поверка</t>
  </si>
  <si>
    <t>СПИСАН</t>
  </si>
  <si>
    <t>276912,00 цена с НДС
Срок поставки 30 рабочих дней.
Согласно КП от17.02. (5341)
Необходимо полукчить ответ от ТЮНГД! 
По сообщению от ТЮНГД от 25.02.требуется подготовить оборудование к передаче. Ответ МКАИР - готовность к передаче в срок до 04.03.26г.
Направить в ТЮНГД закрытие за диагностику</t>
  </si>
  <si>
    <t>По сообщению от ТЮНГД от 25.02.требуется подготовить оборудование к передаче. Ответ МКАИР - готовность к передаче в срок до 04.03.26г.
Направить в ТЮНГД закрытие за диагностику</t>
  </si>
  <si>
    <t xml:space="preserve"> отправлен адрекс ТЮНГД (Ленск)
накладная № 72858 от 25.12.25г
Направить в ТЮНГД закрытие за ремонт</t>
  </si>
  <si>
    <t>Акт № Д-003-2026 от 12.02.2026
Направить в ТЮНГД закрытие за диагностику</t>
  </si>
  <si>
    <t>ЗАКУП ВЕНТИЛЯТОРА 73 920 руб. без НДС
срок поставки - 25.03.2026г.
 От МКАИР ускорить поставку, без задержек от поставщика.</t>
  </si>
  <si>
    <t>Сдан в поверку в ИрЦСМ.
Срок поверки до 13.03.26г.</t>
  </si>
  <si>
    <t>Акт № Д-004-2026 от 12.02.2026
По сообщению от ТЮНГД от 25.02.требуется подготовить оборудование к передаче. Ответ МКАИР - готовность к передаче в срок до 04.03.26г.
Направить в ТЮНГД закрытие за диагностику</t>
  </si>
  <si>
    <t>Закуп батарейный модуль в сборе.
Батарейный модуль – 45 000 руб. с НДС
+ плата управления – 27 000 руб. с НДС
поступление орииентировочно март 2026г.
От МКАИР ускорить поставку, без задержек от поставщика.</t>
  </si>
  <si>
    <t>Продублировать Акт № Д-123-2026</t>
  </si>
  <si>
    <t>Продублировать Акт № Д-113-2027</t>
  </si>
  <si>
    <t>Предварительно от ИНСОЛ поступило следующее:
Касательно восстановления: вы присылаете нам неисправные приборы, мы меняем на них электронику и если требуется волновод. 
Ориентировочно стоимость замены будет 115 000 -150 000 рублей. Можем их поверить у нас.
ИНСОЛ сроки на уточнеии.</t>
  </si>
  <si>
    <t>138000,00 руб. за 1 ед.
Цена с НДС, с огласно полученных ТКП от 19.02.26г. (3372107, 10475)
Срок производства и поставки- 30 рабочих дней
Оборудование будет готово к отгрузке  в срок до 04.03.26г.
Направить в ТЮНГД закрытие за диагностику</t>
  </si>
  <si>
    <t>Предоставлено альтернативное предложениие. На рассмотрении ТЮНГД.
ЗАКУП АНАЛОГА, от ТААС предоставлен следующий HBA5-2-F-150-1251-0011, вместо Linar dr-6430 norddbord 4500 N
не можем найти аналог!!!</t>
  </si>
  <si>
    <t>Срок ТОМРЭЛ 31.03.26г.</t>
  </si>
  <si>
    <t>Срок окончания поверки перенесен на 10-15.03.</t>
  </si>
  <si>
    <t>.24.02. проведено совещание с метрологами ТЮНГД. Повторно довели информацию о необходимости предоставления БПУ.
В рабочем порядке доведена информация от ТЮНГД, что пробоотборник предоставлен не тот, что ранее был на ремонте у МКАИР. К нему претензий нет. Направлен другой пробоотборник на ремонт, что в целом ситуацию не меняет, требуется БПУ.
МКАИР ждет поставку БПУ. (РУДОМЕТОВ)</t>
  </si>
  <si>
    <t>512400,00 руб. с НДС Новый.
Уровнемер направлен без вторички.
Проводится диагностика
Направить Акт до 03.03.</t>
  </si>
  <si>
    <t>Отправлено на ремонт завода производителя,
 по причине того, что ЗИП не продается сервисным компаниям.Ждем ТКП</t>
  </si>
  <si>
    <t>Блок управления ЭИП</t>
  </si>
  <si>
    <t>Датчик расхода ДРС-25М</t>
  </si>
  <si>
    <t>Расходомер- счетчик вихревой ДРС.Т-25А</t>
  </si>
  <si>
    <t>Датчик расхода ДРС-100М</t>
  </si>
  <si>
    <t>ДРС-25М</t>
  </si>
  <si>
    <t>ДРС-100М</t>
  </si>
  <si>
    <t>ДРС.Т-25А</t>
  </si>
  <si>
    <t>Не поступил в работу от Сибинтек. 
Идет с Новосибирска в Тюмень, по акту № 0219-Т-01 от 19.02.26г.</t>
  </si>
  <si>
    <t>ДКГ</t>
  </si>
  <si>
    <t>В работе по акту 1125-И-01 от 25.11.25</t>
  </si>
  <si>
    <t>Дозиметр индивидуальный
рентгеновского и гамма-излучения ДКГ</t>
  </si>
  <si>
    <t>Контроллер линии светильников Заря
КЛС-В</t>
  </si>
  <si>
    <t xml:space="preserve"> Заря
КЛС-В</t>
  </si>
  <si>
    <t>Не подлежит востановлению. Запро ТКП</t>
  </si>
  <si>
    <t>Не подлежит востановлению
Сумма 94900,00 на согласование с ТЮНГД</t>
  </si>
  <si>
    <t>2623
 (не верный зав.номер)</t>
  </si>
  <si>
    <t xml:space="preserve">направить </t>
  </si>
  <si>
    <t>СПИСАН!!!
Направить в ТЮНГД закрытие за диагностику</t>
  </si>
  <si>
    <t>Ждем ЗИП для ремонта
УГЛОВЫЕ ШР!!!!!!!</t>
  </si>
  <si>
    <t>отремонтирован в поверке
срок сдачи с поверки 06.03.</t>
  </si>
  <si>
    <t>В закрытие, диагностика</t>
  </si>
  <si>
    <t>В закрытие, ремонт и поверка</t>
  </si>
  <si>
    <t>Направить на завод изготовитель</t>
  </si>
  <si>
    <t>Направить на завод 
изготовитель</t>
  </si>
  <si>
    <t>С-ЕЖБ/19-02-2026/505846527</t>
  </si>
  <si>
    <t>С-ЕЖБ/19-02-2026/505846526</t>
  </si>
  <si>
    <t>С-ЕЖБ/19-02-2026/505846525</t>
  </si>
  <si>
    <t xml:space="preserve">Не подлежит востановлению. Направить акт </t>
  </si>
  <si>
    <t>КОММЕНТАРИИ НА 09.03.26г.</t>
  </si>
  <si>
    <t>комментарий от 09.03.26г</t>
  </si>
  <si>
    <t>КОММЕНТАРИИ 
НА 09.03.26г.</t>
  </si>
  <si>
    <t>218000,00 с НДС
Срок поставки 80 к.д.
Направить Акт до 03.03.</t>
  </si>
  <si>
    <t>218000 с НДС
Срок поставки 80 к.д.
Направить Акт до 03.03.</t>
  </si>
  <si>
    <t xml:space="preserve">Согласно КП, стоимость новой рулетки - 1 162 000 т.р. Без НДС. Срок поставки 90 -120 дней.
Вышло из строя:
Лента - 250000,00 без НДС
Датчик - 390000,00 без НДС </t>
  </si>
  <si>
    <t>В поставке отсутвуют вибродатчики!</t>
  </si>
  <si>
    <t>Списать. АКТ</t>
  </si>
  <si>
    <t>отправлен заказчику</t>
  </si>
  <si>
    <t>направлен в адрес завода производителя, с целью замены чувствительного элемента, выполнить калибровку.э Ждем ответ от завода производителя</t>
  </si>
  <si>
    <t>НЕРЕМОНТНЫЙ!!!</t>
  </si>
  <si>
    <t>прибыл в Тюмень 17.03.26г.</t>
  </si>
  <si>
    <t>КОММЕНТАРИИ 
НА 17.03.26г.</t>
  </si>
  <si>
    <t>ведутся обсуждения с ИНСОЛ</t>
  </si>
  <si>
    <t>сдача с поверки 27.03.</t>
  </si>
  <si>
    <t>задержка в ЦСМ
ориентир 23.03</t>
  </si>
  <si>
    <t>БПУ забираем 18.03.
оперативно передаем в адрес завода производителя для настройки</t>
  </si>
  <si>
    <t>устраняется порыв кабеля для лучшей работы.
Срок готовности 23.03.</t>
  </si>
  <si>
    <t>КОММЕНТАРИИ 
НА 25.03.26г.</t>
  </si>
  <si>
    <t>переданы на завод производитель 20.03.26г.</t>
  </si>
  <si>
    <t>в закупе</t>
  </si>
  <si>
    <t>в иркутске с поверки</t>
  </si>
  <si>
    <t>в ремонте
передан на завод, приход 27.03.</t>
  </si>
  <si>
    <t>ДУУ4МА</t>
  </si>
  <si>
    <t>15608/4144</t>
  </si>
  <si>
    <t>21270/1566</t>
  </si>
  <si>
    <t>22748/4939</t>
  </si>
  <si>
    <t>22749/4851</t>
  </si>
  <si>
    <t>23257/2281</t>
  </si>
  <si>
    <t>23259/2270</t>
  </si>
  <si>
    <t>23258/6176</t>
  </si>
  <si>
    <t>15663/4154</t>
  </si>
  <si>
    <t>21271/2274</t>
  </si>
  <si>
    <t>21269/2272</t>
  </si>
  <si>
    <t>25000/1558</t>
  </si>
  <si>
    <t>Счетчик-расходомер накладной Prosonic Flow93</t>
  </si>
  <si>
    <t>ИБП UPS IPPON Smart Winner</t>
  </si>
  <si>
    <t>Коммутатор Phoenix Contact</t>
  </si>
  <si>
    <t>Извещатель ИП 330/3-20-А1</t>
  </si>
  <si>
    <t>319АА02000</t>
  </si>
  <si>
    <t>SW3000BNXX11131123152</t>
  </si>
  <si>
    <t>004517</t>
  </si>
  <si>
    <t>004557</t>
  </si>
  <si>
    <t>004520</t>
  </si>
  <si>
    <t>004516</t>
  </si>
  <si>
    <t>004559</t>
  </si>
  <si>
    <t>004550</t>
  </si>
  <si>
    <t>004546</t>
  </si>
  <si>
    <t>Prosonic Flow93</t>
  </si>
  <si>
    <t xml:space="preserve"> IPPON Smart Winner</t>
  </si>
  <si>
    <t xml:space="preserve"> Phoenix Contact</t>
  </si>
  <si>
    <t>ИП 330/3-20-А1</t>
  </si>
  <si>
    <t>В работе по акту от 19.03.26г.</t>
  </si>
  <si>
    <t xml:space="preserve">Передан в адрес завода изготовителя </t>
  </si>
  <si>
    <t>передан в адрес филиала в г. Нижневартовск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</si>
</sst>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8"/>
      <name val="Arial"/>
      <family val="2"/>
      <charset val="204"/>
    </font>
    <font>
      <b/>
      <sz val="18"/>
      <color theme="1"/>
      <name val="Arial"/>
      <family val="2"/>
      <charset val="204"/>
    </font>
    <font>
      <b/>
      <sz val="10"/>
      <name val="Arial"/>
      <family val="2"/>
      <charset val="204"/>
    </font>
    <font>
      <b/>
      <sz val="12"/>
      <name val="Arial"/>
      <family val="2"/>
      <charset val="204"/>
    </font>
    <font>
      <b/>
      <sz val="12"/>
      <color theme="1"/>
      <name val="Arial"/>
      <family val="2"/>
      <charset val="204"/>
    </font>
    <font>
      <b/>
      <sz val="10"/>
      <color rgb="FFFF0000"/>
      <name val="Arial"/>
      <family val="2"/>
      <charset val="204"/>
    </font>
    <font>
      <sz val="10"/>
      <color theme="1"/>
      <name val="Arial"/>
      <family val="2"/>
      <charset val="204"/>
    </font>
    <font>
      <sz val="10"/>
      <name val="Arial Cyr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color theme="1"/>
      <name val="Arial"/>
      <family val="2"/>
      <charset val="204"/>
    </font>
    <font>
      <sz val="12"/>
      <color theme="1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0" fillId="0" borderId="0"/>
    <xf numFmtId="0" fontId="1" fillId="0" borderId="0"/>
    <xf numFmtId="0" fontId="24" fillId="0" borderId="0" applyNumberFormat="0" applyFill="0" applyBorder="0" applyAlignment="0" applyProtection="0"/>
  </cellStyleXfs>
  <cellXfs count="293">
    <xf numFmtId="0" fontId="0" fillId="0" borderId="0" xfId="0"/>
    <xf numFmtId="0" fontId="0" fillId="0" borderId="0" xfId="0" applyAlignment="1">
      <alignment wrapText="1"/>
    </xf>
    <xf numFmtId="0" fontId="5" fillId="4" borderId="1" xfId="1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wrapText="1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6" fillId="2" borderId="4" xfId="1" applyFont="1" applyFill="1" applyBorder="1" applyAlignment="1" applyProtection="1">
      <alignment horizontal="center" vertical="center" wrapText="1"/>
      <protection locked="0"/>
    </xf>
    <xf numFmtId="0" fontId="9" fillId="0" borderId="7" xfId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7" fillId="3" borderId="1" xfId="1" applyFont="1" applyFill="1" applyBorder="1" applyAlignment="1" applyProtection="1">
      <alignment horizontal="center" vertical="center" wrapText="1"/>
      <protection locked="0"/>
    </xf>
    <xf numFmtId="1" fontId="0" fillId="0" borderId="1" xfId="0" applyNumberFormat="1" applyBorder="1" applyAlignment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wrapText="1"/>
    </xf>
    <xf numFmtId="0" fontId="5" fillId="7" borderId="1" xfId="1" applyFont="1" applyFill="1" applyBorder="1" applyAlignment="1" applyProtection="1">
      <alignment horizontal="center" vertical="center" wrapText="1"/>
      <protection locked="0"/>
    </xf>
    <xf numFmtId="0" fontId="5" fillId="3" borderId="5" xfId="1" applyFont="1" applyFill="1" applyBorder="1" applyAlignment="1" applyProtection="1">
      <alignment vertical="center" wrapText="1"/>
      <protection locked="0"/>
    </xf>
    <xf numFmtId="0" fontId="12" fillId="0" borderId="0" xfId="0" applyFont="1"/>
    <xf numFmtId="0" fontId="0" fillId="8" borderId="9" xfId="0" applyFill="1" applyBorder="1" applyAlignment="1">
      <alignment horizontal="center" wrapText="1"/>
    </xf>
    <xf numFmtId="0" fontId="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13" fillId="5" borderId="1" xfId="0" applyFont="1" applyFill="1" applyBorder="1" applyAlignment="1" applyProtection="1">
      <alignment horizontal="center" vertical="center" wrapText="1"/>
      <protection locked="0"/>
    </xf>
    <xf numFmtId="0" fontId="13" fillId="6" borderId="1" xfId="0" applyFont="1" applyFill="1" applyBorder="1" applyAlignment="1" applyProtection="1">
      <alignment horizontal="center" vertical="center" wrapText="1"/>
      <protection locked="0"/>
    </xf>
    <xf numFmtId="0" fontId="14" fillId="6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49" fontId="16" fillId="0" borderId="1" xfId="0" applyNumberFormat="1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49" fontId="17" fillId="0" borderId="1" xfId="1" applyNumberFormat="1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14" fontId="9" fillId="0" borderId="1" xfId="1" applyNumberFormat="1" applyFont="1" applyBorder="1" applyAlignment="1">
      <alignment horizontal="center" vertical="center" wrapText="1"/>
    </xf>
    <xf numFmtId="14" fontId="9" fillId="9" borderId="1" xfId="1" applyNumberFormat="1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/>
    </xf>
    <xf numFmtId="0" fontId="0" fillId="8" borderId="7" xfId="0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49" fontId="0" fillId="0" borderId="1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0" fontId="0" fillId="8" borderId="0" xfId="0" applyFill="1" applyAlignment="1">
      <alignment wrapText="1"/>
    </xf>
    <xf numFmtId="0" fontId="0" fillId="8" borderId="9" xfId="0" applyFill="1" applyBorder="1" applyAlignment="1">
      <alignment wrapText="1"/>
    </xf>
    <xf numFmtId="0" fontId="9" fillId="5" borderId="1" xfId="0" applyFont="1" applyFill="1" applyBorder="1" applyAlignment="1">
      <alignment horizontal="center" vertical="center" wrapText="1"/>
    </xf>
    <xf numFmtId="14" fontId="9" fillId="5" borderId="1" xfId="1" applyNumberFormat="1" applyFont="1" applyFill="1" applyBorder="1" applyAlignment="1">
      <alignment horizontal="center" vertical="center" wrapText="1"/>
    </xf>
    <xf numFmtId="49" fontId="13" fillId="0" borderId="1" xfId="0" applyNumberFormat="1" applyFont="1" applyBorder="1" applyAlignment="1" applyProtection="1">
      <alignment horizontal="center" vertical="center" wrapText="1"/>
      <protection locked="0"/>
    </xf>
    <xf numFmtId="0" fontId="9" fillId="5" borderId="1" xfId="1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1" fontId="9" fillId="6" borderId="1" xfId="0" applyNumberFormat="1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 wrapText="1"/>
    </xf>
    <xf numFmtId="0" fontId="9" fillId="6" borderId="2" xfId="0" applyFont="1" applyFill="1" applyBorder="1" applyAlignment="1">
      <alignment horizontal="center" vertical="center" wrapText="1"/>
    </xf>
    <xf numFmtId="49" fontId="16" fillId="6" borderId="1" xfId="0" applyNumberFormat="1" applyFont="1" applyFill="1" applyBorder="1" applyAlignment="1">
      <alignment horizontal="center" vertical="center" wrapText="1"/>
    </xf>
    <xf numFmtId="49" fontId="0" fillId="6" borderId="2" xfId="0" applyNumberForma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13" fillId="0" borderId="4" xfId="0" applyFont="1" applyBorder="1" applyAlignment="1" applyProtection="1">
      <alignment horizontal="center" vertical="center" wrapText="1"/>
      <protection locked="0"/>
    </xf>
    <xf numFmtId="0" fontId="9" fillId="11" borderId="1" xfId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8" borderId="0" xfId="0" applyFill="1" applyAlignment="1">
      <alignment horizontal="center" wrapText="1"/>
    </xf>
    <xf numFmtId="14" fontId="0" fillId="11" borderId="1" xfId="0" applyNumberFormat="1" applyFill="1" applyBorder="1" applyAlignment="1">
      <alignment horizontal="center" vertical="center"/>
    </xf>
    <xf numFmtId="0" fontId="0" fillId="11" borderId="1" xfId="0" applyFill="1" applyBorder="1" applyAlignment="1">
      <alignment wrapText="1"/>
    </xf>
    <xf numFmtId="0" fontId="0" fillId="8" borderId="0" xfId="0" applyFill="1"/>
    <xf numFmtId="14" fontId="0" fillId="6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8" borderId="9" xfId="0" applyFill="1" applyBorder="1"/>
    <xf numFmtId="0" fontId="0" fillId="5" borderId="1" xfId="0" applyFill="1" applyBorder="1"/>
    <xf numFmtId="0" fontId="0" fillId="8" borderId="11" xfId="0" applyFill="1" applyBorder="1" applyAlignment="1">
      <alignment wrapText="1"/>
    </xf>
    <xf numFmtId="14" fontId="0" fillId="5" borderId="1" xfId="0" applyNumberFormat="1" applyFill="1" applyBorder="1" applyAlignment="1">
      <alignment horizontal="center" vertical="center"/>
    </xf>
    <xf numFmtId="0" fontId="18" fillId="5" borderId="7" xfId="1" applyFont="1" applyFill="1" applyBorder="1" applyAlignment="1">
      <alignment horizontal="left" wrapText="1"/>
    </xf>
    <xf numFmtId="0" fontId="18" fillId="5" borderId="1" xfId="0" applyFont="1" applyFill="1" applyBorder="1" applyAlignment="1">
      <alignment horizontal="left" wrapText="1"/>
    </xf>
    <xf numFmtId="49" fontId="18" fillId="5" borderId="1" xfId="0" applyNumberFormat="1" applyFont="1" applyFill="1" applyBorder="1" applyAlignment="1">
      <alignment horizontal="left" wrapText="1"/>
    </xf>
    <xf numFmtId="0" fontId="0" fillId="5" borderId="0" xfId="0" applyFill="1" applyAlignment="1">
      <alignment wrapText="1"/>
    </xf>
    <xf numFmtId="1" fontId="0" fillId="5" borderId="1" xfId="0" applyNumberFormat="1" applyFill="1" applyBorder="1" applyAlignment="1">
      <alignment horizontal="center" vertical="center" wrapText="1"/>
    </xf>
    <xf numFmtId="0" fontId="0" fillId="5" borderId="0" xfId="0" applyFill="1"/>
    <xf numFmtId="0" fontId="0" fillId="0" borderId="0" xfId="0" applyAlignment="1">
      <alignment horizontal="center" vertical="center" wrapText="1"/>
    </xf>
    <xf numFmtId="49" fontId="17" fillId="6" borderId="1" xfId="1" applyNumberFormat="1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0" fillId="0" borderId="7" xfId="0" applyNumberFormat="1" applyBorder="1" applyAlignment="1">
      <alignment horizontal="center" vertical="center" wrapText="1"/>
    </xf>
    <xf numFmtId="0" fontId="0" fillId="0" borderId="7" xfId="0" applyBorder="1" applyAlignment="1">
      <alignment wrapText="1"/>
    </xf>
    <xf numFmtId="0" fontId="0" fillId="0" borderId="7" xfId="0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wrapText="1"/>
    </xf>
    <xf numFmtId="4" fontId="0" fillId="0" borderId="1" xfId="0" applyNumberFormat="1" applyBorder="1" applyAlignment="1">
      <alignment horizontal="center" vertical="center" wrapText="1"/>
    </xf>
    <xf numFmtId="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wrapText="1"/>
    </xf>
    <xf numFmtId="0" fontId="9" fillId="0" borderId="7" xfId="1" applyFont="1" applyBorder="1" applyAlignment="1">
      <alignment horizontal="center" wrapText="1"/>
    </xf>
    <xf numFmtId="0" fontId="18" fillId="12" borderId="1" xfId="0" applyFont="1" applyFill="1" applyBorder="1" applyAlignment="1">
      <alignment horizontal="center" vertical="center" wrapText="1"/>
    </xf>
    <xf numFmtId="0" fontId="5" fillId="4" borderId="1" xfId="1" applyFont="1" applyFill="1" applyBorder="1" applyAlignment="1" applyProtection="1">
      <alignment horizontal="center" vertical="top" wrapText="1"/>
      <protection locked="0"/>
    </xf>
    <xf numFmtId="0" fontId="0" fillId="5" borderId="1" xfId="0" applyFill="1" applyBorder="1" applyAlignment="1">
      <alignment horizontal="center" vertical="top" wrapText="1"/>
    </xf>
    <xf numFmtId="49" fontId="0" fillId="0" borderId="1" xfId="0" applyNumberFormat="1" applyBorder="1" applyAlignment="1">
      <alignment horizontal="center" vertical="top" wrapText="1"/>
    </xf>
    <xf numFmtId="0" fontId="0" fillId="0" borderId="0" xfId="0" applyAlignment="1">
      <alignment vertical="top"/>
    </xf>
    <xf numFmtId="4" fontId="0" fillId="0" borderId="1" xfId="0" applyNumberFormat="1" applyBorder="1" applyAlignment="1">
      <alignment horizontal="center" vertical="top" wrapText="1"/>
    </xf>
    <xf numFmtId="49" fontId="17" fillId="0" borderId="7" xfId="1" applyNumberFormat="1" applyFont="1" applyBorder="1" applyAlignment="1">
      <alignment horizontal="center" vertical="center" wrapText="1"/>
    </xf>
    <xf numFmtId="14" fontId="9" fillId="9" borderId="7" xfId="1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top" wrapText="1"/>
    </xf>
    <xf numFmtId="1" fontId="9" fillId="5" borderId="1" xfId="0" applyNumberFormat="1" applyFont="1" applyFill="1" applyBorder="1" applyAlignment="1">
      <alignment horizontal="center" vertical="center" wrapText="1"/>
    </xf>
    <xf numFmtId="49" fontId="0" fillId="7" borderId="1" xfId="0" applyNumberFormat="1" applyFill="1" applyBorder="1" applyAlignment="1">
      <alignment horizontal="center" vertical="center" wrapText="1"/>
    </xf>
    <xf numFmtId="14" fontId="0" fillId="7" borderId="1" xfId="0" applyNumberFormat="1" applyFill="1" applyBorder="1" applyAlignment="1">
      <alignment horizontal="center" vertical="center" wrapText="1"/>
    </xf>
    <xf numFmtId="1" fontId="0" fillId="7" borderId="1" xfId="0" applyNumberFormat="1" applyFill="1" applyBorder="1" applyAlignment="1">
      <alignment horizontal="center" vertical="center" wrapText="1"/>
    </xf>
    <xf numFmtId="0" fontId="0" fillId="7" borderId="1" xfId="0" applyFill="1" applyBorder="1" applyAlignment="1">
      <alignment wrapText="1"/>
    </xf>
    <xf numFmtId="49" fontId="0" fillId="7" borderId="1" xfId="0" applyNumberFormat="1" applyFill="1" applyBorder="1" applyAlignment="1">
      <alignment horizontal="center" vertical="center"/>
    </xf>
    <xf numFmtId="0" fontId="0" fillId="7" borderId="1" xfId="0" applyFill="1" applyBorder="1" applyAlignment="1">
      <alignment horizontal="center" wrapText="1"/>
    </xf>
    <xf numFmtId="14" fontId="0" fillId="7" borderId="1" xfId="0" applyNumberFormat="1" applyFill="1" applyBorder="1" applyAlignment="1">
      <alignment horizontal="center" vertical="center"/>
    </xf>
    <xf numFmtId="0" fontId="0" fillId="5" borderId="7" xfId="0" applyFill="1" applyBorder="1" applyAlignment="1">
      <alignment horizontal="center" wrapText="1"/>
    </xf>
    <xf numFmtId="0" fontId="5" fillId="7" borderId="2" xfId="1" applyFont="1" applyFill="1" applyBorder="1" applyAlignment="1" applyProtection="1">
      <alignment horizontal="center" vertical="center" wrapText="1"/>
      <protection locked="0"/>
    </xf>
    <xf numFmtId="0" fontId="5" fillId="4" borderId="2" xfId="1" applyFont="1" applyFill="1" applyBorder="1" applyAlignment="1" applyProtection="1">
      <alignment horizontal="center" vertical="center" wrapText="1"/>
      <protection locked="0"/>
    </xf>
    <xf numFmtId="0" fontId="0" fillId="7" borderId="2" xfId="0" applyFill="1" applyBorder="1" applyAlignment="1">
      <alignment wrapText="1"/>
    </xf>
    <xf numFmtId="0" fontId="0" fillId="0" borderId="8" xfId="0" applyBorder="1" applyAlignment="1">
      <alignment wrapText="1"/>
    </xf>
    <xf numFmtId="0" fontId="9" fillId="5" borderId="7" xfId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9" fillId="12" borderId="7" xfId="1" applyFont="1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/>
    </xf>
    <xf numFmtId="1" fontId="0" fillId="12" borderId="1" xfId="0" applyNumberFormat="1" applyFill="1" applyBorder="1" applyAlignment="1">
      <alignment horizontal="center" vertical="center" wrapText="1"/>
    </xf>
    <xf numFmtId="0" fontId="0" fillId="12" borderId="2" xfId="0" applyFill="1" applyBorder="1" applyAlignment="1">
      <alignment wrapText="1"/>
    </xf>
    <xf numFmtId="14" fontId="0" fillId="0" borderId="5" xfId="0" applyNumberFormat="1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/>
    </xf>
    <xf numFmtId="14" fontId="0" fillId="7" borderId="1" xfId="0" applyNumberFormat="1" applyFill="1" applyBorder="1" applyAlignment="1">
      <alignment horizontal="center" wrapText="1"/>
    </xf>
    <xf numFmtId="0" fontId="0" fillId="7" borderId="0" xfId="0" applyFill="1" applyAlignment="1">
      <alignment horizontal="center" wrapText="1"/>
    </xf>
    <xf numFmtId="0" fontId="9" fillId="7" borderId="1" xfId="1" applyFont="1" applyFill="1" applyBorder="1" applyAlignment="1">
      <alignment horizontal="center" vertical="center" wrapText="1"/>
    </xf>
    <xf numFmtId="14" fontId="9" fillId="7" borderId="1" xfId="1" applyNumberFormat="1" applyFont="1" applyFill="1" applyBorder="1" applyAlignment="1">
      <alignment horizontal="center" vertical="center" wrapText="1"/>
    </xf>
    <xf numFmtId="0" fontId="9" fillId="14" borderId="7" xfId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49" fontId="21" fillId="9" borderId="1" xfId="0" applyNumberFormat="1" applyFont="1" applyFill="1" applyBorder="1" applyAlignment="1">
      <alignment horizontal="center" vertical="top" wrapText="1"/>
    </xf>
    <xf numFmtId="49" fontId="0" fillId="6" borderId="1" xfId="0" applyNumberFormat="1" applyFill="1" applyBorder="1" applyAlignment="1">
      <alignment horizontal="center" vertical="top" wrapText="1"/>
    </xf>
    <xf numFmtId="49" fontId="0" fillId="9" borderId="1" xfId="0" applyNumberFormat="1" applyFill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 vertical="center" wrapText="1"/>
    </xf>
    <xf numFmtId="14" fontId="18" fillId="9" borderId="1" xfId="0" applyNumberFormat="1" applyFont="1" applyFill="1" applyBorder="1" applyAlignment="1">
      <alignment horizontal="center" vertical="center"/>
    </xf>
    <xf numFmtId="0" fontId="18" fillId="0" borderId="1" xfId="0" applyFont="1" applyBorder="1" applyAlignment="1">
      <alignment wrapText="1"/>
    </xf>
    <xf numFmtId="0" fontId="18" fillId="0" borderId="1" xfId="0" applyFont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1" fontId="18" fillId="0" borderId="1" xfId="0" applyNumberFormat="1" applyFont="1" applyBorder="1" applyAlignment="1">
      <alignment horizontal="center" vertical="center" wrapText="1"/>
    </xf>
    <xf numFmtId="49" fontId="18" fillId="0" borderId="1" xfId="0" applyNumberFormat="1" applyFont="1" applyBorder="1" applyAlignment="1">
      <alignment horizontal="center" vertical="top" wrapText="1"/>
    </xf>
    <xf numFmtId="0" fontId="18" fillId="0" borderId="0" xfId="0" applyFont="1" applyAlignment="1">
      <alignment wrapText="1"/>
    </xf>
    <xf numFmtId="0" fontId="0" fillId="5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0" borderId="1" xfId="0" applyFill="1" applyBorder="1" applyAlignment="1">
      <alignment vertical="center" wrapText="1"/>
    </xf>
    <xf numFmtId="0" fontId="0" fillId="6" borderId="1" xfId="0" applyFill="1" applyBorder="1" applyAlignment="1">
      <alignment wrapText="1"/>
    </xf>
    <xf numFmtId="0" fontId="0" fillId="10" borderId="1" xfId="0" applyFill="1" applyBorder="1" applyAlignment="1">
      <alignment horizontal="center" vertical="center"/>
    </xf>
    <xf numFmtId="0" fontId="0" fillId="10" borderId="1" xfId="0" applyFill="1" applyBorder="1"/>
    <xf numFmtId="4" fontId="18" fillId="10" borderId="1" xfId="0" applyNumberFormat="1" applyFont="1" applyFill="1" applyBorder="1" applyAlignment="1">
      <alignment horizontal="center" vertical="center" wrapText="1"/>
    </xf>
    <xf numFmtId="4" fontId="0" fillId="10" borderId="1" xfId="0" applyNumberFormat="1" applyFill="1" applyBorder="1" applyAlignment="1">
      <alignment horizontal="center" vertical="center" wrapText="1"/>
    </xf>
    <xf numFmtId="0" fontId="0" fillId="5" borderId="0" xfId="0" applyFill="1" applyAlignment="1">
      <alignment horizontal="center" wrapText="1"/>
    </xf>
    <xf numFmtId="0" fontId="0" fillId="6" borderId="2" xfId="0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49" fontId="0" fillId="5" borderId="1" xfId="0" applyNumberFormat="1" applyFill="1" applyBorder="1" applyAlignment="1">
      <alignment horizontal="center" vertical="center"/>
    </xf>
    <xf numFmtId="0" fontId="0" fillId="5" borderId="9" xfId="0" applyFill="1" applyBorder="1" applyAlignment="1">
      <alignment horizontal="center" wrapText="1"/>
    </xf>
    <xf numFmtId="0" fontId="0" fillId="5" borderId="2" xfId="0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 wrapText="1"/>
    </xf>
    <xf numFmtId="49" fontId="16" fillId="5" borderId="1" xfId="0" applyNumberFormat="1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0" fillId="13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12" borderId="1" xfId="0" applyFill="1" applyBorder="1" applyAlignment="1">
      <alignment horizontal="center" vertical="center"/>
    </xf>
    <xf numFmtId="0" fontId="9" fillId="13" borderId="7" xfId="1" applyFont="1" applyFill="1" applyBorder="1" applyAlignment="1">
      <alignment horizontal="center" vertical="center" wrapText="1"/>
    </xf>
    <xf numFmtId="49" fontId="0" fillId="13" borderId="1" xfId="0" applyNumberForma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0" fillId="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/>
    <xf numFmtId="4" fontId="0" fillId="16" borderId="1" xfId="0" applyNumberFormat="1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4" fontId="0" fillId="12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/>
    </xf>
    <xf numFmtId="49" fontId="0" fillId="16" borderId="1" xfId="0" applyNumberFormat="1" applyFill="1" applyBorder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/>
    </xf>
    <xf numFmtId="14" fontId="0" fillId="16" borderId="1" xfId="0" applyNumberFormat="1" applyFill="1" applyBorder="1" applyAlignment="1">
      <alignment horizontal="center" vertical="center" wrapText="1"/>
    </xf>
    <xf numFmtId="1" fontId="0" fillId="16" borderId="1" xfId="0" applyNumberFormat="1" applyFill="1" applyBorder="1" applyAlignment="1">
      <alignment horizontal="center" vertical="center" wrapText="1"/>
    </xf>
    <xf numFmtId="49" fontId="0" fillId="16" borderId="1" xfId="0" applyNumberFormat="1" applyFill="1" applyBorder="1" applyAlignment="1">
      <alignment horizontal="center" vertical="center" wrapText="1"/>
    </xf>
    <xf numFmtId="0" fontId="0" fillId="16" borderId="0" xfId="0" applyFill="1" applyAlignment="1">
      <alignment horizontal="center" vertical="center" wrapText="1"/>
    </xf>
    <xf numFmtId="0" fontId="0" fillId="16" borderId="1" xfId="0" applyFill="1" applyBorder="1" applyAlignment="1">
      <alignment horizontal="center" wrapText="1"/>
    </xf>
    <xf numFmtId="0" fontId="16" fillId="16" borderId="1" xfId="0" applyFont="1" applyFill="1" applyBorder="1" applyAlignment="1">
      <alignment horizontal="center" vertical="center" wrapText="1"/>
    </xf>
    <xf numFmtId="0" fontId="9" fillId="16" borderId="1" xfId="0" applyFont="1" applyFill="1" applyBorder="1" applyAlignment="1">
      <alignment horizontal="center" vertical="center" wrapText="1"/>
    </xf>
    <xf numFmtId="49" fontId="16" fillId="16" borderId="1" xfId="0" applyNumberFormat="1" applyFont="1" applyFill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49" fontId="17" fillId="16" borderId="1" xfId="1" applyNumberFormat="1" applyFont="1" applyFill="1" applyBorder="1" applyAlignment="1">
      <alignment horizontal="center" vertical="center" wrapText="1"/>
    </xf>
    <xf numFmtId="14" fontId="9" fillId="16" borderId="1" xfId="1" applyNumberFormat="1" applyFont="1" applyFill="1" applyBorder="1" applyAlignment="1">
      <alignment horizontal="center" vertical="center" wrapText="1"/>
    </xf>
    <xf numFmtId="0" fontId="0" fillId="16" borderId="1" xfId="0" applyFill="1" applyBorder="1" applyAlignment="1">
      <alignment wrapText="1"/>
    </xf>
    <xf numFmtId="49" fontId="0" fillId="16" borderId="1" xfId="0" applyNumberFormat="1" applyFill="1" applyBorder="1" applyAlignment="1">
      <alignment horizontal="center" vertical="top" wrapText="1"/>
    </xf>
    <xf numFmtId="0" fontId="0" fillId="16" borderId="0" xfId="0" applyFill="1" applyAlignment="1">
      <alignment wrapText="1"/>
    </xf>
    <xf numFmtId="0" fontId="0" fillId="12" borderId="0" xfId="0" applyFill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" xfId="0" applyFill="1" applyBorder="1" applyAlignment="1">
      <alignment horizontal="center" wrapText="1"/>
    </xf>
    <xf numFmtId="49" fontId="0" fillId="6" borderId="1" xfId="0" applyNumberFormat="1" applyFill="1" applyBorder="1" applyAlignment="1">
      <alignment horizontal="center" vertical="center"/>
    </xf>
    <xf numFmtId="14" fontId="0" fillId="6" borderId="1" xfId="0" applyNumberFormat="1" applyFill="1" applyBorder="1" applyAlignment="1">
      <alignment horizontal="center" vertical="center"/>
    </xf>
    <xf numFmtId="1" fontId="0" fillId="6" borderId="1" xfId="0" applyNumberFormat="1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center" vertical="center" wrapText="1"/>
    </xf>
    <xf numFmtId="0" fontId="0" fillId="6" borderId="0" xfId="0" applyFill="1" applyAlignment="1">
      <alignment wrapText="1"/>
    </xf>
    <xf numFmtId="49" fontId="0" fillId="6" borderId="1" xfId="0" applyNumberFormat="1" applyFill="1" applyBorder="1" applyAlignment="1">
      <alignment horizontal="center" vertical="center" wrapText="1"/>
    </xf>
    <xf numFmtId="0" fontId="0" fillId="6" borderId="0" xfId="0" applyFill="1"/>
    <xf numFmtId="0" fontId="23" fillId="0" borderId="2" xfId="0" applyFont="1" applyBorder="1" applyAlignment="1">
      <alignment horizontal="center" vertical="center" wrapText="1"/>
    </xf>
    <xf numFmtId="0" fontId="23" fillId="1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" fontId="0" fillId="0" borderId="4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4" fillId="16" borderId="1" xfId="4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12" borderId="5" xfId="0" applyFill="1" applyBorder="1" applyAlignment="1">
      <alignment horizontal="center" vertical="center" wrapText="1"/>
    </xf>
    <xf numFmtId="0" fontId="0" fillId="12" borderId="10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5" fillId="2" borderId="5" xfId="1" applyFont="1" applyFill="1" applyBorder="1" applyAlignment="1" applyProtection="1">
      <alignment horizontal="center" vertical="center" wrapText="1"/>
      <protection locked="0"/>
    </xf>
    <xf numFmtId="0" fontId="5" fillId="2" borderId="7" xfId="1" applyFont="1" applyFill="1" applyBorder="1" applyAlignment="1" applyProtection="1">
      <alignment horizontal="center" vertical="center" wrapText="1"/>
      <protection locked="0"/>
    </xf>
    <xf numFmtId="0" fontId="5" fillId="3" borderId="1" xfId="1" applyFont="1" applyFill="1" applyBorder="1" applyAlignment="1" applyProtection="1">
      <alignment horizontal="center" vertical="center" wrapText="1"/>
      <protection locked="0"/>
    </xf>
    <xf numFmtId="0" fontId="5" fillId="3" borderId="5" xfId="1" applyFon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2" fillId="0" borderId="5" xfId="0" applyFont="1" applyBorder="1" applyAlignment="1">
      <alignment horizontal="center" vertical="center" wrapText="1"/>
    </xf>
    <xf numFmtId="0" fontId="22" fillId="0" borderId="10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0" fillId="6" borderId="6" xfId="0" applyFill="1" applyBorder="1" applyAlignment="1">
      <alignment horizontal="center" vertical="center" wrapText="1"/>
    </xf>
    <xf numFmtId="0" fontId="0" fillId="6" borderId="12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5" fillId="7" borderId="6" xfId="1" applyFont="1" applyFill="1" applyBorder="1" applyAlignment="1" applyProtection="1">
      <alignment horizontal="center" vertical="center" wrapText="1"/>
      <protection locked="0"/>
    </xf>
    <xf numFmtId="0" fontId="5" fillId="7" borderId="8" xfId="1" applyFont="1" applyFill="1" applyBorder="1" applyAlignment="1" applyProtection="1">
      <alignment horizontal="center" vertical="center" wrapText="1"/>
      <protection locked="0"/>
    </xf>
    <xf numFmtId="0" fontId="19" fillId="0" borderId="1" xfId="0" applyFont="1" applyBorder="1" applyAlignment="1">
      <alignment horizontal="center" vertical="center" wrapText="1"/>
    </xf>
    <xf numFmtId="0" fontId="7" fillId="3" borderId="2" xfId="1" applyFont="1" applyFill="1" applyBorder="1" applyAlignment="1" applyProtection="1">
      <alignment horizontal="center" vertical="center" wrapText="1"/>
      <protection locked="0"/>
    </xf>
    <xf numFmtId="0" fontId="7" fillId="3" borderId="3" xfId="1" applyFont="1" applyFill="1" applyBorder="1" applyAlignment="1" applyProtection="1">
      <alignment horizontal="center" vertical="center" wrapText="1"/>
      <protection locked="0"/>
    </xf>
    <xf numFmtId="0" fontId="7" fillId="3" borderId="4" xfId="1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5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1" xfId="1" applyFont="1" applyFill="1" applyBorder="1" applyAlignment="1" applyProtection="1">
      <alignment horizontal="center" vertical="center" wrapText="1"/>
      <protection locked="0"/>
    </xf>
    <xf numFmtId="0" fontId="6" fillId="2" borderId="2" xfId="1" applyFont="1" applyFill="1" applyBorder="1" applyAlignment="1" applyProtection="1">
      <alignment horizontal="center" vertical="center" wrapText="1"/>
      <protection locked="0"/>
    </xf>
    <xf numFmtId="0" fontId="6" fillId="2" borderId="3" xfId="1" applyFont="1" applyFill="1" applyBorder="1" applyAlignment="1" applyProtection="1">
      <alignment horizontal="center" vertical="center" wrapText="1"/>
      <protection locked="0"/>
    </xf>
    <xf numFmtId="0" fontId="5" fillId="2" borderId="6" xfId="1" applyFont="1" applyFill="1" applyBorder="1" applyAlignment="1" applyProtection="1">
      <alignment horizontal="center" vertical="center" wrapText="1"/>
      <protection locked="0"/>
    </xf>
    <xf numFmtId="0" fontId="5" fillId="2" borderId="8" xfId="1" applyFont="1" applyFill="1" applyBorder="1" applyAlignment="1" applyProtection="1">
      <alignment horizontal="center" vertical="center" wrapText="1"/>
      <protection locked="0"/>
    </xf>
    <xf numFmtId="0" fontId="5" fillId="7" borderId="5" xfId="1" applyFont="1" applyFill="1" applyBorder="1" applyAlignment="1" applyProtection="1">
      <alignment horizontal="center" vertical="center" wrapText="1"/>
      <protection locked="0"/>
    </xf>
    <xf numFmtId="0" fontId="5" fillId="7" borderId="7" xfId="1" applyFont="1" applyFill="1" applyBorder="1" applyAlignment="1" applyProtection="1">
      <alignment horizontal="center" vertical="center" wrapText="1"/>
      <protection locked="0"/>
    </xf>
    <xf numFmtId="0" fontId="5" fillId="3" borderId="2" xfId="1" applyFont="1" applyFill="1" applyBorder="1" applyAlignment="1" applyProtection="1">
      <alignment horizontal="center" vertical="center" wrapText="1"/>
      <protection locked="0"/>
    </xf>
    <xf numFmtId="0" fontId="5" fillId="3" borderId="3" xfId="1" applyFont="1" applyFill="1" applyBorder="1" applyAlignment="1" applyProtection="1">
      <alignment horizontal="center" vertical="center" wrapText="1"/>
      <protection locked="0"/>
    </xf>
    <xf numFmtId="0" fontId="5" fillId="3" borderId="4" xfId="1" applyFont="1" applyFill="1" applyBorder="1" applyAlignment="1" applyProtection="1">
      <alignment horizontal="center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3" borderId="2" xfId="1" applyFont="1" applyFill="1" applyBorder="1" applyAlignment="1" applyProtection="1">
      <alignment horizontal="center" vertical="center" wrapText="1"/>
      <protection locked="0"/>
    </xf>
    <xf numFmtId="0" fontId="4" fillId="3" borderId="3" xfId="1" applyFont="1" applyFill="1" applyBorder="1" applyAlignment="1" applyProtection="1">
      <alignment horizontal="center" vertical="center" wrapText="1"/>
      <protection locked="0"/>
    </xf>
    <xf numFmtId="0" fontId="4" fillId="3" borderId="4" xfId="1" applyFont="1" applyFill="1" applyBorder="1" applyAlignment="1" applyProtection="1">
      <alignment horizontal="center" vertical="center" wrapText="1"/>
      <protection locked="0"/>
    </xf>
    <xf numFmtId="0" fontId="6" fillId="2" borderId="4" xfId="1" applyFont="1" applyFill="1" applyBorder="1" applyAlignment="1" applyProtection="1">
      <alignment horizontal="center" vertical="center" wrapText="1"/>
      <protection locked="0"/>
    </xf>
    <xf numFmtId="0" fontId="0" fillId="0" borderId="1" xfId="0" applyBorder="1" applyAlignment="1">
      <alignment horizontal="center" vertical="center" wrapText="1"/>
    </xf>
    <xf numFmtId="0" fontId="5" fillId="3" borderId="1" xfId="1" applyFont="1" applyFill="1" applyBorder="1" applyAlignment="1" applyProtection="1">
      <alignment horizontal="center" vertical="top" wrapText="1"/>
      <protection locked="0"/>
    </xf>
    <xf numFmtId="0" fontId="19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5">
    <cellStyle name="Гиперссылка" xfId="4" builtinId="8"/>
    <cellStyle name="Обычный" xfId="0" builtinId="0"/>
    <cellStyle name="Обычный 103" xfId="1" xr:uid="{00000000-0005-0000-0000-000001000000}"/>
    <cellStyle name="Обычный 2 14 6 2 2 2" xfId="3" xr:uid="{00000000-0005-0000-0000-000002000000}"/>
    <cellStyle name="Обычный 2 2 2" xfId="2" xr:uid="{00000000-0005-0000-0000-000003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ngd-fs01\work\Users\m.egodish\Documents\&#1050;&#1086;&#1087;&#1080;&#1103;%20&#1060;&#1086;&#1088;&#1084;&#1072;%20&#1087;&#1086;&#1090;&#1088;&#1077;&#1073;&#1085;&#1086;&#1089;&#1090;&#1100;%20202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rk-dc1\work\Users\ZakharovAM1\Desktop\&#1061;&#1072;&#1082;&#1080;&#1084;&#1086;&#1074;&#1091;%20&#1056;.&#1056;\3.%20&#1055;&#1088;&#1080;&#1077;&#1084;&#1082;&#1072;%20&#1088;&#1072;&#1073;&#1086;&#1090;%20&#1057;&#1048;&#1050;\&#1056;&#1072;&#1089;&#1087;&#1086;&#1088;&#1103;&#1078;&#1077;&#1085;&#1080;&#1077;%20&#8470;%20&#1056;-2020-0175%20&#1086;&#1090;%2001.09.2020\&#1055;&#1088;&#1080;&#1083;&#1086;&#1078;&#1077;&#1085;&#1080;&#1077;%205(6)%20&#1050;&#1060;%20_&#1056;&#1077;&#1084;&#1086;&#1085;&#1090;_%20(3603244%20v2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ngd-fs01\work\Users\a.zaharov\Desktop\&#1056;21\1726_&#1058;&#1072;&#1072;&#1089;-&#1070;&#1088;&#1103;&#1093;_&#1053;&#1043;&#1044;_&#1056;&#1072;&#1079;&#1076;&#1077;&#1083;_21_2018_&#1055;&#1083;&#1072;&#1085;_v_1_2_20171124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yngd-fs01\work\Users\zakharovam1\Desktop\&#1045;&#1076;&#1080;&#1085;&#1072;&#1103;%20&#1092;&#1086;&#1088;&#1084;&#1072;%20&#1085;&#1077;&#1080;&#1089;&#1087;&#1088;&#1072;&#1074;&#1085;&#1086;&#1075;&#1086;%20&#1086;&#1073;&#1086;&#1088;&#1091;&#1076;&#1086;&#1074;&#1072;&#1085;&#1080;&#110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Перечень 2 очередь"/>
      <sheetName val="Лист1"/>
      <sheetName val="Форма характеристик"/>
      <sheetName val="Технические характеристики"/>
      <sheetName val="Лист технических данных"/>
      <sheetName val="Список"/>
    </sheetNames>
    <sheetDataSet>
      <sheetData sheetId="0"/>
      <sheetData sheetId="1">
        <row r="2">
          <cell r="A2" t="str">
            <v>ПСМ</v>
          </cell>
        </row>
        <row r="3">
          <cell r="A3" t="str">
            <v>МН</v>
          </cell>
        </row>
        <row r="4">
          <cell r="A4" t="str">
            <v>ЦПС1</v>
          </cell>
        </row>
        <row r="5">
          <cell r="A5" t="str">
            <v>ЦПС2</v>
          </cell>
        </row>
        <row r="6">
          <cell r="A6" t="str">
            <v>КП</v>
          </cell>
        </row>
        <row r="7">
          <cell r="A7" t="str">
            <v>СБНГКМ</v>
          </cell>
        </row>
      </sheetData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КФ &quot;Ремонт СИ&quot;"/>
      <sheetName val="Причины невыполнения"/>
    </sheetNames>
    <sheetDataSet>
      <sheetData sheetId="0"/>
      <sheetData sheetId="1">
        <row r="1">
          <cell r="B1" t="str">
            <v>Ремонт</v>
          </cell>
        </row>
        <row r="2">
          <cell r="B2" t="str">
            <v>Отсутствие объективных причин (нарушение сервисной организации)</v>
          </cell>
        </row>
        <row r="3">
          <cell r="B3" t="str">
            <v>Оборудование не возвращено из ремонта</v>
          </cell>
        </row>
        <row r="4">
          <cell r="B4" t="str">
            <v>ОФ не возвращен из ремонта (критичный процесс/параметр)</v>
          </cell>
        </row>
        <row r="5">
          <cell r="B5" t="str">
            <v>Оборудование несвоевременно передано в ремонт</v>
          </cell>
        </row>
        <row r="6">
          <cell r="B6" t="str">
            <v>ОФ несвоевременно передан в поверку (критичный процесс/параметр)</v>
          </cell>
        </row>
        <row r="7">
          <cell r="B7" t="str">
            <v>Отсутствие ОФ (критичный процесс/параметр)</v>
          </cell>
        </row>
        <row r="8">
          <cell r="B8" t="str">
            <v>Мероприятия вывода оборудования из эксплуатации не согласованы с технологической службой</v>
          </cell>
        </row>
        <row r="9">
          <cell r="B9" t="str">
            <v>СИ ошибочно включено в график поверки</v>
          </cell>
        </row>
        <row r="10">
          <cell r="B10" t="str">
            <v>Не готовность технологической службы к выводу оборудования из эксплуатации (критичный, непрерывный процесс)</v>
          </cell>
        </row>
        <row r="11">
          <cell r="B11" t="str">
            <v xml:space="preserve">Затруднена логистика грузов на СБНГКМ по независящим от сервисной организации причинам </v>
          </cell>
        </row>
        <row r="12">
          <cell r="B12" t="str">
            <v>Другая причина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ruct"/>
      <sheetName val="Описание"/>
      <sheetName val="1-Титульный лист"/>
      <sheetName val="2-HR и ТЭП"/>
      <sheetName val="3-Лицензии и НМА"/>
      <sheetName val="4-Реестр"/>
      <sheetName val="Графики"/>
      <sheetName val="21 Раздел"/>
      <sheetName val="21 Раздел - СПИСАНИЕ"/>
      <sheetName val="РПЗ"/>
      <sheetName val="Доли закупок"/>
      <sheetName val="Корректировки"/>
      <sheetName val="Справка о соответствии затрат"/>
      <sheetName val="Проверки"/>
      <sheetName val="Спр"/>
      <sheetName val="Перечень ИС"/>
      <sheetName val="Перечень ИС (Исх.)"/>
      <sheetName val="Сводная таблица"/>
      <sheetName val="OUTPUT_ZBPIHRTP_WS"/>
      <sheetName val="OUTPUT_ZBPIRSTR_WS"/>
      <sheetName val="OUTPUT_ZBPILDBP_WS"/>
      <sheetName val="Лист1"/>
      <sheetName val="Ошибки заполнения"/>
      <sheetName val="Ошибки"/>
    </sheetNames>
    <definedNames>
      <definedName name="сл_спрк_В_статья" refersTo="='Спр'!$H$222:$H$236" sheetId="14"/>
    </definedNames>
    <sheetDataSet>
      <sheetData sheetId="0"/>
      <sheetData sheetId="1"/>
      <sheetData sheetId="2"/>
      <sheetData sheetId="3"/>
      <sheetData sheetId="4"/>
      <sheetData sheetId="5">
        <row r="4">
          <cell r="A4" t="str">
            <v>Local</v>
          </cell>
        </row>
        <row r="222">
          <cell r="H222" t="str">
            <v>+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R1" t="str">
            <v>OPEX</v>
          </cell>
        </row>
        <row r="2">
          <cell r="R2" t="str">
            <v>CAPEX</v>
          </cell>
        </row>
        <row r="222">
          <cell r="H222" t="str">
            <v>OPEX</v>
          </cell>
        </row>
        <row r="223">
          <cell r="H223" t="str">
            <v>OPEX</v>
          </cell>
        </row>
        <row r="224">
          <cell r="H224" t="str">
            <v>OPEX</v>
          </cell>
        </row>
        <row r="225">
          <cell r="H225" t="str">
            <v>OPEX</v>
          </cell>
        </row>
        <row r="226">
          <cell r="H226" t="str">
            <v>OPEX</v>
          </cell>
        </row>
        <row r="227">
          <cell r="H227" t="str">
            <v>OPEX</v>
          </cell>
        </row>
        <row r="228">
          <cell r="H228" t="str">
            <v>OPEX</v>
          </cell>
        </row>
        <row r="229">
          <cell r="H229" t="str">
            <v>OPEX</v>
          </cell>
        </row>
        <row r="230">
          <cell r="H230" t="str">
            <v>OPEX</v>
          </cell>
        </row>
        <row r="231">
          <cell r="H231" t="str">
            <v>OPEX</v>
          </cell>
        </row>
        <row r="232">
          <cell r="H232" t="str">
            <v>CAPEX</v>
          </cell>
        </row>
        <row r="233">
          <cell r="H233" t="str">
            <v>CAPEX</v>
          </cell>
        </row>
        <row r="234">
          <cell r="H234" t="str">
            <v>CAPEX</v>
          </cell>
        </row>
        <row r="235">
          <cell r="H235" t="str">
            <v>CAPEX</v>
          </cell>
        </row>
        <row r="236">
          <cell r="H236" t="str">
            <v>CAPEX</v>
          </cell>
        </row>
      </sheetData>
      <sheetData sheetId="15"/>
      <sheetData sheetId="16"/>
      <sheetData sheetId="17"/>
      <sheetData sheetId="18">
        <row r="222">
          <cell r="H222" t="str">
            <v>EQUI00020000000000</v>
          </cell>
        </row>
      </sheetData>
      <sheetData sheetId="19">
        <row r="222">
          <cell r="H222" t="str">
            <v>0R2100010102060000</v>
          </cell>
        </row>
      </sheetData>
      <sheetData sheetId="20">
        <row r="222">
          <cell r="H222" t="str">
            <v>0R2100010102040000</v>
          </cell>
        </row>
      </sheetData>
      <sheetData sheetId="21"/>
      <sheetData sheetId="22"/>
      <sheetData sheetId="2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Описание процесса"/>
      <sheetName val="ИЗМ"/>
      <sheetName val="ПСП"/>
      <sheetName val="Приложение 2 ЧЕК-Лист"/>
      <sheetName val="Список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F577"/>
  <sheetViews>
    <sheetView tabSelected="1" topLeftCell="A508" zoomScale="60" zoomScaleNormal="60" workbookViewId="0">
      <selection activeCell="D501" sqref="D501:F504"/>
    </sheetView>
  </sheetViews>
  <sheetFormatPr defaultRowHeight="14.5" x14ac:dyDescent="0.35"/>
  <cols>
    <col min="1" max="1" width="6.1796875" style="3" customWidth="1"/>
    <col min="2" max="2" width="8.453125" style="3" hidden="1" customWidth="1"/>
    <col min="3" max="3" width="13.6328125" style="3" hidden="1" customWidth="1"/>
    <col min="4" max="4" width="34.6328125" style="3" customWidth="1"/>
    <col min="5" max="5" width="26.81640625" style="3" customWidth="1"/>
    <col min="6" max="6" width="16.36328125" style="3" customWidth="1"/>
    <col min="7" max="7" width="7.6328125" style="3" hidden="1" customWidth="1"/>
    <col min="8" max="8" width="4.6328125" style="1" hidden="1" customWidth="1"/>
    <col min="9" max="9" width="7" style="1" hidden="1" customWidth="1"/>
    <col min="10" max="10" width="5.08984375" style="1" hidden="1" customWidth="1"/>
    <col min="11" max="11" width="5.6328125" style="1" hidden="1" customWidth="1"/>
    <col min="12" max="13" width="6.81640625" style="1" hidden="1" customWidth="1"/>
    <col min="14" max="14" width="10.08984375" style="1" hidden="1" customWidth="1"/>
    <col min="15" max="15" width="19.453125" style="1" customWidth="1"/>
    <col min="16" max="16" width="25.54296875" style="1" hidden="1" customWidth="1" collapsed="1"/>
    <col min="17" max="17" width="15.54296875" style="1" hidden="1" customWidth="1"/>
    <col min="18" max="18" width="41.81640625" customWidth="1"/>
    <col min="19" max="19" width="30.54296875" style="123" customWidth="1"/>
    <col min="20" max="20" width="29.453125" customWidth="1"/>
    <col min="21" max="21" width="37.453125" customWidth="1"/>
    <col min="22" max="22" width="38.1796875" style="123" customWidth="1"/>
    <col min="23" max="23" width="40.36328125" style="123" customWidth="1"/>
    <col min="24" max="24" width="37.54296875" customWidth="1"/>
    <col min="25" max="27" width="46.7265625" style="123" customWidth="1"/>
    <col min="28" max="28" width="23.36328125" customWidth="1"/>
  </cols>
  <sheetData>
    <row r="1" spans="1:32" ht="14.5" customHeight="1" x14ac:dyDescent="0.3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 s="115"/>
      <c r="R1" s="265" t="s">
        <v>739</v>
      </c>
      <c r="X1" s="123"/>
    </row>
    <row r="2" spans="1:32" ht="15.5" customHeight="1" x14ac:dyDescent="0.35">
      <c r="A2" s="271" t="s">
        <v>2</v>
      </c>
      <c r="B2" s="272" t="s">
        <v>3</v>
      </c>
      <c r="C2" s="272"/>
      <c r="D2" s="273" t="s">
        <v>4</v>
      </c>
      <c r="E2" s="274"/>
      <c r="F2" s="274"/>
      <c r="G2" s="4" t="s">
        <v>5</v>
      </c>
      <c r="H2" s="10" t="s">
        <v>127</v>
      </c>
      <c r="I2" s="266" t="s">
        <v>526</v>
      </c>
      <c r="J2" s="267"/>
      <c r="K2" s="267"/>
      <c r="L2" s="267"/>
      <c r="M2" s="267"/>
      <c r="N2" s="267"/>
      <c r="O2" s="268"/>
      <c r="P2" s="10" t="s">
        <v>127</v>
      </c>
      <c r="Q2" s="115"/>
      <c r="R2" s="265"/>
      <c r="S2" s="251" t="s">
        <v>748</v>
      </c>
      <c r="T2" s="257" t="s">
        <v>755</v>
      </c>
      <c r="U2" s="257" t="s">
        <v>761</v>
      </c>
      <c r="V2" s="269" t="s">
        <v>798</v>
      </c>
      <c r="W2" s="269" t="s">
        <v>876</v>
      </c>
      <c r="X2" s="269" t="s">
        <v>875</v>
      </c>
      <c r="Y2" s="269" t="s">
        <v>940</v>
      </c>
      <c r="Z2" s="269" t="s">
        <v>950</v>
      </c>
      <c r="AA2" s="269" t="s">
        <v>956</v>
      </c>
      <c r="AB2" s="123"/>
    </row>
    <row r="3" spans="1:32" ht="15.5" customHeight="1" x14ac:dyDescent="0.35">
      <c r="A3" s="271"/>
      <c r="B3" s="271" t="s">
        <v>99</v>
      </c>
      <c r="C3" s="271" t="s">
        <v>8</v>
      </c>
      <c r="D3" s="271" t="s">
        <v>9</v>
      </c>
      <c r="E3" s="271" t="s">
        <v>10</v>
      </c>
      <c r="F3" s="271" t="s">
        <v>102</v>
      </c>
      <c r="G3" s="246" t="s">
        <v>11</v>
      </c>
      <c r="H3" s="248" t="s">
        <v>104</v>
      </c>
      <c r="I3" s="249" t="s">
        <v>101</v>
      </c>
      <c r="J3" s="266" t="s">
        <v>115</v>
      </c>
      <c r="K3" s="267"/>
      <c r="L3" s="267"/>
      <c r="M3" s="267"/>
      <c r="N3" s="249" t="s">
        <v>112</v>
      </c>
      <c r="O3" s="248" t="s">
        <v>113</v>
      </c>
      <c r="P3" s="248" t="s">
        <v>114</v>
      </c>
      <c r="Q3" s="263" t="s">
        <v>108</v>
      </c>
      <c r="R3" s="265"/>
      <c r="S3" s="252"/>
      <c r="T3" s="258"/>
      <c r="U3" s="258"/>
      <c r="V3" s="270"/>
      <c r="W3" s="270"/>
      <c r="X3" s="270"/>
      <c r="Y3" s="270"/>
      <c r="Z3" s="270"/>
      <c r="AA3" s="270"/>
      <c r="AB3" s="123"/>
    </row>
    <row r="4" spans="1:32" ht="77.5" customHeight="1" x14ac:dyDescent="0.35">
      <c r="A4" s="271"/>
      <c r="B4" s="271" t="s">
        <v>17</v>
      </c>
      <c r="C4" s="271" t="s">
        <v>18</v>
      </c>
      <c r="D4" s="271"/>
      <c r="E4" s="271" t="s">
        <v>10</v>
      </c>
      <c r="F4" s="271" t="s">
        <v>19</v>
      </c>
      <c r="G4" s="247"/>
      <c r="H4" s="248"/>
      <c r="I4" s="250"/>
      <c r="J4" s="12" t="s">
        <v>16</v>
      </c>
      <c r="K4" s="12" t="s">
        <v>109</v>
      </c>
      <c r="L4" s="12" t="s">
        <v>110</v>
      </c>
      <c r="M4" s="12" t="s">
        <v>111</v>
      </c>
      <c r="N4" s="250"/>
      <c r="O4" s="248"/>
      <c r="P4" s="248" t="s">
        <v>22</v>
      </c>
      <c r="Q4" s="264"/>
      <c r="R4" s="265"/>
      <c r="S4" s="252"/>
      <c r="T4" s="258"/>
      <c r="U4" s="258"/>
      <c r="V4" s="270"/>
      <c r="W4" s="270"/>
      <c r="X4" s="270"/>
      <c r="Y4" s="270"/>
      <c r="Z4" s="270"/>
      <c r="AA4" s="270"/>
      <c r="AB4" s="123"/>
    </row>
    <row r="5" spans="1:32" ht="14.5" customHeight="1" x14ac:dyDescent="0.35">
      <c r="A5" s="2">
        <v>1</v>
      </c>
      <c r="B5" s="2">
        <v>2</v>
      </c>
      <c r="C5" s="2">
        <v>3</v>
      </c>
      <c r="D5" s="2">
        <v>2</v>
      </c>
      <c r="E5" s="2">
        <v>3</v>
      </c>
      <c r="F5" s="2">
        <v>4</v>
      </c>
      <c r="G5" s="2">
        <v>5</v>
      </c>
      <c r="H5" s="2">
        <v>6</v>
      </c>
      <c r="I5" s="2">
        <v>7</v>
      </c>
      <c r="J5" s="2">
        <v>8</v>
      </c>
      <c r="K5" s="2">
        <v>9</v>
      </c>
      <c r="L5" s="2">
        <v>10</v>
      </c>
      <c r="M5" s="2">
        <v>11</v>
      </c>
      <c r="N5" s="2">
        <v>12</v>
      </c>
      <c r="O5" s="2">
        <v>13</v>
      </c>
      <c r="P5" s="2">
        <v>14</v>
      </c>
      <c r="Q5" s="116">
        <v>15</v>
      </c>
      <c r="R5" s="265"/>
      <c r="S5" s="253"/>
      <c r="T5" s="259"/>
      <c r="U5" s="259"/>
      <c r="V5" s="270"/>
      <c r="W5" s="270"/>
      <c r="X5" s="270"/>
      <c r="Y5" s="270"/>
      <c r="Z5" s="270"/>
      <c r="AA5" s="270"/>
      <c r="AB5" s="123"/>
    </row>
    <row r="6" spans="1:32" ht="87" hidden="1" x14ac:dyDescent="0.35">
      <c r="A6" s="136">
        <v>70</v>
      </c>
      <c r="B6" s="7" t="s">
        <v>336</v>
      </c>
      <c r="C6" s="7" t="s">
        <v>336</v>
      </c>
      <c r="D6" s="7" t="s">
        <v>337</v>
      </c>
      <c r="E6" s="7" t="s">
        <v>338</v>
      </c>
      <c r="F6" s="8" t="s">
        <v>339</v>
      </c>
      <c r="G6" s="7" t="s">
        <v>340</v>
      </c>
      <c r="H6" s="9">
        <v>45701</v>
      </c>
      <c r="I6" s="9" t="s">
        <v>100</v>
      </c>
      <c r="J6" s="7" t="s">
        <v>7</v>
      </c>
      <c r="K6" s="7"/>
      <c r="L6" s="7"/>
      <c r="M6" s="120">
        <v>45848</v>
      </c>
      <c r="N6" s="11">
        <f ca="1">DATEDIF(H6,TODAY(),"d")</f>
        <v>411</v>
      </c>
      <c r="O6" s="7" t="s">
        <v>513</v>
      </c>
      <c r="P6" s="7"/>
      <c r="Q6" s="89"/>
      <c r="R6" s="70" t="s">
        <v>666</v>
      </c>
      <c r="S6"/>
      <c r="V6"/>
      <c r="W6"/>
      <c r="Y6"/>
      <c r="Z6"/>
      <c r="AA6"/>
    </row>
    <row r="7" spans="1:32" ht="87" hidden="1" x14ac:dyDescent="0.35">
      <c r="A7" s="136">
        <v>71</v>
      </c>
      <c r="B7" s="7" t="s">
        <v>336</v>
      </c>
      <c r="C7" s="7" t="s">
        <v>336</v>
      </c>
      <c r="D7" s="7" t="s">
        <v>337</v>
      </c>
      <c r="E7" s="7" t="s">
        <v>338</v>
      </c>
      <c r="F7" s="8" t="s">
        <v>341</v>
      </c>
      <c r="G7" s="7" t="s">
        <v>340</v>
      </c>
      <c r="H7" s="9">
        <v>45701</v>
      </c>
      <c r="I7" s="9" t="s">
        <v>100</v>
      </c>
      <c r="J7" s="7" t="s">
        <v>7</v>
      </c>
      <c r="K7" s="7"/>
      <c r="L7" s="7"/>
      <c r="M7" s="120">
        <v>45848</v>
      </c>
      <c r="N7" s="11">
        <f t="shared" ref="N7:N69" ca="1" si="0">DATEDIF(H7,TODAY(),"d")</f>
        <v>411</v>
      </c>
      <c r="O7" s="7" t="s">
        <v>513</v>
      </c>
      <c r="P7" s="7"/>
      <c r="Q7" s="89"/>
      <c r="R7" s="70" t="s">
        <v>666</v>
      </c>
      <c r="S7"/>
      <c r="V7"/>
      <c r="W7"/>
      <c r="Y7"/>
      <c r="Z7"/>
      <c r="AA7"/>
    </row>
    <row r="8" spans="1:32" ht="99" customHeight="1" x14ac:dyDescent="0.35">
      <c r="A8" s="178">
        <v>111</v>
      </c>
      <c r="B8" s="7" t="s">
        <v>24</v>
      </c>
      <c r="C8" s="7" t="s">
        <v>342</v>
      </c>
      <c r="D8" s="125" t="s">
        <v>343</v>
      </c>
      <c r="E8" s="125" t="s">
        <v>344</v>
      </c>
      <c r="F8" s="179" t="s">
        <v>345</v>
      </c>
      <c r="G8" s="7" t="s">
        <v>346</v>
      </c>
      <c r="H8" s="9">
        <v>45691</v>
      </c>
      <c r="I8" s="9" t="s">
        <v>100</v>
      </c>
      <c r="J8" s="7" t="s">
        <v>507</v>
      </c>
      <c r="K8" s="7"/>
      <c r="L8" s="7"/>
      <c r="M8" s="120">
        <v>45833</v>
      </c>
      <c r="N8" s="11">
        <f t="shared" ca="1" si="0"/>
        <v>421</v>
      </c>
      <c r="O8" s="7" t="s">
        <v>514</v>
      </c>
      <c r="P8" s="7"/>
      <c r="Q8" s="89"/>
      <c r="R8" s="162" t="s">
        <v>736</v>
      </c>
      <c r="S8" s="25"/>
      <c r="T8" s="25"/>
      <c r="U8" s="177" t="s">
        <v>766</v>
      </c>
      <c r="V8" s="25" t="s">
        <v>802</v>
      </c>
      <c r="W8" s="183" t="s">
        <v>842</v>
      </c>
      <c r="X8" s="187" t="s">
        <v>842</v>
      </c>
      <c r="Y8" s="203" t="s">
        <v>894</v>
      </c>
      <c r="Z8" s="240"/>
      <c r="AA8" s="240"/>
      <c r="AB8" s="123"/>
    </row>
    <row r="9" spans="1:32" ht="72.5" x14ac:dyDescent="0.35">
      <c r="A9" s="6">
        <v>112</v>
      </c>
      <c r="B9" s="7" t="s">
        <v>24</v>
      </c>
      <c r="C9" s="7" t="s">
        <v>347</v>
      </c>
      <c r="D9" s="7" t="s">
        <v>348</v>
      </c>
      <c r="E9" s="7" t="s">
        <v>349</v>
      </c>
      <c r="F9" s="8" t="s">
        <v>350</v>
      </c>
      <c r="G9" s="7" t="s">
        <v>351</v>
      </c>
      <c r="H9" s="9">
        <v>45691</v>
      </c>
      <c r="I9" s="7" t="s">
        <v>100</v>
      </c>
      <c r="J9" s="7" t="s">
        <v>507</v>
      </c>
      <c r="K9" s="7"/>
      <c r="L9" s="7"/>
      <c r="M9" s="120">
        <v>45833</v>
      </c>
      <c r="N9" s="11">
        <f t="shared" ca="1" si="0"/>
        <v>421</v>
      </c>
      <c r="O9" s="7" t="s">
        <v>515</v>
      </c>
      <c r="P9" s="7"/>
      <c r="Q9" s="89"/>
      <c r="R9" s="163" t="s">
        <v>609</v>
      </c>
      <c r="S9" s="7" t="s">
        <v>749</v>
      </c>
      <c r="T9" s="7" t="s">
        <v>749</v>
      </c>
      <c r="U9" s="124" t="s">
        <v>769</v>
      </c>
      <c r="V9" s="124" t="s">
        <v>814</v>
      </c>
      <c r="W9" s="23" t="s">
        <v>819</v>
      </c>
      <c r="X9" s="23" t="s">
        <v>877</v>
      </c>
      <c r="Y9" s="203" t="s">
        <v>895</v>
      </c>
      <c r="Z9" s="203"/>
      <c r="AA9" s="203"/>
      <c r="AB9" s="123"/>
    </row>
    <row r="10" spans="1:32" ht="48" hidden="1" customHeight="1" x14ac:dyDescent="0.35">
      <c r="A10" s="136">
        <v>113</v>
      </c>
      <c r="B10" s="7" t="s">
        <v>352</v>
      </c>
      <c r="C10" s="7" t="s">
        <v>352</v>
      </c>
      <c r="D10" s="7" t="s">
        <v>353</v>
      </c>
      <c r="E10" s="7" t="s">
        <v>338</v>
      </c>
      <c r="F10" s="8" t="s">
        <v>354</v>
      </c>
      <c r="G10" s="7" t="s">
        <v>355</v>
      </c>
      <c r="H10" s="9">
        <v>45691</v>
      </c>
      <c r="I10" s="9" t="s">
        <v>100</v>
      </c>
      <c r="J10" s="7" t="s">
        <v>7</v>
      </c>
      <c r="K10" s="7"/>
      <c r="L10" s="7"/>
      <c r="M10" s="120">
        <v>45848</v>
      </c>
      <c r="N10" s="11">
        <f t="shared" ca="1" si="0"/>
        <v>421</v>
      </c>
      <c r="O10" s="7" t="s">
        <v>513</v>
      </c>
      <c r="P10" s="7"/>
      <c r="Q10" s="89"/>
      <c r="R10" s="104" t="s">
        <v>640</v>
      </c>
      <c r="S10"/>
      <c r="V10"/>
      <c r="W10"/>
      <c r="Y10"/>
      <c r="Z10"/>
      <c r="AA10"/>
    </row>
    <row r="11" spans="1:32" ht="24" hidden="1" customHeight="1" x14ac:dyDescent="0.35">
      <c r="A11" s="121">
        <v>114</v>
      </c>
      <c r="B11" s="7" t="s">
        <v>24</v>
      </c>
      <c r="C11" s="7" t="s">
        <v>356</v>
      </c>
      <c r="D11" s="7" t="s">
        <v>357</v>
      </c>
      <c r="E11" s="7" t="s">
        <v>358</v>
      </c>
      <c r="F11" s="8" t="s">
        <v>359</v>
      </c>
      <c r="G11" s="7" t="s">
        <v>360</v>
      </c>
      <c r="H11" s="9">
        <v>45691</v>
      </c>
      <c r="I11" s="7" t="s">
        <v>100</v>
      </c>
      <c r="J11" s="7" t="s">
        <v>507</v>
      </c>
      <c r="K11" s="7"/>
      <c r="L11" s="7"/>
      <c r="M11" s="7"/>
      <c r="N11" s="11">
        <f t="shared" ca="1" si="0"/>
        <v>421</v>
      </c>
      <c r="O11" s="70" t="s">
        <v>598</v>
      </c>
      <c r="P11" s="7"/>
      <c r="Q11" s="89"/>
      <c r="R11" s="131" t="s">
        <v>606</v>
      </c>
      <c r="S11"/>
      <c r="V11"/>
      <c r="W11"/>
      <c r="Y11"/>
      <c r="Z11"/>
      <c r="AA11"/>
    </row>
    <row r="12" spans="1:32" ht="137.5" customHeight="1" x14ac:dyDescent="0.35">
      <c r="A12" s="121">
        <v>115</v>
      </c>
      <c r="B12" s="7" t="s">
        <v>24</v>
      </c>
      <c r="C12" s="7" t="s">
        <v>361</v>
      </c>
      <c r="D12" s="7" t="s">
        <v>362</v>
      </c>
      <c r="E12" s="7" t="s">
        <v>881</v>
      </c>
      <c r="F12" s="8" t="s">
        <v>363</v>
      </c>
      <c r="G12" s="7" t="s">
        <v>364</v>
      </c>
      <c r="H12" s="9">
        <v>45691</v>
      </c>
      <c r="I12" s="7" t="s">
        <v>100</v>
      </c>
      <c r="J12" s="7" t="s">
        <v>507</v>
      </c>
      <c r="K12" s="7"/>
      <c r="L12" s="7"/>
      <c r="M12" s="7"/>
      <c r="N12" s="11">
        <f t="shared" ca="1" si="0"/>
        <v>421</v>
      </c>
      <c r="O12" s="7"/>
      <c r="P12" s="7"/>
      <c r="Q12" s="89"/>
      <c r="R12" s="88" t="s">
        <v>608</v>
      </c>
      <c r="S12" s="25"/>
      <c r="T12" s="25"/>
      <c r="U12" s="177" t="s">
        <v>770</v>
      </c>
      <c r="V12" s="25"/>
      <c r="W12" s="23" t="s">
        <v>820</v>
      </c>
      <c r="X12" s="190">
        <v>220600</v>
      </c>
      <c r="Y12" s="202" t="s">
        <v>892</v>
      </c>
      <c r="Z12" s="202"/>
      <c r="AA12" s="202"/>
      <c r="AB12" s="200"/>
      <c r="AC12" s="201"/>
      <c r="AD12" s="201"/>
      <c r="AE12" s="201"/>
      <c r="AF12" s="201"/>
    </row>
    <row r="13" spans="1:32" ht="34.5" hidden="1" customHeight="1" x14ac:dyDescent="0.35">
      <c r="A13" s="121">
        <v>116</v>
      </c>
      <c r="B13" s="7" t="s">
        <v>24</v>
      </c>
      <c r="C13" s="7" t="s">
        <v>361</v>
      </c>
      <c r="D13" s="7" t="s">
        <v>365</v>
      </c>
      <c r="E13" s="7" t="s">
        <v>366</v>
      </c>
      <c r="F13" s="8" t="s">
        <v>367</v>
      </c>
      <c r="G13" s="7" t="s">
        <v>368</v>
      </c>
      <c r="H13" s="9">
        <v>45691</v>
      </c>
      <c r="I13" s="7" t="s">
        <v>100</v>
      </c>
      <c r="J13" s="7" t="s">
        <v>507</v>
      </c>
      <c r="K13" s="7"/>
      <c r="L13" s="7"/>
      <c r="M13" s="7"/>
      <c r="N13" s="11">
        <f t="shared" ca="1" si="0"/>
        <v>421</v>
      </c>
      <c r="O13" s="7"/>
      <c r="P13" s="7"/>
      <c r="Q13" s="89"/>
      <c r="R13" s="131" t="s">
        <v>619</v>
      </c>
      <c r="S13"/>
      <c r="V13"/>
      <c r="W13"/>
      <c r="Y13"/>
      <c r="Z13"/>
      <c r="AA13"/>
    </row>
    <row r="14" spans="1:32" ht="43.5" hidden="1" customHeight="1" x14ac:dyDescent="0.35">
      <c r="A14" s="121">
        <v>117</v>
      </c>
      <c r="B14" s="7" t="s">
        <v>369</v>
      </c>
      <c r="C14" s="7" t="s">
        <v>369</v>
      </c>
      <c r="D14" s="7" t="s">
        <v>370</v>
      </c>
      <c r="E14" s="7" t="s">
        <v>371</v>
      </c>
      <c r="F14" s="8" t="s">
        <v>372</v>
      </c>
      <c r="G14" s="7" t="s">
        <v>373</v>
      </c>
      <c r="H14" s="9">
        <v>45691</v>
      </c>
      <c r="I14" s="7" t="s">
        <v>100</v>
      </c>
      <c r="J14" s="7" t="s">
        <v>507</v>
      </c>
      <c r="K14" s="7"/>
      <c r="L14" s="7"/>
      <c r="M14" s="7"/>
      <c r="N14" s="11">
        <f t="shared" ca="1" si="0"/>
        <v>421</v>
      </c>
      <c r="O14" s="7"/>
      <c r="P14" s="7"/>
      <c r="Q14" s="89"/>
      <c r="R14" s="131" t="s">
        <v>619</v>
      </c>
      <c r="S14"/>
      <c r="V14"/>
      <c r="W14"/>
      <c r="Y14"/>
      <c r="Z14"/>
      <c r="AA14"/>
    </row>
    <row r="15" spans="1:32" ht="55" hidden="1" customHeight="1" x14ac:dyDescent="0.35">
      <c r="A15" s="121">
        <v>118</v>
      </c>
      <c r="B15" s="7" t="s">
        <v>374</v>
      </c>
      <c r="C15" s="7" t="s">
        <v>375</v>
      </c>
      <c r="D15" s="7" t="s">
        <v>370</v>
      </c>
      <c r="E15" s="7" t="s">
        <v>376</v>
      </c>
      <c r="F15" s="8" t="s">
        <v>377</v>
      </c>
      <c r="G15" s="7" t="s">
        <v>378</v>
      </c>
      <c r="H15" s="9">
        <v>45691</v>
      </c>
      <c r="I15" s="7" t="s">
        <v>100</v>
      </c>
      <c r="J15" s="7" t="s">
        <v>507</v>
      </c>
      <c r="K15" s="7"/>
      <c r="L15" s="7"/>
      <c r="M15" s="7"/>
      <c r="N15" s="11">
        <f t="shared" ca="1" si="0"/>
        <v>421</v>
      </c>
      <c r="O15" s="7"/>
      <c r="P15" s="7"/>
      <c r="Q15" s="89"/>
      <c r="R15" s="131" t="s">
        <v>619</v>
      </c>
      <c r="S15"/>
      <c r="V15"/>
      <c r="W15"/>
      <c r="Y15"/>
      <c r="Z15"/>
      <c r="AA15"/>
    </row>
    <row r="16" spans="1:32" ht="72.5" x14ac:dyDescent="0.35">
      <c r="A16" s="121">
        <v>119</v>
      </c>
      <c r="B16" s="7" t="s">
        <v>379</v>
      </c>
      <c r="C16" s="7" t="s">
        <v>380</v>
      </c>
      <c r="D16" s="7" t="s">
        <v>25</v>
      </c>
      <c r="E16" s="7" t="s">
        <v>381</v>
      </c>
      <c r="F16" s="8" t="s">
        <v>382</v>
      </c>
      <c r="G16" s="7" t="s">
        <v>383</v>
      </c>
      <c r="H16" s="9">
        <v>45691</v>
      </c>
      <c r="I16" s="7" t="s">
        <v>100</v>
      </c>
      <c r="J16" s="7" t="s">
        <v>507</v>
      </c>
      <c r="K16" s="7"/>
      <c r="L16" s="7"/>
      <c r="M16" s="7"/>
      <c r="N16" s="11">
        <f t="shared" ca="1" si="0"/>
        <v>421</v>
      </c>
      <c r="O16" s="7"/>
      <c r="P16" s="7"/>
      <c r="Q16" s="89"/>
      <c r="R16" s="88" t="s">
        <v>608</v>
      </c>
      <c r="S16" s="25"/>
      <c r="T16" s="25"/>
      <c r="U16" s="177" t="s">
        <v>770</v>
      </c>
      <c r="V16" s="7" t="s">
        <v>807</v>
      </c>
      <c r="W16" s="23" t="s">
        <v>819</v>
      </c>
      <c r="X16" s="23" t="s">
        <v>878</v>
      </c>
      <c r="Y16" s="203" t="s">
        <v>898</v>
      </c>
      <c r="Z16" s="203"/>
      <c r="AA16" s="203"/>
      <c r="AB16" s="123"/>
    </row>
    <row r="17" spans="1:28" ht="117" customHeight="1" x14ac:dyDescent="0.35">
      <c r="A17" s="121">
        <v>120</v>
      </c>
      <c r="B17" s="7" t="s">
        <v>24</v>
      </c>
      <c r="C17" s="7" t="s">
        <v>384</v>
      </c>
      <c r="D17" s="7" t="s">
        <v>385</v>
      </c>
      <c r="E17" s="7" t="s">
        <v>386</v>
      </c>
      <c r="F17" s="8" t="s">
        <v>387</v>
      </c>
      <c r="G17" s="7" t="s">
        <v>388</v>
      </c>
      <c r="H17" s="9">
        <v>45691</v>
      </c>
      <c r="I17" s="7" t="s">
        <v>100</v>
      </c>
      <c r="J17" s="7" t="s">
        <v>507</v>
      </c>
      <c r="K17" s="7"/>
      <c r="L17" s="7"/>
      <c r="M17" s="124"/>
      <c r="N17" s="127">
        <f t="shared" ca="1" si="0"/>
        <v>421</v>
      </c>
      <c r="O17" s="124"/>
      <c r="P17" s="124"/>
      <c r="Q17" s="128"/>
      <c r="R17" s="162" t="s">
        <v>607</v>
      </c>
      <c r="S17" s="53" t="s">
        <v>743</v>
      </c>
      <c r="T17" s="53" t="s">
        <v>743</v>
      </c>
      <c r="U17" s="124" t="s">
        <v>771</v>
      </c>
      <c r="V17" s="180" t="s">
        <v>803</v>
      </c>
      <c r="W17" s="53" t="s">
        <v>821</v>
      </c>
      <c r="X17" s="53" t="s">
        <v>879</v>
      </c>
      <c r="Y17" s="124" t="s">
        <v>899</v>
      </c>
      <c r="Z17" s="124" t="s">
        <v>899</v>
      </c>
      <c r="AA17" s="124"/>
      <c r="AB17" s="123" t="s">
        <v>817</v>
      </c>
    </row>
    <row r="18" spans="1:28" ht="58" x14ac:dyDescent="0.35">
      <c r="A18" s="121">
        <v>121</v>
      </c>
      <c r="B18" s="7" t="s">
        <v>24</v>
      </c>
      <c r="C18" s="7" t="s">
        <v>384</v>
      </c>
      <c r="D18" s="7" t="s">
        <v>389</v>
      </c>
      <c r="E18" s="7" t="s">
        <v>390</v>
      </c>
      <c r="F18" s="8" t="s">
        <v>391</v>
      </c>
      <c r="G18" s="9" t="s">
        <v>392</v>
      </c>
      <c r="H18" s="9">
        <v>45691</v>
      </c>
      <c r="I18" s="7" t="s">
        <v>100</v>
      </c>
      <c r="J18" s="7" t="s">
        <v>507</v>
      </c>
      <c r="K18" s="7"/>
      <c r="L18" s="7"/>
      <c r="M18" s="7"/>
      <c r="N18" s="11">
        <f t="shared" ca="1" si="0"/>
        <v>421</v>
      </c>
      <c r="O18" s="7"/>
      <c r="P18" s="7"/>
      <c r="Q18" s="89"/>
      <c r="R18" s="89" t="s">
        <v>641</v>
      </c>
      <c r="S18" s="25"/>
      <c r="T18" s="70" t="s">
        <v>756</v>
      </c>
      <c r="U18" s="124" t="s">
        <v>756</v>
      </c>
      <c r="V18" s="124" t="s">
        <v>756</v>
      </c>
      <c r="W18" s="183" t="s">
        <v>842</v>
      </c>
      <c r="X18" s="187" t="s">
        <v>842</v>
      </c>
      <c r="Y18" s="203" t="s">
        <v>894</v>
      </c>
      <c r="Z18" s="203"/>
      <c r="AA18" s="203"/>
      <c r="AB18" s="123"/>
    </row>
    <row r="19" spans="1:28" ht="87" hidden="1" x14ac:dyDescent="0.35">
      <c r="A19" s="6">
        <v>122</v>
      </c>
      <c r="B19" s="7" t="s">
        <v>393</v>
      </c>
      <c r="C19" s="7" t="s">
        <v>394</v>
      </c>
      <c r="D19" s="7" t="s">
        <v>395</v>
      </c>
      <c r="E19" s="7" t="s">
        <v>396</v>
      </c>
      <c r="F19" s="8" t="s">
        <v>397</v>
      </c>
      <c r="G19" s="7" t="s">
        <v>398</v>
      </c>
      <c r="H19" s="9">
        <v>45691</v>
      </c>
      <c r="I19" s="7" t="s">
        <v>100</v>
      </c>
      <c r="J19" s="7" t="s">
        <v>106</v>
      </c>
      <c r="K19" s="7"/>
      <c r="L19" s="7"/>
      <c r="M19" s="7"/>
      <c r="N19" s="11">
        <f t="shared" ca="1" si="0"/>
        <v>421</v>
      </c>
      <c r="O19" s="7"/>
      <c r="P19" s="7"/>
      <c r="Q19" s="89"/>
      <c r="R19" s="104" t="s">
        <v>640</v>
      </c>
      <c r="S19"/>
      <c r="V19"/>
      <c r="W19"/>
      <c r="Y19"/>
      <c r="Z19"/>
      <c r="AA19"/>
    </row>
    <row r="20" spans="1:28" ht="188.5" x14ac:dyDescent="0.35">
      <c r="A20" s="119">
        <v>123</v>
      </c>
      <c r="B20" s="7" t="s">
        <v>393</v>
      </c>
      <c r="C20" s="7" t="s">
        <v>399</v>
      </c>
      <c r="D20" s="7" t="s">
        <v>400</v>
      </c>
      <c r="E20" s="7" t="s">
        <v>401</v>
      </c>
      <c r="F20" s="8" t="s">
        <v>402</v>
      </c>
      <c r="G20" s="7" t="s">
        <v>403</v>
      </c>
      <c r="H20" s="9">
        <v>45691</v>
      </c>
      <c r="I20" s="7" t="s">
        <v>100</v>
      </c>
      <c r="J20" s="7" t="s">
        <v>507</v>
      </c>
      <c r="K20" s="7"/>
      <c r="L20" s="7"/>
      <c r="M20" s="7"/>
      <c r="N20" s="11">
        <f t="shared" ca="1" si="0"/>
        <v>421</v>
      </c>
      <c r="O20" s="7"/>
      <c r="P20" s="7"/>
      <c r="Q20" s="89"/>
      <c r="R20" s="88" t="s">
        <v>608</v>
      </c>
      <c r="S20" s="25"/>
      <c r="T20" s="25"/>
      <c r="U20" s="124" t="s">
        <v>767</v>
      </c>
      <c r="V20" s="7" t="s">
        <v>801</v>
      </c>
      <c r="W20" s="183" t="s">
        <v>822</v>
      </c>
      <c r="X20" s="187" t="s">
        <v>822</v>
      </c>
      <c r="Y20" s="53" t="s">
        <v>888</v>
      </c>
      <c r="Z20" s="53"/>
      <c r="AA20" s="53"/>
      <c r="AB20" s="123" t="s">
        <v>926</v>
      </c>
    </row>
    <row r="21" spans="1:28" ht="25.5" hidden="1" customHeight="1" x14ac:dyDescent="0.35">
      <c r="A21" s="121">
        <v>124</v>
      </c>
      <c r="B21" s="7" t="s">
        <v>404</v>
      </c>
      <c r="C21" s="7" t="s">
        <v>405</v>
      </c>
      <c r="D21" s="7" t="s">
        <v>365</v>
      </c>
      <c r="E21" s="7" t="s">
        <v>406</v>
      </c>
      <c r="F21" s="8" t="s">
        <v>407</v>
      </c>
      <c r="G21" s="7" t="s">
        <v>408</v>
      </c>
      <c r="H21" s="9">
        <v>45691</v>
      </c>
      <c r="I21" s="7" t="s">
        <v>100</v>
      </c>
      <c r="J21" s="7" t="s">
        <v>507</v>
      </c>
      <c r="K21" s="7"/>
      <c r="L21" s="7"/>
      <c r="M21" s="7"/>
      <c r="N21" s="11">
        <f t="shared" ca="1" si="0"/>
        <v>421</v>
      </c>
      <c r="O21" s="7"/>
      <c r="P21" s="7"/>
      <c r="Q21" s="89"/>
      <c r="R21" s="131" t="s">
        <v>619</v>
      </c>
      <c r="S21"/>
      <c r="V21"/>
      <c r="W21"/>
      <c r="Y21"/>
      <c r="Z21"/>
      <c r="AA21"/>
    </row>
    <row r="22" spans="1:28" ht="145" hidden="1" x14ac:dyDescent="0.35">
      <c r="A22" s="121">
        <v>125</v>
      </c>
      <c r="B22" s="7" t="s">
        <v>409</v>
      </c>
      <c r="C22" s="7" t="s">
        <v>410</v>
      </c>
      <c r="D22" s="7" t="s">
        <v>365</v>
      </c>
      <c r="E22" s="7" t="s">
        <v>411</v>
      </c>
      <c r="F22" s="8" t="s">
        <v>412</v>
      </c>
      <c r="G22" s="7" t="s">
        <v>413</v>
      </c>
      <c r="H22" s="9">
        <v>45691</v>
      </c>
      <c r="I22" s="7" t="s">
        <v>100</v>
      </c>
      <c r="J22" s="104" t="s">
        <v>602</v>
      </c>
      <c r="K22" s="7"/>
      <c r="L22" s="7"/>
      <c r="M22" s="7"/>
      <c r="N22" s="11">
        <f t="shared" ca="1" si="0"/>
        <v>421</v>
      </c>
      <c r="O22" s="7"/>
      <c r="P22" s="7"/>
      <c r="Q22" s="89"/>
      <c r="R22" s="104" t="s">
        <v>640</v>
      </c>
      <c r="S22"/>
      <c r="V22"/>
      <c r="W22"/>
      <c r="Y22"/>
      <c r="Z22"/>
      <c r="AA22"/>
    </row>
    <row r="23" spans="1:28" ht="87" hidden="1" x14ac:dyDescent="0.35">
      <c r="A23" s="6">
        <v>126</v>
      </c>
      <c r="B23" s="7" t="s">
        <v>26</v>
      </c>
      <c r="C23" s="7" t="s">
        <v>414</v>
      </c>
      <c r="D23" s="7" t="s">
        <v>395</v>
      </c>
      <c r="E23" s="7" t="s">
        <v>396</v>
      </c>
      <c r="F23" s="8" t="s">
        <v>415</v>
      </c>
      <c r="G23" s="7" t="s">
        <v>416</v>
      </c>
      <c r="H23" s="9">
        <v>45691</v>
      </c>
      <c r="I23" s="7" t="s">
        <v>100</v>
      </c>
      <c r="J23" s="7" t="s">
        <v>106</v>
      </c>
      <c r="K23" s="7"/>
      <c r="L23" s="7"/>
      <c r="M23" s="7"/>
      <c r="N23" s="11">
        <f t="shared" ca="1" si="0"/>
        <v>421</v>
      </c>
      <c r="O23" s="7" t="s">
        <v>516</v>
      </c>
      <c r="P23" s="7"/>
      <c r="Q23" s="89"/>
      <c r="R23" s="104" t="s">
        <v>640</v>
      </c>
      <c r="S23"/>
      <c r="V23"/>
      <c r="W23"/>
      <c r="Y23"/>
      <c r="Z23"/>
      <c r="AA23"/>
    </row>
    <row r="24" spans="1:28" ht="87" hidden="1" x14ac:dyDescent="0.35">
      <c r="A24" s="6">
        <v>127</v>
      </c>
      <c r="B24" s="7" t="s">
        <v>26</v>
      </c>
      <c r="C24" s="7" t="s">
        <v>414</v>
      </c>
      <c r="D24" s="7" t="s">
        <v>395</v>
      </c>
      <c r="E24" s="7" t="s">
        <v>396</v>
      </c>
      <c r="F24" s="8" t="s">
        <v>417</v>
      </c>
      <c r="G24" s="7" t="s">
        <v>418</v>
      </c>
      <c r="H24" s="9">
        <v>45691</v>
      </c>
      <c r="I24" s="7" t="s">
        <v>100</v>
      </c>
      <c r="J24" s="7" t="s">
        <v>106</v>
      </c>
      <c r="K24" s="7"/>
      <c r="L24" s="7"/>
      <c r="M24" s="7"/>
      <c r="N24" s="11">
        <f t="shared" ca="1" si="0"/>
        <v>421</v>
      </c>
      <c r="O24" s="7" t="s">
        <v>516</v>
      </c>
      <c r="P24" s="7"/>
      <c r="Q24" s="89"/>
      <c r="R24" s="104" t="s">
        <v>640</v>
      </c>
      <c r="S24"/>
      <c r="V24"/>
      <c r="W24"/>
      <c r="Y24"/>
      <c r="Z24"/>
      <c r="AA24"/>
    </row>
    <row r="25" spans="1:28" ht="87" hidden="1" x14ac:dyDescent="0.35">
      <c r="A25" s="119">
        <v>128</v>
      </c>
      <c r="B25" s="7" t="s">
        <v>26</v>
      </c>
      <c r="C25" s="7" t="s">
        <v>414</v>
      </c>
      <c r="D25" s="7" t="s">
        <v>395</v>
      </c>
      <c r="E25" s="7" t="s">
        <v>396</v>
      </c>
      <c r="F25" s="8" t="s">
        <v>419</v>
      </c>
      <c r="G25" s="7" t="s">
        <v>420</v>
      </c>
      <c r="H25" s="9">
        <v>45691</v>
      </c>
      <c r="I25" s="7" t="s">
        <v>100</v>
      </c>
      <c r="J25" s="7" t="s">
        <v>106</v>
      </c>
      <c r="K25" s="7"/>
      <c r="L25" s="7"/>
      <c r="M25" s="7"/>
      <c r="N25" s="11">
        <f t="shared" ca="1" si="0"/>
        <v>421</v>
      </c>
      <c r="O25" s="7" t="s">
        <v>516</v>
      </c>
      <c r="P25" s="7"/>
      <c r="Q25" s="89"/>
      <c r="R25" s="88" t="s">
        <v>624</v>
      </c>
      <c r="S25" s="23" t="s">
        <v>744</v>
      </c>
      <c r="T25" s="23" t="s">
        <v>744</v>
      </c>
      <c r="V25"/>
      <c r="W25"/>
      <c r="Y25"/>
      <c r="Z25"/>
      <c r="AA25"/>
    </row>
    <row r="26" spans="1:28" ht="145" hidden="1" x14ac:dyDescent="0.35">
      <c r="A26" s="119">
        <v>129</v>
      </c>
      <c r="B26" s="7" t="s">
        <v>421</v>
      </c>
      <c r="C26" s="7" t="s">
        <v>422</v>
      </c>
      <c r="D26" s="7" t="s">
        <v>423</v>
      </c>
      <c r="E26" s="7" t="s">
        <v>424</v>
      </c>
      <c r="F26" s="8" t="s">
        <v>425</v>
      </c>
      <c r="G26" s="7" t="s">
        <v>426</v>
      </c>
      <c r="H26" s="9">
        <v>45691</v>
      </c>
      <c r="I26" s="7" t="s">
        <v>100</v>
      </c>
      <c r="J26" s="7" t="s">
        <v>105</v>
      </c>
      <c r="K26" s="7"/>
      <c r="L26" s="7"/>
      <c r="M26" s="7"/>
      <c r="N26" s="11">
        <f t="shared" ca="1" si="0"/>
        <v>421</v>
      </c>
      <c r="O26" s="7"/>
      <c r="P26" s="7"/>
      <c r="Q26" s="89"/>
      <c r="R26" s="131" t="s">
        <v>619</v>
      </c>
      <c r="S26"/>
      <c r="V26"/>
      <c r="W26"/>
      <c r="Y26"/>
      <c r="Z26"/>
      <c r="AA26"/>
    </row>
    <row r="27" spans="1:28" ht="145" hidden="1" x14ac:dyDescent="0.35">
      <c r="A27" s="119">
        <v>130</v>
      </c>
      <c r="B27" s="7" t="s">
        <v>421</v>
      </c>
      <c r="C27" s="7" t="s">
        <v>427</v>
      </c>
      <c r="D27" s="7" t="s">
        <v>423</v>
      </c>
      <c r="E27" s="7" t="s">
        <v>424</v>
      </c>
      <c r="F27" s="8" t="s">
        <v>428</v>
      </c>
      <c r="G27" s="7" t="s">
        <v>413</v>
      </c>
      <c r="H27" s="9" t="s">
        <v>508</v>
      </c>
      <c r="I27" s="7" t="s">
        <v>100</v>
      </c>
      <c r="J27" s="7" t="s">
        <v>105</v>
      </c>
      <c r="K27" s="7"/>
      <c r="L27" s="7"/>
      <c r="M27" s="7"/>
      <c r="N27" s="11" t="e">
        <f t="shared" ca="1" si="0"/>
        <v>#VALUE!</v>
      </c>
      <c r="O27" s="7"/>
      <c r="P27" s="7"/>
      <c r="Q27" s="89"/>
      <c r="R27" s="131" t="s">
        <v>619</v>
      </c>
      <c r="S27"/>
      <c r="V27"/>
      <c r="W27"/>
      <c r="Y27"/>
      <c r="Z27"/>
      <c r="AA27"/>
    </row>
    <row r="28" spans="1:28" ht="72.5" x14ac:dyDescent="0.35">
      <c r="A28" s="178">
        <v>131</v>
      </c>
      <c r="B28" s="104" t="s">
        <v>429</v>
      </c>
      <c r="C28" s="104" t="s">
        <v>430</v>
      </c>
      <c r="D28" s="125" t="s">
        <v>431</v>
      </c>
      <c r="E28" s="125" t="s">
        <v>432</v>
      </c>
      <c r="F28" s="179" t="s">
        <v>433</v>
      </c>
      <c r="G28" s="104"/>
      <c r="H28" s="9">
        <v>45691</v>
      </c>
      <c r="I28" s="7" t="s">
        <v>100</v>
      </c>
      <c r="J28" s="7" t="s">
        <v>106</v>
      </c>
      <c r="K28" s="7"/>
      <c r="L28" s="7"/>
      <c r="M28" s="7"/>
      <c r="N28" s="109">
        <f t="shared" ca="1" si="0"/>
        <v>421</v>
      </c>
      <c r="O28" s="125" t="s">
        <v>516</v>
      </c>
      <c r="P28" s="7"/>
      <c r="Q28" s="89"/>
      <c r="R28" s="162" t="s">
        <v>740</v>
      </c>
      <c r="S28" s="25" t="s">
        <v>745</v>
      </c>
      <c r="T28" s="25" t="s">
        <v>757</v>
      </c>
      <c r="U28" s="25" t="s">
        <v>766</v>
      </c>
      <c r="V28" s="25" t="s">
        <v>802</v>
      </c>
      <c r="W28" s="183" t="s">
        <v>842</v>
      </c>
      <c r="X28" s="187" t="s">
        <v>842</v>
      </c>
      <c r="Y28" s="203" t="s">
        <v>894</v>
      </c>
      <c r="Z28" s="203"/>
      <c r="AA28" s="203"/>
      <c r="AB28" s="123"/>
    </row>
    <row r="29" spans="1:28" ht="72.5" x14ac:dyDescent="0.35">
      <c r="A29" s="178">
        <v>132</v>
      </c>
      <c r="B29" s="104" t="s">
        <v>429</v>
      </c>
      <c r="C29" s="104" t="s">
        <v>430</v>
      </c>
      <c r="D29" s="125" t="s">
        <v>431</v>
      </c>
      <c r="E29" s="125" t="s">
        <v>432</v>
      </c>
      <c r="F29" s="179" t="s">
        <v>434</v>
      </c>
      <c r="G29" s="104"/>
      <c r="H29" s="9">
        <v>45691</v>
      </c>
      <c r="I29" s="7" t="s">
        <v>100</v>
      </c>
      <c r="J29" s="7" t="s">
        <v>106</v>
      </c>
      <c r="K29" s="7"/>
      <c r="L29" s="7"/>
      <c r="M29" s="7"/>
      <c r="N29" s="109">
        <f t="shared" ca="1" si="0"/>
        <v>421</v>
      </c>
      <c r="O29" s="125" t="s">
        <v>516</v>
      </c>
      <c r="P29" s="7"/>
      <c r="Q29" s="89"/>
      <c r="R29" s="162" t="s">
        <v>740</v>
      </c>
      <c r="S29" s="25" t="s">
        <v>745</v>
      </c>
      <c r="T29" s="25" t="s">
        <v>757</v>
      </c>
      <c r="U29" s="25" t="s">
        <v>766</v>
      </c>
      <c r="V29" s="25" t="s">
        <v>802</v>
      </c>
      <c r="W29" s="183" t="s">
        <v>842</v>
      </c>
      <c r="X29" s="187" t="s">
        <v>842</v>
      </c>
      <c r="Y29" s="203" t="s">
        <v>894</v>
      </c>
      <c r="Z29" s="203"/>
      <c r="AA29" s="203"/>
      <c r="AB29" s="123"/>
    </row>
    <row r="30" spans="1:28" ht="95.5" customHeight="1" x14ac:dyDescent="0.35">
      <c r="A30" s="6">
        <v>133</v>
      </c>
      <c r="B30" s="7" t="s">
        <v>393</v>
      </c>
      <c r="C30" s="7" t="s">
        <v>435</v>
      </c>
      <c r="D30" s="7" t="s">
        <v>436</v>
      </c>
      <c r="E30" s="7" t="s">
        <v>437</v>
      </c>
      <c r="F30" s="8" t="s">
        <v>438</v>
      </c>
      <c r="G30" s="7" t="s">
        <v>439</v>
      </c>
      <c r="H30" s="9">
        <v>45691</v>
      </c>
      <c r="I30" s="7" t="s">
        <v>100</v>
      </c>
      <c r="J30" s="7" t="s">
        <v>106</v>
      </c>
      <c r="K30" s="7"/>
      <c r="L30" s="7"/>
      <c r="M30" s="7"/>
      <c r="N30" s="11">
        <f t="shared" ca="1" si="0"/>
        <v>421</v>
      </c>
      <c r="O30" s="7" t="s">
        <v>517</v>
      </c>
      <c r="P30" s="7"/>
      <c r="Q30" s="89"/>
      <c r="R30" s="88" t="s">
        <v>620</v>
      </c>
      <c r="S30" s="25"/>
      <c r="T30" s="25"/>
      <c r="U30" s="124" t="s">
        <v>800</v>
      </c>
      <c r="V30" s="124" t="s">
        <v>815</v>
      </c>
      <c r="W30" s="183" t="s">
        <v>843</v>
      </c>
      <c r="X30" s="90" t="s">
        <v>886</v>
      </c>
      <c r="Y30" s="205" t="s">
        <v>896</v>
      </c>
      <c r="Z30" s="205"/>
      <c r="AA30" s="205"/>
      <c r="AB30" s="238"/>
    </row>
    <row r="31" spans="1:28" ht="74" hidden="1" customHeight="1" x14ac:dyDescent="0.35">
      <c r="A31" s="6">
        <v>134</v>
      </c>
      <c r="B31" s="7" t="s">
        <v>27</v>
      </c>
      <c r="C31" s="7" t="s">
        <v>27</v>
      </c>
      <c r="D31" s="7" t="s">
        <v>28</v>
      </c>
      <c r="E31" s="7" t="s">
        <v>29</v>
      </c>
      <c r="F31" s="8" t="s">
        <v>30</v>
      </c>
      <c r="G31" s="7" t="s">
        <v>31</v>
      </c>
      <c r="H31" s="36">
        <v>45615</v>
      </c>
      <c r="I31" s="7" t="s">
        <v>100</v>
      </c>
      <c r="J31" s="7" t="s">
        <v>126</v>
      </c>
      <c r="K31" s="7"/>
      <c r="L31" s="7"/>
      <c r="M31" s="69">
        <v>45846</v>
      </c>
      <c r="N31" s="11">
        <f t="shared" ca="1" si="0"/>
        <v>497</v>
      </c>
      <c r="O31" s="7" t="s">
        <v>107</v>
      </c>
      <c r="P31" s="9">
        <v>45846</v>
      </c>
      <c r="Q31" s="13"/>
      <c r="S31"/>
      <c r="V31"/>
      <c r="W31"/>
      <c r="Y31"/>
      <c r="Z31"/>
      <c r="AA31"/>
    </row>
    <row r="32" spans="1:28" ht="232" hidden="1" x14ac:dyDescent="0.35">
      <c r="A32" s="6">
        <v>135</v>
      </c>
      <c r="B32" s="104" t="s">
        <v>26</v>
      </c>
      <c r="C32" s="104" t="s">
        <v>26</v>
      </c>
      <c r="D32" s="104" t="s">
        <v>440</v>
      </c>
      <c r="E32" s="104" t="s">
        <v>441</v>
      </c>
      <c r="F32" s="107" t="s">
        <v>442</v>
      </c>
      <c r="G32" s="104" t="s">
        <v>443</v>
      </c>
      <c r="H32" s="108">
        <v>45699</v>
      </c>
      <c r="I32" s="104" t="s">
        <v>100</v>
      </c>
      <c r="J32" s="104" t="s">
        <v>509</v>
      </c>
      <c r="K32" s="104"/>
      <c r="L32" s="104"/>
      <c r="M32" s="108">
        <v>45869</v>
      </c>
      <c r="N32" s="109">
        <f t="shared" ca="1" si="0"/>
        <v>413</v>
      </c>
      <c r="O32" s="104" t="s">
        <v>518</v>
      </c>
      <c r="P32" s="104"/>
      <c r="Q32" s="117"/>
      <c r="R32" s="104" t="s">
        <v>625</v>
      </c>
      <c r="S32"/>
      <c r="V32"/>
      <c r="W32"/>
      <c r="Y32"/>
      <c r="Z32"/>
      <c r="AA32"/>
    </row>
    <row r="33" spans="1:28" ht="130.5" hidden="1" x14ac:dyDescent="0.35">
      <c r="A33" s="6">
        <v>187</v>
      </c>
      <c r="B33" s="104" t="s">
        <v>410</v>
      </c>
      <c r="C33" s="104" t="s">
        <v>444</v>
      </c>
      <c r="D33" s="104" t="s">
        <v>445</v>
      </c>
      <c r="E33" s="104" t="s">
        <v>446</v>
      </c>
      <c r="F33" s="107" t="s">
        <v>447</v>
      </c>
      <c r="G33" s="104" t="s">
        <v>448</v>
      </c>
      <c r="H33" s="108">
        <v>45792</v>
      </c>
      <c r="I33" s="104" t="s">
        <v>100</v>
      </c>
      <c r="J33" s="104" t="s">
        <v>507</v>
      </c>
      <c r="K33" s="104"/>
      <c r="L33" s="104"/>
      <c r="M33" s="104"/>
      <c r="N33" s="109">
        <f t="shared" ca="1" si="0"/>
        <v>320</v>
      </c>
      <c r="O33" s="104"/>
      <c r="P33" s="104"/>
      <c r="Q33" s="117"/>
      <c r="R33" s="104" t="s">
        <v>625</v>
      </c>
      <c r="S33"/>
      <c r="V33"/>
      <c r="W33"/>
      <c r="Y33"/>
      <c r="Z33"/>
      <c r="AA33"/>
    </row>
    <row r="34" spans="1:28" ht="101.5" hidden="1" x14ac:dyDescent="0.35">
      <c r="A34" s="6">
        <v>40</v>
      </c>
      <c r="B34" s="104" t="s">
        <v>33</v>
      </c>
      <c r="C34" s="104" t="s">
        <v>33</v>
      </c>
      <c r="D34" s="104" t="s">
        <v>449</v>
      </c>
      <c r="E34" s="104" t="s">
        <v>450</v>
      </c>
      <c r="F34" s="107" t="s">
        <v>451</v>
      </c>
      <c r="G34" s="104" t="s">
        <v>452</v>
      </c>
      <c r="H34" s="108">
        <v>45691</v>
      </c>
      <c r="I34" s="104" t="s">
        <v>100</v>
      </c>
      <c r="J34" s="104" t="s">
        <v>594</v>
      </c>
      <c r="K34" s="104"/>
      <c r="L34" s="104"/>
      <c r="M34" s="104"/>
      <c r="N34" s="109">
        <f t="shared" ca="1" si="0"/>
        <v>421</v>
      </c>
      <c r="O34" s="104"/>
      <c r="P34" s="104"/>
      <c r="Q34" s="117"/>
      <c r="R34" s="104" t="s">
        <v>625</v>
      </c>
      <c r="S34"/>
      <c r="V34"/>
      <c r="W34"/>
      <c r="Y34"/>
      <c r="Z34"/>
      <c r="AA34"/>
    </row>
    <row r="35" spans="1:28" ht="29" hidden="1" x14ac:dyDescent="0.35">
      <c r="A35" s="6">
        <v>41</v>
      </c>
      <c r="B35" s="7" t="s">
        <v>33</v>
      </c>
      <c r="C35" s="7" t="s">
        <v>33</v>
      </c>
      <c r="D35" s="7" t="s">
        <v>449</v>
      </c>
      <c r="E35" s="7" t="s">
        <v>453</v>
      </c>
      <c r="F35" s="43" t="s">
        <v>34</v>
      </c>
      <c r="G35" s="7"/>
      <c r="H35" s="53"/>
      <c r="I35" s="7" t="s">
        <v>100</v>
      </c>
      <c r="J35" s="7"/>
      <c r="K35" s="7"/>
      <c r="L35" s="7"/>
      <c r="M35" s="7"/>
      <c r="N35" s="11">
        <f t="shared" ca="1" si="0"/>
        <v>46112</v>
      </c>
      <c r="O35" s="53" t="s">
        <v>519</v>
      </c>
      <c r="P35" s="7"/>
      <c r="Q35" s="13"/>
      <c r="S35"/>
      <c r="V35"/>
      <c r="W35"/>
      <c r="Y35"/>
      <c r="Z35"/>
      <c r="AA35"/>
    </row>
    <row r="36" spans="1:28" ht="130.5" hidden="1" x14ac:dyDescent="0.35">
      <c r="A36" s="119">
        <v>42</v>
      </c>
      <c r="B36" s="7" t="s">
        <v>33</v>
      </c>
      <c r="C36" s="7" t="s">
        <v>33</v>
      </c>
      <c r="D36" s="7" t="s">
        <v>454</v>
      </c>
      <c r="E36" s="7" t="s">
        <v>455</v>
      </c>
      <c r="F36" s="8" t="s">
        <v>456</v>
      </c>
      <c r="G36" s="7" t="s">
        <v>457</v>
      </c>
      <c r="H36" s="9">
        <v>45691</v>
      </c>
      <c r="I36" s="7" t="s">
        <v>100</v>
      </c>
      <c r="J36" s="7" t="s">
        <v>105</v>
      </c>
      <c r="K36" s="7"/>
      <c r="L36" s="7"/>
      <c r="M36" s="7"/>
      <c r="N36" s="11">
        <f t="shared" ca="1" si="0"/>
        <v>421</v>
      </c>
      <c r="O36" s="7"/>
      <c r="P36" s="7"/>
      <c r="Q36" s="89"/>
      <c r="R36" s="131" t="s">
        <v>619</v>
      </c>
      <c r="S36"/>
      <c r="V36"/>
      <c r="W36"/>
      <c r="Y36"/>
      <c r="Z36"/>
      <c r="AA36"/>
    </row>
    <row r="37" spans="1:28" ht="174" x14ac:dyDescent="0.35">
      <c r="A37" s="119">
        <v>43</v>
      </c>
      <c r="B37" s="7" t="s">
        <v>33</v>
      </c>
      <c r="C37" s="7" t="s">
        <v>33</v>
      </c>
      <c r="D37" s="7" t="s">
        <v>458</v>
      </c>
      <c r="E37" s="7" t="s">
        <v>459</v>
      </c>
      <c r="F37" s="8">
        <v>458</v>
      </c>
      <c r="G37" s="7" t="s">
        <v>460</v>
      </c>
      <c r="H37" s="9">
        <v>45691</v>
      </c>
      <c r="I37" s="7" t="s">
        <v>100</v>
      </c>
      <c r="J37" s="7" t="s">
        <v>507</v>
      </c>
      <c r="K37" s="7"/>
      <c r="L37" s="7"/>
      <c r="M37" s="7"/>
      <c r="N37" s="11">
        <f t="shared" ca="1" si="0"/>
        <v>421</v>
      </c>
      <c r="O37" s="7"/>
      <c r="P37" s="7"/>
      <c r="Q37" s="89"/>
      <c r="R37" s="174" t="s">
        <v>758</v>
      </c>
      <c r="S37" s="7" t="s">
        <v>746</v>
      </c>
      <c r="T37" s="7" t="s">
        <v>747</v>
      </c>
      <c r="U37" s="53" t="s">
        <v>747</v>
      </c>
      <c r="V37" s="7" t="s">
        <v>777</v>
      </c>
      <c r="W37" s="183" t="s">
        <v>844</v>
      </c>
      <c r="X37" s="187" t="s">
        <v>844</v>
      </c>
      <c r="Y37" s="203" t="s">
        <v>927</v>
      </c>
      <c r="Z37" s="203"/>
      <c r="AA37" s="203"/>
      <c r="AB37" s="123"/>
    </row>
    <row r="38" spans="1:28" ht="145" x14ac:dyDescent="0.35">
      <c r="A38" s="6">
        <v>47</v>
      </c>
      <c r="B38" s="7" t="s">
        <v>33</v>
      </c>
      <c r="C38" s="7" t="s">
        <v>33</v>
      </c>
      <c r="D38" s="7" t="s">
        <v>461</v>
      </c>
      <c r="E38" s="7" t="s">
        <v>462</v>
      </c>
      <c r="F38" s="43" t="s">
        <v>463</v>
      </c>
      <c r="G38" s="7"/>
      <c r="H38" s="9">
        <v>45721</v>
      </c>
      <c r="I38" s="7" t="s">
        <v>100</v>
      </c>
      <c r="J38" s="7"/>
      <c r="K38" s="7"/>
      <c r="L38" s="7"/>
      <c r="M38" s="120">
        <v>45848</v>
      </c>
      <c r="N38" s="11">
        <f t="shared" ca="1" si="0"/>
        <v>391</v>
      </c>
      <c r="O38" s="7" t="s">
        <v>520</v>
      </c>
      <c r="P38" s="7"/>
      <c r="Q38" s="89"/>
      <c r="R38" s="88" t="s">
        <v>616</v>
      </c>
      <c r="S38" s="7" t="s">
        <v>747</v>
      </c>
      <c r="T38" s="7" t="s">
        <v>747</v>
      </c>
      <c r="U38" s="53" t="s">
        <v>747</v>
      </c>
      <c r="V38" s="7" t="s">
        <v>808</v>
      </c>
      <c r="W38" s="183" t="s">
        <v>842</v>
      </c>
      <c r="X38" s="187" t="s">
        <v>842</v>
      </c>
      <c r="Y38" s="203" t="s">
        <v>894</v>
      </c>
      <c r="Z38" s="203"/>
      <c r="AA38" s="203"/>
      <c r="AB38" s="123"/>
    </row>
    <row r="39" spans="1:28" ht="87" hidden="1" x14ac:dyDescent="0.35">
      <c r="A39" s="6">
        <v>61</v>
      </c>
      <c r="B39" s="7" t="s">
        <v>33</v>
      </c>
      <c r="C39" s="7" t="s">
        <v>33</v>
      </c>
      <c r="D39" s="7" t="s">
        <v>35</v>
      </c>
      <c r="E39" s="7" t="s">
        <v>36</v>
      </c>
      <c r="F39" s="8" t="s">
        <v>34</v>
      </c>
      <c r="G39" s="7"/>
      <c r="H39" s="9">
        <v>45433</v>
      </c>
      <c r="I39" s="7" t="s">
        <v>100</v>
      </c>
      <c r="J39" s="7" t="s">
        <v>106</v>
      </c>
      <c r="K39" s="7"/>
      <c r="L39" s="7"/>
      <c r="M39" s="9">
        <v>45849</v>
      </c>
      <c r="N39" s="11">
        <f t="shared" ca="1" si="0"/>
        <v>679</v>
      </c>
      <c r="O39" s="7" t="s">
        <v>516</v>
      </c>
      <c r="P39" s="7"/>
      <c r="Q39" s="13"/>
      <c r="S39"/>
      <c r="V39"/>
      <c r="W39"/>
      <c r="Y39"/>
      <c r="Z39"/>
      <c r="AA39"/>
    </row>
    <row r="40" spans="1:28" ht="29" hidden="1" x14ac:dyDescent="0.35">
      <c r="A40" s="6">
        <v>62</v>
      </c>
      <c r="B40" s="7" t="s">
        <v>33</v>
      </c>
      <c r="C40" s="7" t="s">
        <v>33</v>
      </c>
      <c r="D40" s="7" t="s">
        <v>35</v>
      </c>
      <c r="E40" s="7" t="s">
        <v>36</v>
      </c>
      <c r="F40" s="43" t="s">
        <v>34</v>
      </c>
      <c r="G40" s="7"/>
      <c r="H40" s="53"/>
      <c r="I40" s="7" t="s">
        <v>100</v>
      </c>
      <c r="J40" s="7"/>
      <c r="K40" s="7"/>
      <c r="L40" s="7"/>
      <c r="M40" s="7"/>
      <c r="N40" s="11">
        <f t="shared" ca="1" si="0"/>
        <v>46112</v>
      </c>
      <c r="O40" s="53" t="s">
        <v>519</v>
      </c>
      <c r="P40" s="7"/>
      <c r="Q40" s="13"/>
      <c r="S40"/>
      <c r="V40"/>
      <c r="W40"/>
      <c r="Y40"/>
      <c r="Z40"/>
      <c r="AA40"/>
    </row>
    <row r="41" spans="1:28" ht="29" hidden="1" x14ac:dyDescent="0.35">
      <c r="A41" s="6">
        <v>64</v>
      </c>
      <c r="B41" s="7" t="s">
        <v>33</v>
      </c>
      <c r="C41" s="7" t="s">
        <v>33</v>
      </c>
      <c r="D41" s="7" t="s">
        <v>464</v>
      </c>
      <c r="E41" s="7" t="s">
        <v>465</v>
      </c>
      <c r="F41" s="43">
        <v>12226</v>
      </c>
      <c r="G41" s="7"/>
      <c r="H41" s="53"/>
      <c r="I41" s="7" t="s">
        <v>100</v>
      </c>
      <c r="J41" s="7"/>
      <c r="K41" s="7"/>
      <c r="L41" s="7"/>
      <c r="M41" s="7"/>
      <c r="N41" s="11">
        <f t="shared" ca="1" si="0"/>
        <v>46112</v>
      </c>
      <c r="O41" s="53" t="s">
        <v>519</v>
      </c>
      <c r="P41" s="7"/>
      <c r="Q41" s="13"/>
      <c r="S41"/>
      <c r="V41"/>
      <c r="W41"/>
      <c r="Y41"/>
      <c r="Z41"/>
      <c r="AA41"/>
    </row>
    <row r="42" spans="1:28" ht="203" hidden="1" x14ac:dyDescent="0.35">
      <c r="A42" s="6">
        <v>83</v>
      </c>
      <c r="B42" s="7" t="s">
        <v>33</v>
      </c>
      <c r="C42" s="7" t="s">
        <v>33</v>
      </c>
      <c r="D42" s="44" t="s">
        <v>37</v>
      </c>
      <c r="E42" s="7" t="s">
        <v>38</v>
      </c>
      <c r="F42" s="8" t="s">
        <v>39</v>
      </c>
      <c r="G42" s="7" t="s">
        <v>466</v>
      </c>
      <c r="H42" s="36">
        <v>45433</v>
      </c>
      <c r="I42" s="7" t="s">
        <v>100</v>
      </c>
      <c r="J42" s="7" t="s">
        <v>105</v>
      </c>
      <c r="K42" s="7"/>
      <c r="L42" s="7"/>
      <c r="M42" s="7"/>
      <c r="N42" s="11">
        <f t="shared" ca="1" si="0"/>
        <v>679</v>
      </c>
      <c r="O42" s="7" t="s">
        <v>521</v>
      </c>
      <c r="P42" s="7"/>
      <c r="Q42" s="13"/>
      <c r="S42"/>
      <c r="V42"/>
      <c r="W42"/>
      <c r="Y42"/>
      <c r="Z42"/>
      <c r="AA42"/>
    </row>
    <row r="43" spans="1:28" ht="203" hidden="1" x14ac:dyDescent="0.35">
      <c r="A43" s="6">
        <v>85</v>
      </c>
      <c r="B43" s="7" t="s">
        <v>33</v>
      </c>
      <c r="C43" s="7" t="s">
        <v>33</v>
      </c>
      <c r="D43" s="44" t="s">
        <v>37</v>
      </c>
      <c r="E43" s="7" t="s">
        <v>38</v>
      </c>
      <c r="F43" s="8" t="s">
        <v>40</v>
      </c>
      <c r="G43" s="7" t="s">
        <v>466</v>
      </c>
      <c r="H43" s="36">
        <v>45433</v>
      </c>
      <c r="I43" s="7" t="s">
        <v>100</v>
      </c>
      <c r="J43" s="7" t="s">
        <v>105</v>
      </c>
      <c r="K43" s="7"/>
      <c r="L43" s="7"/>
      <c r="M43" s="7"/>
      <c r="N43" s="11">
        <f t="shared" ca="1" si="0"/>
        <v>679</v>
      </c>
      <c r="O43" s="7" t="s">
        <v>521</v>
      </c>
      <c r="P43" s="7"/>
      <c r="Q43" s="13"/>
      <c r="S43"/>
      <c r="V43"/>
      <c r="W43"/>
      <c r="Y43"/>
      <c r="Z43"/>
      <c r="AA43"/>
    </row>
    <row r="44" spans="1:28" ht="72.5" hidden="1" x14ac:dyDescent="0.35">
      <c r="A44" s="6">
        <v>86</v>
      </c>
      <c r="B44" s="7" t="s">
        <v>33</v>
      </c>
      <c r="C44" s="7" t="s">
        <v>33</v>
      </c>
      <c r="D44" s="44" t="s">
        <v>37</v>
      </c>
      <c r="E44" s="7" t="s">
        <v>38</v>
      </c>
      <c r="F44" s="8" t="s">
        <v>41</v>
      </c>
      <c r="G44" s="7"/>
      <c r="H44" s="36">
        <v>45442</v>
      </c>
      <c r="I44" s="7" t="s">
        <v>100</v>
      </c>
      <c r="J44" s="7" t="s">
        <v>105</v>
      </c>
      <c r="K44" s="7"/>
      <c r="L44" s="7"/>
      <c r="M44" s="7"/>
      <c r="N44" s="11">
        <f t="shared" ca="1" si="0"/>
        <v>670</v>
      </c>
      <c r="O44" s="7" t="s">
        <v>521</v>
      </c>
      <c r="P44" s="7"/>
      <c r="Q44" s="13"/>
      <c r="S44"/>
      <c r="V44"/>
      <c r="W44"/>
      <c r="Y44"/>
      <c r="Z44"/>
      <c r="AA44"/>
    </row>
    <row r="45" spans="1:28" ht="72.5" hidden="1" x14ac:dyDescent="0.35">
      <c r="A45" s="6">
        <v>87</v>
      </c>
      <c r="B45" s="7" t="s">
        <v>33</v>
      </c>
      <c r="C45" s="7" t="s">
        <v>33</v>
      </c>
      <c r="D45" s="44" t="s">
        <v>37</v>
      </c>
      <c r="E45" s="7" t="s">
        <v>38</v>
      </c>
      <c r="F45" s="8" t="s">
        <v>42</v>
      </c>
      <c r="G45" s="7"/>
      <c r="H45" s="36">
        <v>45442</v>
      </c>
      <c r="I45" s="7" t="s">
        <v>100</v>
      </c>
      <c r="J45" s="7" t="s">
        <v>105</v>
      </c>
      <c r="K45" s="7"/>
      <c r="L45" s="7"/>
      <c r="M45" s="7"/>
      <c r="N45" s="11">
        <f t="shared" ca="1" si="0"/>
        <v>670</v>
      </c>
      <c r="O45" s="7" t="s">
        <v>521</v>
      </c>
      <c r="P45" s="7"/>
      <c r="Q45" s="13"/>
      <c r="S45"/>
      <c r="V45"/>
      <c r="W45"/>
      <c r="Y45"/>
      <c r="Z45"/>
      <c r="AA45"/>
    </row>
    <row r="46" spans="1:28" ht="72.5" hidden="1" x14ac:dyDescent="0.35">
      <c r="A46" s="6">
        <v>88</v>
      </c>
      <c r="B46" s="7" t="s">
        <v>33</v>
      </c>
      <c r="C46" s="7" t="s">
        <v>33</v>
      </c>
      <c r="D46" s="44" t="s">
        <v>37</v>
      </c>
      <c r="E46" s="7" t="s">
        <v>38</v>
      </c>
      <c r="F46" s="42" t="s">
        <v>43</v>
      </c>
      <c r="G46" s="7"/>
      <c r="H46" s="36">
        <v>45442</v>
      </c>
      <c r="I46" s="7" t="s">
        <v>100</v>
      </c>
      <c r="J46" s="7" t="s">
        <v>105</v>
      </c>
      <c r="K46" s="7"/>
      <c r="L46" s="7"/>
      <c r="M46" s="7"/>
      <c r="N46" s="11">
        <f t="shared" ca="1" si="0"/>
        <v>670</v>
      </c>
      <c r="O46" s="7" t="s">
        <v>521</v>
      </c>
      <c r="P46" s="7"/>
      <c r="Q46" s="13"/>
      <c r="S46"/>
      <c r="V46"/>
      <c r="W46"/>
      <c r="Y46"/>
      <c r="Z46"/>
      <c r="AA46"/>
    </row>
    <row r="47" spans="1:28" ht="72.5" hidden="1" x14ac:dyDescent="0.35">
      <c r="A47" s="6">
        <v>89</v>
      </c>
      <c r="B47" s="7" t="s">
        <v>33</v>
      </c>
      <c r="C47" s="7" t="s">
        <v>33</v>
      </c>
      <c r="D47" s="44" t="s">
        <v>37</v>
      </c>
      <c r="E47" s="7" t="s">
        <v>38</v>
      </c>
      <c r="F47" s="8" t="s">
        <v>44</v>
      </c>
      <c r="G47" s="7"/>
      <c r="H47" s="36">
        <v>45442</v>
      </c>
      <c r="I47" s="7" t="s">
        <v>100</v>
      </c>
      <c r="J47" s="7" t="s">
        <v>105</v>
      </c>
      <c r="K47" s="7"/>
      <c r="L47" s="7"/>
      <c r="M47" s="7"/>
      <c r="N47" s="11">
        <f t="shared" ca="1" si="0"/>
        <v>670</v>
      </c>
      <c r="O47" s="7" t="s">
        <v>521</v>
      </c>
      <c r="P47" s="7"/>
      <c r="Q47" s="13"/>
      <c r="S47"/>
      <c r="V47"/>
      <c r="W47"/>
      <c r="Y47"/>
      <c r="Z47"/>
      <c r="AA47"/>
    </row>
    <row r="48" spans="1:28" ht="72.5" hidden="1" x14ac:dyDescent="0.35">
      <c r="A48" s="6">
        <v>90</v>
      </c>
      <c r="B48" s="7" t="s">
        <v>33</v>
      </c>
      <c r="C48" s="7" t="s">
        <v>33</v>
      </c>
      <c r="D48" s="44" t="s">
        <v>37</v>
      </c>
      <c r="E48" s="7" t="s">
        <v>38</v>
      </c>
      <c r="F48" s="8" t="s">
        <v>45</v>
      </c>
      <c r="G48" s="7"/>
      <c r="H48" s="36">
        <v>45442</v>
      </c>
      <c r="I48" s="7" t="s">
        <v>100</v>
      </c>
      <c r="J48" s="7" t="s">
        <v>105</v>
      </c>
      <c r="K48" s="7"/>
      <c r="L48" s="7"/>
      <c r="M48" s="7"/>
      <c r="N48" s="11">
        <f t="shared" ca="1" si="0"/>
        <v>670</v>
      </c>
      <c r="O48" s="7" t="s">
        <v>521</v>
      </c>
      <c r="P48" s="7"/>
      <c r="Q48" s="13"/>
      <c r="S48"/>
      <c r="V48"/>
      <c r="W48"/>
      <c r="Y48"/>
      <c r="Z48"/>
      <c r="AA48"/>
    </row>
    <row r="49" spans="1:27" ht="72.5" hidden="1" x14ac:dyDescent="0.35">
      <c r="A49" s="6">
        <v>91</v>
      </c>
      <c r="B49" s="7" t="s">
        <v>33</v>
      </c>
      <c r="C49" s="7" t="s">
        <v>33</v>
      </c>
      <c r="D49" s="44" t="s">
        <v>37</v>
      </c>
      <c r="E49" s="7" t="s">
        <v>38</v>
      </c>
      <c r="F49" s="8" t="s">
        <v>46</v>
      </c>
      <c r="G49" s="7"/>
      <c r="H49" s="36">
        <v>45442</v>
      </c>
      <c r="I49" s="7" t="s">
        <v>100</v>
      </c>
      <c r="J49" s="7" t="s">
        <v>105</v>
      </c>
      <c r="K49" s="7"/>
      <c r="L49" s="7"/>
      <c r="M49" s="7"/>
      <c r="N49" s="11">
        <f t="shared" ca="1" si="0"/>
        <v>670</v>
      </c>
      <c r="O49" s="7" t="s">
        <v>521</v>
      </c>
      <c r="P49" s="7"/>
      <c r="Q49" s="13"/>
      <c r="S49"/>
      <c r="V49"/>
      <c r="W49"/>
      <c r="Y49"/>
      <c r="Z49"/>
      <c r="AA49"/>
    </row>
    <row r="50" spans="1:27" ht="72.5" hidden="1" x14ac:dyDescent="0.35">
      <c r="A50" s="6">
        <v>92</v>
      </c>
      <c r="B50" s="7" t="s">
        <v>33</v>
      </c>
      <c r="C50" s="7" t="s">
        <v>33</v>
      </c>
      <c r="D50" s="44" t="s">
        <v>37</v>
      </c>
      <c r="E50" s="7" t="s">
        <v>38</v>
      </c>
      <c r="F50" s="8" t="s">
        <v>47</v>
      </c>
      <c r="G50" s="7"/>
      <c r="H50" s="36">
        <v>45442</v>
      </c>
      <c r="I50" s="7" t="s">
        <v>100</v>
      </c>
      <c r="J50" s="7" t="s">
        <v>105</v>
      </c>
      <c r="K50" s="7"/>
      <c r="L50" s="7"/>
      <c r="M50" s="7"/>
      <c r="N50" s="11">
        <f t="shared" ca="1" si="0"/>
        <v>670</v>
      </c>
      <c r="O50" s="7" t="s">
        <v>521</v>
      </c>
      <c r="P50" s="7"/>
      <c r="Q50" s="13"/>
      <c r="S50"/>
      <c r="V50"/>
      <c r="W50"/>
      <c r="Y50"/>
      <c r="Z50"/>
      <c r="AA50"/>
    </row>
    <row r="51" spans="1:27" ht="72.5" hidden="1" x14ac:dyDescent="0.35">
      <c r="A51" s="6">
        <v>93</v>
      </c>
      <c r="B51" s="7" t="s">
        <v>33</v>
      </c>
      <c r="C51" s="7" t="s">
        <v>33</v>
      </c>
      <c r="D51" s="44" t="s">
        <v>37</v>
      </c>
      <c r="E51" s="7" t="s">
        <v>38</v>
      </c>
      <c r="F51" s="8" t="s">
        <v>48</v>
      </c>
      <c r="G51" s="7"/>
      <c r="H51" s="36">
        <v>45442</v>
      </c>
      <c r="I51" s="7" t="s">
        <v>100</v>
      </c>
      <c r="J51" s="7" t="s">
        <v>105</v>
      </c>
      <c r="K51" s="7"/>
      <c r="L51" s="7"/>
      <c r="M51" s="7"/>
      <c r="N51" s="11">
        <f t="shared" ca="1" si="0"/>
        <v>670</v>
      </c>
      <c r="O51" s="7" t="s">
        <v>521</v>
      </c>
      <c r="P51" s="7"/>
      <c r="Q51" s="13"/>
      <c r="S51"/>
      <c r="V51"/>
      <c r="W51"/>
      <c r="Y51"/>
      <c r="Z51"/>
      <c r="AA51"/>
    </row>
    <row r="52" spans="1:27" ht="72.5" hidden="1" x14ac:dyDescent="0.35">
      <c r="A52" s="6">
        <v>94</v>
      </c>
      <c r="B52" s="7" t="s">
        <v>33</v>
      </c>
      <c r="C52" s="7" t="s">
        <v>33</v>
      </c>
      <c r="D52" s="44" t="s">
        <v>37</v>
      </c>
      <c r="E52" s="7" t="s">
        <v>38</v>
      </c>
      <c r="F52" s="8" t="s">
        <v>49</v>
      </c>
      <c r="G52" s="7"/>
      <c r="H52" s="36">
        <v>45442</v>
      </c>
      <c r="I52" s="7" t="s">
        <v>100</v>
      </c>
      <c r="J52" s="7" t="s">
        <v>105</v>
      </c>
      <c r="K52" s="7"/>
      <c r="L52" s="7"/>
      <c r="M52" s="7"/>
      <c r="N52" s="11">
        <f t="shared" ca="1" si="0"/>
        <v>670</v>
      </c>
      <c r="O52" s="7" t="s">
        <v>521</v>
      </c>
      <c r="P52" s="7"/>
      <c r="Q52" s="13"/>
      <c r="S52"/>
      <c r="V52"/>
      <c r="W52"/>
      <c r="Y52"/>
      <c r="Z52"/>
      <c r="AA52"/>
    </row>
    <row r="53" spans="1:27" ht="72.5" hidden="1" x14ac:dyDescent="0.35">
      <c r="A53" s="6">
        <v>95</v>
      </c>
      <c r="B53" s="7" t="s">
        <v>33</v>
      </c>
      <c r="C53" s="7" t="s">
        <v>33</v>
      </c>
      <c r="D53" s="44" t="s">
        <v>37</v>
      </c>
      <c r="E53" s="7" t="s">
        <v>38</v>
      </c>
      <c r="F53" s="8" t="s">
        <v>50</v>
      </c>
      <c r="G53" s="7"/>
      <c r="H53" s="36">
        <v>45442</v>
      </c>
      <c r="I53" s="7" t="s">
        <v>100</v>
      </c>
      <c r="J53" s="7" t="s">
        <v>105</v>
      </c>
      <c r="K53" s="7"/>
      <c r="L53" s="7"/>
      <c r="M53" s="7"/>
      <c r="N53" s="11">
        <f t="shared" ca="1" si="0"/>
        <v>670</v>
      </c>
      <c r="O53" s="7" t="s">
        <v>521</v>
      </c>
      <c r="P53" s="7"/>
      <c r="Q53" s="13"/>
      <c r="S53"/>
      <c r="V53"/>
      <c r="W53"/>
      <c r="Y53"/>
      <c r="Z53"/>
      <c r="AA53"/>
    </row>
    <row r="54" spans="1:27" ht="87" hidden="1" x14ac:dyDescent="0.35">
      <c r="A54" s="6">
        <v>96</v>
      </c>
      <c r="B54" s="7" t="s">
        <v>33</v>
      </c>
      <c r="C54" s="7" t="s">
        <v>33</v>
      </c>
      <c r="D54" s="7" t="s">
        <v>51</v>
      </c>
      <c r="E54" s="7" t="s">
        <v>52</v>
      </c>
      <c r="F54" s="8" t="s">
        <v>53</v>
      </c>
      <c r="G54" s="7"/>
      <c r="H54" s="36">
        <v>45442</v>
      </c>
      <c r="I54" s="7" t="s">
        <v>100</v>
      </c>
      <c r="J54" s="7" t="s">
        <v>106</v>
      </c>
      <c r="K54" s="7"/>
      <c r="L54" s="7"/>
      <c r="M54" s="9">
        <v>45849</v>
      </c>
      <c r="N54" s="11">
        <f t="shared" ca="1" si="0"/>
        <v>670</v>
      </c>
      <c r="O54" s="7" t="s">
        <v>516</v>
      </c>
      <c r="P54" s="7"/>
      <c r="Q54" s="13"/>
      <c r="S54"/>
      <c r="V54"/>
      <c r="W54"/>
      <c r="Y54"/>
      <c r="Z54"/>
      <c r="AA54"/>
    </row>
    <row r="55" spans="1:27" ht="72.5" hidden="1" x14ac:dyDescent="0.35">
      <c r="A55" s="6">
        <v>97</v>
      </c>
      <c r="B55" s="7" t="s">
        <v>33</v>
      </c>
      <c r="C55" s="7" t="s">
        <v>33</v>
      </c>
      <c r="D55" s="7" t="s">
        <v>25</v>
      </c>
      <c r="E55" s="7" t="s">
        <v>54</v>
      </c>
      <c r="F55" s="8" t="s">
        <v>55</v>
      </c>
      <c r="G55" s="7"/>
      <c r="H55" s="36">
        <v>45442</v>
      </c>
      <c r="I55" s="7" t="s">
        <v>100</v>
      </c>
      <c r="J55" s="7" t="s">
        <v>105</v>
      </c>
      <c r="K55" s="7"/>
      <c r="L55" s="7"/>
      <c r="M55" s="9">
        <v>45849</v>
      </c>
      <c r="N55" s="11">
        <f t="shared" ca="1" si="0"/>
        <v>670</v>
      </c>
      <c r="O55" s="7" t="s">
        <v>516</v>
      </c>
      <c r="P55" s="7"/>
      <c r="Q55" s="13"/>
      <c r="S55"/>
      <c r="V55"/>
      <c r="W55"/>
      <c r="Y55"/>
      <c r="Z55"/>
      <c r="AA55"/>
    </row>
    <row r="56" spans="1:27" ht="87" hidden="1" x14ac:dyDescent="0.35">
      <c r="A56" s="6">
        <v>98</v>
      </c>
      <c r="B56" s="7" t="s">
        <v>33</v>
      </c>
      <c r="C56" s="7" t="s">
        <v>33</v>
      </c>
      <c r="D56" s="7" t="s">
        <v>56</v>
      </c>
      <c r="E56" s="7" t="s">
        <v>57</v>
      </c>
      <c r="F56" s="8" t="s">
        <v>58</v>
      </c>
      <c r="G56" s="7"/>
      <c r="H56" s="36">
        <v>45442</v>
      </c>
      <c r="I56" s="7" t="s">
        <v>100</v>
      </c>
      <c r="J56" s="7" t="s">
        <v>106</v>
      </c>
      <c r="K56" s="7"/>
      <c r="L56" s="7"/>
      <c r="M56" s="9">
        <v>45849</v>
      </c>
      <c r="N56" s="11">
        <f t="shared" ca="1" si="0"/>
        <v>670</v>
      </c>
      <c r="O56" s="7" t="s">
        <v>516</v>
      </c>
      <c r="P56" s="7"/>
      <c r="Q56" s="13"/>
      <c r="S56"/>
      <c r="V56"/>
      <c r="W56"/>
      <c r="Y56"/>
      <c r="Z56"/>
      <c r="AA56"/>
    </row>
    <row r="57" spans="1:27" ht="174" hidden="1" x14ac:dyDescent="0.35">
      <c r="A57" s="6">
        <v>99</v>
      </c>
      <c r="B57" s="7" t="s">
        <v>33</v>
      </c>
      <c r="C57" s="7" t="s">
        <v>33</v>
      </c>
      <c r="D57" s="7" t="s">
        <v>59</v>
      </c>
      <c r="E57" s="7" t="s">
        <v>60</v>
      </c>
      <c r="F57" s="8">
        <v>78768</v>
      </c>
      <c r="G57" s="7" t="s">
        <v>61</v>
      </c>
      <c r="H57" s="36">
        <v>45442</v>
      </c>
      <c r="I57" s="7" t="s">
        <v>100</v>
      </c>
      <c r="J57" s="7" t="s">
        <v>123</v>
      </c>
      <c r="K57" s="7"/>
      <c r="L57" s="7"/>
      <c r="M57" s="9">
        <v>45854</v>
      </c>
      <c r="N57" s="11">
        <f t="shared" ca="1" si="0"/>
        <v>670</v>
      </c>
      <c r="O57" s="7"/>
      <c r="P57" s="7"/>
      <c r="Q57" s="13"/>
      <c r="S57"/>
      <c r="V57"/>
      <c r="W57"/>
      <c r="Y57"/>
      <c r="Z57"/>
      <c r="AA57"/>
    </row>
    <row r="58" spans="1:27" ht="232" hidden="1" x14ac:dyDescent="0.35">
      <c r="A58" s="6">
        <v>100</v>
      </c>
      <c r="B58" s="7" t="s">
        <v>33</v>
      </c>
      <c r="C58" s="7" t="s">
        <v>33</v>
      </c>
      <c r="D58" s="44" t="s">
        <v>37</v>
      </c>
      <c r="E58" s="7" t="s">
        <v>38</v>
      </c>
      <c r="F58" s="8" t="s">
        <v>62</v>
      </c>
      <c r="G58" s="7" t="s">
        <v>467</v>
      </c>
      <c r="H58" s="9">
        <v>45442</v>
      </c>
      <c r="I58" s="7" t="s">
        <v>100</v>
      </c>
      <c r="J58" s="7" t="s">
        <v>105</v>
      </c>
      <c r="K58" s="7"/>
      <c r="L58" s="7"/>
      <c r="M58" s="7"/>
      <c r="N58" s="11">
        <f t="shared" ca="1" si="0"/>
        <v>670</v>
      </c>
      <c r="O58" s="7" t="s">
        <v>521</v>
      </c>
      <c r="P58" s="7"/>
      <c r="Q58" s="13"/>
      <c r="S58"/>
      <c r="V58"/>
      <c r="W58"/>
      <c r="Y58"/>
      <c r="Z58"/>
      <c r="AA58"/>
    </row>
    <row r="59" spans="1:27" ht="232" hidden="1" x14ac:dyDescent="0.35">
      <c r="A59" s="6">
        <v>101</v>
      </c>
      <c r="B59" s="7" t="s">
        <v>33</v>
      </c>
      <c r="C59" s="7" t="s">
        <v>33</v>
      </c>
      <c r="D59" s="44" t="s">
        <v>37</v>
      </c>
      <c r="E59" s="7" t="s">
        <v>38</v>
      </c>
      <c r="F59" s="8" t="s">
        <v>63</v>
      </c>
      <c r="G59" s="7" t="s">
        <v>468</v>
      </c>
      <c r="H59" s="9">
        <v>45442</v>
      </c>
      <c r="I59" s="7" t="s">
        <v>100</v>
      </c>
      <c r="J59" s="7" t="s">
        <v>105</v>
      </c>
      <c r="K59" s="7"/>
      <c r="L59" s="7"/>
      <c r="M59" s="7"/>
      <c r="N59" s="11">
        <f t="shared" ca="1" si="0"/>
        <v>670</v>
      </c>
      <c r="O59" s="7" t="s">
        <v>521</v>
      </c>
      <c r="P59" s="7"/>
      <c r="Q59" s="13"/>
      <c r="S59"/>
      <c r="V59"/>
      <c r="W59"/>
      <c r="Y59"/>
      <c r="Z59"/>
      <c r="AA59"/>
    </row>
    <row r="60" spans="1:27" ht="29" hidden="1" x14ac:dyDescent="0.35">
      <c r="A60" s="6">
        <v>102</v>
      </c>
      <c r="B60" s="7" t="s">
        <v>33</v>
      </c>
      <c r="C60" s="7" t="s">
        <v>33</v>
      </c>
      <c r="D60" s="7" t="s">
        <v>469</v>
      </c>
      <c r="E60" s="7" t="s">
        <v>470</v>
      </c>
      <c r="F60" s="43" t="s">
        <v>34</v>
      </c>
      <c r="G60" s="7" t="s">
        <v>64</v>
      </c>
      <c r="H60" s="53"/>
      <c r="I60" s="7" t="s">
        <v>100</v>
      </c>
      <c r="J60" s="7"/>
      <c r="K60" s="7"/>
      <c r="L60" s="7"/>
      <c r="M60" s="7"/>
      <c r="N60" s="11">
        <f t="shared" ca="1" si="0"/>
        <v>46112</v>
      </c>
      <c r="O60" s="53" t="s">
        <v>519</v>
      </c>
      <c r="P60" s="7"/>
      <c r="Q60" s="13"/>
      <c r="S60"/>
      <c r="V60"/>
      <c r="W60"/>
      <c r="Y60"/>
      <c r="Z60"/>
      <c r="AA60"/>
    </row>
    <row r="61" spans="1:27" ht="29" hidden="1" x14ac:dyDescent="0.35">
      <c r="A61" s="6">
        <v>103</v>
      </c>
      <c r="B61" s="7" t="s">
        <v>33</v>
      </c>
      <c r="C61" s="7" t="s">
        <v>33</v>
      </c>
      <c r="D61" s="7" t="s">
        <v>469</v>
      </c>
      <c r="E61" s="7" t="s">
        <v>471</v>
      </c>
      <c r="F61" s="43" t="s">
        <v>34</v>
      </c>
      <c r="G61" s="7" t="s">
        <v>64</v>
      </c>
      <c r="H61" s="53"/>
      <c r="I61" s="7" t="s">
        <v>100</v>
      </c>
      <c r="J61" s="7"/>
      <c r="K61" s="7"/>
      <c r="L61" s="7"/>
      <c r="M61" s="7"/>
      <c r="N61" s="11">
        <f t="shared" ca="1" si="0"/>
        <v>46112</v>
      </c>
      <c r="O61" s="53" t="s">
        <v>519</v>
      </c>
      <c r="P61" s="7"/>
      <c r="Q61" s="13"/>
      <c r="S61"/>
      <c r="V61"/>
      <c r="W61"/>
      <c r="Y61"/>
      <c r="Z61"/>
      <c r="AA61"/>
    </row>
    <row r="62" spans="1:27" ht="29" hidden="1" x14ac:dyDescent="0.35">
      <c r="A62" s="6">
        <v>104</v>
      </c>
      <c r="B62" s="7" t="s">
        <v>33</v>
      </c>
      <c r="C62" s="7" t="s">
        <v>33</v>
      </c>
      <c r="D62" s="7" t="s">
        <v>472</v>
      </c>
      <c r="E62" s="7" t="s">
        <v>473</v>
      </c>
      <c r="F62" s="43" t="s">
        <v>34</v>
      </c>
      <c r="G62" s="7" t="s">
        <v>64</v>
      </c>
      <c r="H62" s="53"/>
      <c r="I62" s="7" t="s">
        <v>100</v>
      </c>
      <c r="J62" s="7"/>
      <c r="K62" s="7"/>
      <c r="L62" s="7"/>
      <c r="M62" s="7"/>
      <c r="N62" s="11">
        <f t="shared" ca="1" si="0"/>
        <v>46112</v>
      </c>
      <c r="O62" s="53" t="s">
        <v>519</v>
      </c>
      <c r="P62" s="7"/>
      <c r="Q62" s="13"/>
      <c r="S62"/>
      <c r="V62"/>
      <c r="W62"/>
      <c r="Y62"/>
      <c r="Z62"/>
      <c r="AA62"/>
    </row>
    <row r="63" spans="1:27" ht="29" hidden="1" x14ac:dyDescent="0.35">
      <c r="A63" s="6">
        <v>105</v>
      </c>
      <c r="B63" s="7" t="s">
        <v>33</v>
      </c>
      <c r="C63" s="7" t="s">
        <v>33</v>
      </c>
      <c r="D63" s="7" t="s">
        <v>474</v>
      </c>
      <c r="E63" s="7" t="s">
        <v>475</v>
      </c>
      <c r="F63" s="43">
        <v>1235036717</v>
      </c>
      <c r="G63" s="7" t="s">
        <v>64</v>
      </c>
      <c r="H63" s="53"/>
      <c r="I63" s="7" t="s">
        <v>100</v>
      </c>
      <c r="J63" s="7"/>
      <c r="K63" s="7"/>
      <c r="L63" s="7"/>
      <c r="M63" s="7"/>
      <c r="N63" s="11">
        <f t="shared" ca="1" si="0"/>
        <v>46112</v>
      </c>
      <c r="O63" s="53" t="s">
        <v>519</v>
      </c>
      <c r="P63" s="7"/>
      <c r="Q63" s="13"/>
      <c r="S63"/>
      <c r="V63"/>
      <c r="W63"/>
      <c r="Y63"/>
      <c r="Z63"/>
      <c r="AA63"/>
    </row>
    <row r="64" spans="1:27" ht="29" hidden="1" x14ac:dyDescent="0.35">
      <c r="A64" s="6">
        <v>106</v>
      </c>
      <c r="B64" s="7" t="s">
        <v>33</v>
      </c>
      <c r="C64" s="7" t="s">
        <v>33</v>
      </c>
      <c r="D64" s="7" t="s">
        <v>474</v>
      </c>
      <c r="E64" s="7" t="s">
        <v>475</v>
      </c>
      <c r="F64" s="43">
        <v>1235036901</v>
      </c>
      <c r="G64" s="7" t="s">
        <v>64</v>
      </c>
      <c r="H64" s="53"/>
      <c r="I64" s="7" t="s">
        <v>100</v>
      </c>
      <c r="J64" s="7"/>
      <c r="K64" s="7"/>
      <c r="L64" s="7"/>
      <c r="M64" s="7"/>
      <c r="N64" s="11">
        <f t="shared" ca="1" si="0"/>
        <v>46112</v>
      </c>
      <c r="O64" s="53" t="s">
        <v>519</v>
      </c>
      <c r="P64" s="7"/>
      <c r="Q64" s="13"/>
      <c r="S64"/>
      <c r="V64"/>
      <c r="W64"/>
      <c r="Y64"/>
      <c r="Z64"/>
      <c r="AA64"/>
    </row>
    <row r="65" spans="1:27" ht="29" hidden="1" x14ac:dyDescent="0.35">
      <c r="A65" s="6">
        <v>107</v>
      </c>
      <c r="B65" s="7" t="s">
        <v>33</v>
      </c>
      <c r="C65" s="7" t="s">
        <v>33</v>
      </c>
      <c r="D65" s="7" t="s">
        <v>474</v>
      </c>
      <c r="E65" s="7" t="s">
        <v>475</v>
      </c>
      <c r="F65" s="43">
        <v>1235036716</v>
      </c>
      <c r="G65" s="7" t="s">
        <v>64</v>
      </c>
      <c r="H65" s="53"/>
      <c r="I65" s="7" t="s">
        <v>100</v>
      </c>
      <c r="J65" s="7"/>
      <c r="K65" s="7"/>
      <c r="L65" s="7"/>
      <c r="M65" s="7"/>
      <c r="N65" s="11">
        <f t="shared" ca="1" si="0"/>
        <v>46112</v>
      </c>
      <c r="O65" s="53" t="s">
        <v>519</v>
      </c>
      <c r="P65" s="7"/>
      <c r="Q65" s="13"/>
      <c r="S65"/>
      <c r="V65"/>
      <c r="W65"/>
      <c r="Y65"/>
      <c r="Z65"/>
      <c r="AA65"/>
    </row>
    <row r="66" spans="1:27" ht="29" hidden="1" x14ac:dyDescent="0.35">
      <c r="A66" s="6">
        <v>108</v>
      </c>
      <c r="B66" s="7" t="s">
        <v>33</v>
      </c>
      <c r="C66" s="7" t="s">
        <v>33</v>
      </c>
      <c r="D66" s="7" t="s">
        <v>474</v>
      </c>
      <c r="E66" s="7" t="s">
        <v>475</v>
      </c>
      <c r="F66" s="43">
        <v>1338014133</v>
      </c>
      <c r="G66" s="7" t="s">
        <v>64</v>
      </c>
      <c r="H66" s="53"/>
      <c r="I66" s="7" t="s">
        <v>100</v>
      </c>
      <c r="J66" s="7"/>
      <c r="K66" s="7"/>
      <c r="L66" s="7"/>
      <c r="M66" s="7"/>
      <c r="N66" s="11">
        <f t="shared" ca="1" si="0"/>
        <v>46112</v>
      </c>
      <c r="O66" s="53" t="s">
        <v>519</v>
      </c>
      <c r="P66" s="7"/>
      <c r="Q66" s="13"/>
      <c r="S66"/>
      <c r="V66"/>
      <c r="W66"/>
      <c r="Y66"/>
      <c r="Z66"/>
      <c r="AA66"/>
    </row>
    <row r="67" spans="1:27" ht="29" hidden="1" x14ac:dyDescent="0.35">
      <c r="A67" s="6">
        <v>109</v>
      </c>
      <c r="B67" s="7" t="s">
        <v>33</v>
      </c>
      <c r="C67" s="7" t="s">
        <v>33</v>
      </c>
      <c r="D67" s="7" t="s">
        <v>476</v>
      </c>
      <c r="E67" s="7" t="s">
        <v>477</v>
      </c>
      <c r="F67" s="43">
        <v>6889</v>
      </c>
      <c r="G67" s="7" t="s">
        <v>64</v>
      </c>
      <c r="H67" s="53"/>
      <c r="I67" s="7" t="s">
        <v>100</v>
      </c>
      <c r="J67" s="7"/>
      <c r="K67" s="7"/>
      <c r="L67" s="7"/>
      <c r="M67" s="7"/>
      <c r="N67" s="11">
        <f t="shared" ca="1" si="0"/>
        <v>46112</v>
      </c>
      <c r="O67" s="53" t="s">
        <v>519</v>
      </c>
      <c r="P67" s="7"/>
      <c r="Q67" s="13"/>
      <c r="S67"/>
      <c r="V67"/>
      <c r="W67"/>
      <c r="Y67"/>
      <c r="Z67"/>
      <c r="AA67"/>
    </row>
    <row r="68" spans="1:27" ht="72.5" hidden="1" x14ac:dyDescent="0.35">
      <c r="A68" s="6">
        <v>110</v>
      </c>
      <c r="B68" s="7" t="s">
        <v>33</v>
      </c>
      <c r="C68" s="7" t="s">
        <v>33</v>
      </c>
      <c r="D68" s="7" t="s">
        <v>65</v>
      </c>
      <c r="E68" s="7" t="s">
        <v>66</v>
      </c>
      <c r="F68" s="8">
        <v>423</v>
      </c>
      <c r="G68" s="7" t="s">
        <v>64</v>
      </c>
      <c r="H68" s="9">
        <v>45433</v>
      </c>
      <c r="I68" s="7" t="s">
        <v>100</v>
      </c>
      <c r="J68" s="7" t="s">
        <v>105</v>
      </c>
      <c r="K68" s="7"/>
      <c r="L68" s="7"/>
      <c r="M68" s="9">
        <v>45849</v>
      </c>
      <c r="N68" s="11">
        <f t="shared" ca="1" si="0"/>
        <v>679</v>
      </c>
      <c r="O68" s="7" t="s">
        <v>516</v>
      </c>
      <c r="P68" s="7"/>
      <c r="Q68" s="13"/>
      <c r="S68"/>
      <c r="V68"/>
      <c r="W68"/>
      <c r="Y68"/>
      <c r="Z68"/>
      <c r="AA68"/>
    </row>
    <row r="69" spans="1:27" ht="29" hidden="1" x14ac:dyDescent="0.35">
      <c r="A69" s="6">
        <v>111</v>
      </c>
      <c r="B69" s="7" t="s">
        <v>33</v>
      </c>
      <c r="C69" s="7" t="s">
        <v>33</v>
      </c>
      <c r="D69" s="7" t="s">
        <v>478</v>
      </c>
      <c r="E69" s="7" t="s">
        <v>479</v>
      </c>
      <c r="F69" s="43">
        <v>55559</v>
      </c>
      <c r="G69" s="7" t="s">
        <v>64</v>
      </c>
      <c r="H69" s="53"/>
      <c r="I69" s="7" t="s">
        <v>100</v>
      </c>
      <c r="J69" s="7"/>
      <c r="K69" s="7"/>
      <c r="L69" s="7"/>
      <c r="M69" s="7"/>
      <c r="N69" s="11">
        <f t="shared" ca="1" si="0"/>
        <v>46112</v>
      </c>
      <c r="O69" s="53" t="s">
        <v>519</v>
      </c>
      <c r="P69" s="7"/>
      <c r="Q69" s="13"/>
      <c r="S69"/>
      <c r="V69"/>
      <c r="W69"/>
      <c r="Y69"/>
      <c r="Z69"/>
      <c r="AA69"/>
    </row>
    <row r="70" spans="1:27" ht="29" hidden="1" x14ac:dyDescent="0.35">
      <c r="A70" s="6">
        <v>112</v>
      </c>
      <c r="B70" s="7" t="s">
        <v>33</v>
      </c>
      <c r="C70" s="7" t="s">
        <v>33</v>
      </c>
      <c r="D70" s="7" t="s">
        <v>478</v>
      </c>
      <c r="E70" s="7" t="s">
        <v>479</v>
      </c>
      <c r="F70" s="43">
        <v>54687</v>
      </c>
      <c r="G70" s="7" t="s">
        <v>64</v>
      </c>
      <c r="H70" s="53"/>
      <c r="I70" s="7" t="s">
        <v>100</v>
      </c>
      <c r="J70" s="7"/>
      <c r="K70" s="7"/>
      <c r="L70" s="7"/>
      <c r="M70" s="7"/>
      <c r="N70" s="11">
        <f t="shared" ref="N70:N127" ca="1" si="1">DATEDIF(H70,TODAY(),"d")</f>
        <v>46112</v>
      </c>
      <c r="O70" s="53" t="s">
        <v>519</v>
      </c>
      <c r="P70" s="7"/>
      <c r="Q70" s="13"/>
      <c r="S70"/>
      <c r="V70"/>
      <c r="W70"/>
      <c r="Y70"/>
      <c r="Z70"/>
      <c r="AA70"/>
    </row>
    <row r="71" spans="1:27" ht="29" hidden="1" x14ac:dyDescent="0.35">
      <c r="A71" s="6">
        <v>113</v>
      </c>
      <c r="B71" s="7" t="s">
        <v>33</v>
      </c>
      <c r="C71" s="7" t="s">
        <v>33</v>
      </c>
      <c r="D71" s="7" t="s">
        <v>480</v>
      </c>
      <c r="E71" s="7" t="s">
        <v>481</v>
      </c>
      <c r="F71" s="43">
        <v>5313</v>
      </c>
      <c r="G71" s="7" t="s">
        <v>64</v>
      </c>
      <c r="H71" s="53"/>
      <c r="I71" s="7" t="s">
        <v>100</v>
      </c>
      <c r="J71" s="7"/>
      <c r="K71" s="7"/>
      <c r="L71" s="7"/>
      <c r="M71" s="7"/>
      <c r="N71" s="11">
        <f t="shared" ca="1" si="1"/>
        <v>46112</v>
      </c>
      <c r="O71" s="53" t="s">
        <v>519</v>
      </c>
      <c r="P71" s="7"/>
      <c r="Q71" s="13"/>
      <c r="S71"/>
      <c r="V71"/>
      <c r="W71"/>
      <c r="Y71"/>
      <c r="Z71"/>
      <c r="AA71"/>
    </row>
    <row r="72" spans="1:27" ht="87" hidden="1" x14ac:dyDescent="0.35">
      <c r="A72" s="6">
        <v>114</v>
      </c>
      <c r="B72" s="7" t="s">
        <v>33</v>
      </c>
      <c r="C72" s="7" t="s">
        <v>33</v>
      </c>
      <c r="D72" s="7" t="s">
        <v>67</v>
      </c>
      <c r="E72" s="7" t="s">
        <v>68</v>
      </c>
      <c r="F72" s="8" t="s">
        <v>69</v>
      </c>
      <c r="G72" s="7" t="s">
        <v>70</v>
      </c>
      <c r="H72" s="36">
        <v>45562</v>
      </c>
      <c r="I72" s="7" t="s">
        <v>100</v>
      </c>
      <c r="J72" s="7" t="s">
        <v>106</v>
      </c>
      <c r="K72" s="7"/>
      <c r="L72" s="7"/>
      <c r="M72" s="9">
        <v>45854</v>
      </c>
      <c r="N72" s="11">
        <f t="shared" ca="1" si="1"/>
        <v>550</v>
      </c>
      <c r="O72" s="7" t="s">
        <v>516</v>
      </c>
      <c r="P72" s="7"/>
      <c r="Q72" s="13"/>
      <c r="S72"/>
      <c r="V72"/>
      <c r="W72"/>
      <c r="Y72"/>
      <c r="Z72"/>
      <c r="AA72"/>
    </row>
    <row r="73" spans="1:27" ht="87" hidden="1" x14ac:dyDescent="0.35">
      <c r="A73" s="6">
        <v>115</v>
      </c>
      <c r="B73" s="7" t="s">
        <v>33</v>
      </c>
      <c r="C73" s="7" t="s">
        <v>33</v>
      </c>
      <c r="D73" s="7" t="s">
        <v>67</v>
      </c>
      <c r="E73" s="7" t="s">
        <v>71</v>
      </c>
      <c r="F73" s="8" t="s">
        <v>72</v>
      </c>
      <c r="G73" s="7" t="s">
        <v>73</v>
      </c>
      <c r="H73" s="36">
        <v>45562</v>
      </c>
      <c r="I73" s="7" t="s">
        <v>100</v>
      </c>
      <c r="J73" s="7" t="s">
        <v>106</v>
      </c>
      <c r="K73" s="7"/>
      <c r="L73" s="7"/>
      <c r="M73" s="9">
        <v>45854</v>
      </c>
      <c r="N73" s="11">
        <f t="shared" ca="1" si="1"/>
        <v>550</v>
      </c>
      <c r="O73" s="7" t="s">
        <v>516</v>
      </c>
      <c r="P73" s="7"/>
      <c r="Q73" s="13"/>
      <c r="S73"/>
      <c r="V73"/>
      <c r="W73"/>
      <c r="Y73"/>
      <c r="Z73"/>
      <c r="AA73"/>
    </row>
    <row r="74" spans="1:27" ht="87" hidden="1" x14ac:dyDescent="0.35">
      <c r="A74" s="6">
        <v>116</v>
      </c>
      <c r="B74" s="7" t="s">
        <v>33</v>
      </c>
      <c r="C74" s="7" t="s">
        <v>33</v>
      </c>
      <c r="D74" s="7" t="s">
        <v>67</v>
      </c>
      <c r="E74" s="7" t="s">
        <v>68</v>
      </c>
      <c r="F74" s="8" t="s">
        <v>74</v>
      </c>
      <c r="G74" s="7" t="s">
        <v>75</v>
      </c>
      <c r="H74" s="36">
        <v>45562</v>
      </c>
      <c r="I74" s="7" t="s">
        <v>100</v>
      </c>
      <c r="J74" s="7" t="s">
        <v>106</v>
      </c>
      <c r="K74" s="7"/>
      <c r="L74" s="7"/>
      <c r="M74" s="9">
        <v>45854</v>
      </c>
      <c r="N74" s="11">
        <f t="shared" ca="1" si="1"/>
        <v>550</v>
      </c>
      <c r="O74" s="7" t="s">
        <v>516</v>
      </c>
      <c r="P74" s="7"/>
      <c r="Q74" s="13"/>
      <c r="S74"/>
      <c r="V74"/>
      <c r="W74"/>
      <c r="Y74"/>
      <c r="Z74"/>
      <c r="AA74"/>
    </row>
    <row r="75" spans="1:27" ht="87" hidden="1" x14ac:dyDescent="0.35">
      <c r="A75" s="6">
        <v>118</v>
      </c>
      <c r="B75" s="7" t="s">
        <v>33</v>
      </c>
      <c r="C75" s="7" t="s">
        <v>33</v>
      </c>
      <c r="D75" s="7" t="s">
        <v>76</v>
      </c>
      <c r="E75" s="7" t="s">
        <v>77</v>
      </c>
      <c r="F75" s="8" t="s">
        <v>78</v>
      </c>
      <c r="G75" s="7" t="s">
        <v>79</v>
      </c>
      <c r="H75" s="36">
        <v>45579</v>
      </c>
      <c r="I75" s="7" t="s">
        <v>100</v>
      </c>
      <c r="J75" s="7" t="s">
        <v>106</v>
      </c>
      <c r="K75" s="7"/>
      <c r="L75" s="7"/>
      <c r="M75" s="9">
        <v>45849</v>
      </c>
      <c r="N75" s="11">
        <f t="shared" ca="1" si="1"/>
        <v>533</v>
      </c>
      <c r="O75" s="7" t="s">
        <v>516</v>
      </c>
      <c r="P75" s="7"/>
      <c r="Q75" s="13"/>
      <c r="S75"/>
      <c r="V75"/>
      <c r="W75"/>
      <c r="Y75"/>
      <c r="Z75"/>
      <c r="AA75"/>
    </row>
    <row r="76" spans="1:27" ht="87" hidden="1" x14ac:dyDescent="0.35">
      <c r="A76" s="6">
        <v>119</v>
      </c>
      <c r="B76" s="7" t="s">
        <v>33</v>
      </c>
      <c r="C76" s="7" t="s">
        <v>33</v>
      </c>
      <c r="D76" s="7" t="s">
        <v>76</v>
      </c>
      <c r="E76" s="7" t="s">
        <v>77</v>
      </c>
      <c r="F76" s="8" t="s">
        <v>78</v>
      </c>
      <c r="G76" s="7" t="s">
        <v>79</v>
      </c>
      <c r="H76" s="36">
        <v>45579</v>
      </c>
      <c r="I76" s="7" t="s">
        <v>100</v>
      </c>
      <c r="J76" s="7" t="s">
        <v>106</v>
      </c>
      <c r="K76" s="7"/>
      <c r="L76" s="7"/>
      <c r="M76" s="9">
        <v>45849</v>
      </c>
      <c r="N76" s="11">
        <f t="shared" ca="1" si="1"/>
        <v>533</v>
      </c>
      <c r="O76" s="7" t="s">
        <v>516</v>
      </c>
      <c r="P76" s="7"/>
      <c r="Q76" s="13"/>
      <c r="S76"/>
      <c r="V76"/>
      <c r="W76"/>
      <c r="Y76"/>
      <c r="Z76"/>
      <c r="AA76"/>
    </row>
    <row r="77" spans="1:27" ht="87" hidden="1" x14ac:dyDescent="0.35">
      <c r="A77" s="6">
        <v>120</v>
      </c>
      <c r="B77" s="7" t="s">
        <v>33</v>
      </c>
      <c r="C77" s="7" t="s">
        <v>33</v>
      </c>
      <c r="D77" s="7" t="s">
        <v>76</v>
      </c>
      <c r="E77" s="7" t="s">
        <v>77</v>
      </c>
      <c r="F77" s="8" t="s">
        <v>80</v>
      </c>
      <c r="G77" s="7" t="s">
        <v>79</v>
      </c>
      <c r="H77" s="36">
        <v>45579</v>
      </c>
      <c r="I77" s="7" t="s">
        <v>100</v>
      </c>
      <c r="J77" s="7" t="s">
        <v>106</v>
      </c>
      <c r="K77" s="7"/>
      <c r="L77" s="7"/>
      <c r="M77" s="9">
        <v>45849</v>
      </c>
      <c r="N77" s="11">
        <f t="shared" ca="1" si="1"/>
        <v>533</v>
      </c>
      <c r="O77" s="7" t="s">
        <v>516</v>
      </c>
      <c r="P77" s="7"/>
      <c r="Q77" s="13"/>
      <c r="S77"/>
      <c r="V77"/>
      <c r="W77"/>
      <c r="Y77"/>
      <c r="Z77"/>
      <c r="AA77"/>
    </row>
    <row r="78" spans="1:27" ht="87" hidden="1" x14ac:dyDescent="0.35">
      <c r="A78" s="6">
        <v>121</v>
      </c>
      <c r="B78" s="7" t="s">
        <v>33</v>
      </c>
      <c r="C78" s="7" t="s">
        <v>33</v>
      </c>
      <c r="D78" s="7" t="s">
        <v>76</v>
      </c>
      <c r="E78" s="7" t="s">
        <v>77</v>
      </c>
      <c r="F78" s="8" t="s">
        <v>80</v>
      </c>
      <c r="G78" s="7" t="s">
        <v>79</v>
      </c>
      <c r="H78" s="36">
        <v>45579</v>
      </c>
      <c r="I78" s="7" t="s">
        <v>100</v>
      </c>
      <c r="J78" s="7" t="s">
        <v>106</v>
      </c>
      <c r="K78" s="7"/>
      <c r="L78" s="7"/>
      <c r="M78" s="9">
        <v>45849</v>
      </c>
      <c r="N78" s="11">
        <f t="shared" ca="1" si="1"/>
        <v>533</v>
      </c>
      <c r="O78" s="7" t="s">
        <v>516</v>
      </c>
      <c r="P78" s="7"/>
      <c r="Q78" s="13"/>
      <c r="S78"/>
      <c r="V78"/>
      <c r="W78"/>
      <c r="Y78"/>
      <c r="Z78"/>
      <c r="AA78"/>
    </row>
    <row r="79" spans="1:27" ht="72.5" hidden="1" x14ac:dyDescent="0.35">
      <c r="A79" s="6">
        <v>122</v>
      </c>
      <c r="B79" s="7" t="s">
        <v>33</v>
      </c>
      <c r="C79" s="7" t="s">
        <v>33</v>
      </c>
      <c r="D79" s="7" t="s">
        <v>81</v>
      </c>
      <c r="E79" s="7" t="s">
        <v>82</v>
      </c>
      <c r="F79" s="8">
        <v>54</v>
      </c>
      <c r="G79" s="7" t="s">
        <v>83</v>
      </c>
      <c r="H79" s="9">
        <v>45516</v>
      </c>
      <c r="I79" s="7" t="s">
        <v>100</v>
      </c>
      <c r="J79" s="7" t="s">
        <v>124</v>
      </c>
      <c r="K79" s="7"/>
      <c r="L79" s="7"/>
      <c r="M79" s="9">
        <v>45854</v>
      </c>
      <c r="N79" s="11">
        <f t="shared" ca="1" si="1"/>
        <v>596</v>
      </c>
      <c r="O79" s="7"/>
      <c r="P79" s="7"/>
      <c r="Q79" s="13"/>
      <c r="S79"/>
      <c r="V79"/>
      <c r="W79"/>
      <c r="Y79"/>
      <c r="Z79"/>
      <c r="AA79"/>
    </row>
    <row r="80" spans="1:27" ht="87" hidden="1" x14ac:dyDescent="0.35">
      <c r="A80" s="6">
        <v>123</v>
      </c>
      <c r="B80" s="7" t="s">
        <v>33</v>
      </c>
      <c r="C80" s="7" t="s">
        <v>33</v>
      </c>
      <c r="D80" s="7" t="s">
        <v>76</v>
      </c>
      <c r="E80" s="7" t="s">
        <v>77</v>
      </c>
      <c r="F80" s="8" t="s">
        <v>84</v>
      </c>
      <c r="G80" s="7" t="s">
        <v>79</v>
      </c>
      <c r="H80" s="36">
        <v>45579</v>
      </c>
      <c r="I80" s="7" t="s">
        <v>100</v>
      </c>
      <c r="J80" s="7" t="s">
        <v>106</v>
      </c>
      <c r="K80" s="7"/>
      <c r="L80" s="7"/>
      <c r="M80" s="9">
        <v>45849</v>
      </c>
      <c r="N80" s="11">
        <f t="shared" ca="1" si="1"/>
        <v>533</v>
      </c>
      <c r="O80" s="7" t="s">
        <v>516</v>
      </c>
      <c r="P80" s="7"/>
      <c r="Q80" s="13"/>
      <c r="S80"/>
      <c r="V80"/>
      <c r="W80"/>
      <c r="Y80"/>
      <c r="Z80"/>
      <c r="AA80"/>
    </row>
    <row r="81" spans="1:27" ht="87" hidden="1" x14ac:dyDescent="0.35">
      <c r="A81" s="6">
        <v>124</v>
      </c>
      <c r="B81" s="7" t="s">
        <v>33</v>
      </c>
      <c r="C81" s="7" t="s">
        <v>33</v>
      </c>
      <c r="D81" s="7" t="s">
        <v>85</v>
      </c>
      <c r="E81" s="7" t="s">
        <v>86</v>
      </c>
      <c r="F81" s="8">
        <v>3724</v>
      </c>
      <c r="G81" s="7"/>
      <c r="H81" s="36">
        <v>45652</v>
      </c>
      <c r="I81" s="7" t="s">
        <v>100</v>
      </c>
      <c r="J81" s="7" t="s">
        <v>106</v>
      </c>
      <c r="K81" s="7"/>
      <c r="L81" s="7"/>
      <c r="M81" s="9">
        <v>45849</v>
      </c>
      <c r="N81" s="11">
        <f t="shared" ca="1" si="1"/>
        <v>460</v>
      </c>
      <c r="O81" s="7" t="s">
        <v>516</v>
      </c>
      <c r="P81" s="7"/>
      <c r="Q81" s="13"/>
      <c r="S81"/>
      <c r="V81"/>
      <c r="W81"/>
      <c r="Y81"/>
      <c r="Z81"/>
      <c r="AA81"/>
    </row>
    <row r="82" spans="1:27" ht="87" hidden="1" x14ac:dyDescent="0.35">
      <c r="A82" s="6">
        <v>125</v>
      </c>
      <c r="B82" s="7" t="s">
        <v>33</v>
      </c>
      <c r="C82" s="7" t="s">
        <v>33</v>
      </c>
      <c r="D82" s="7" t="s">
        <v>85</v>
      </c>
      <c r="E82" s="7" t="s">
        <v>87</v>
      </c>
      <c r="F82" s="8">
        <v>7168</v>
      </c>
      <c r="G82" s="7" t="s">
        <v>88</v>
      </c>
      <c r="H82" s="36">
        <v>45652</v>
      </c>
      <c r="I82" s="7" t="s">
        <v>100</v>
      </c>
      <c r="J82" s="7" t="s">
        <v>106</v>
      </c>
      <c r="K82" s="7"/>
      <c r="L82" s="7"/>
      <c r="M82" s="9">
        <v>45849</v>
      </c>
      <c r="N82" s="11">
        <f t="shared" ca="1" si="1"/>
        <v>460</v>
      </c>
      <c r="O82" s="7" t="s">
        <v>516</v>
      </c>
      <c r="P82" s="7"/>
      <c r="Q82" s="13"/>
      <c r="S82"/>
      <c r="V82"/>
      <c r="W82"/>
      <c r="Y82"/>
      <c r="Z82"/>
      <c r="AA82"/>
    </row>
    <row r="83" spans="1:27" ht="87" hidden="1" x14ac:dyDescent="0.35">
      <c r="A83" s="6">
        <v>126</v>
      </c>
      <c r="B83" s="7" t="s">
        <v>33</v>
      </c>
      <c r="C83" s="7" t="s">
        <v>33</v>
      </c>
      <c r="D83" s="7" t="s">
        <v>85</v>
      </c>
      <c r="E83" s="7" t="s">
        <v>87</v>
      </c>
      <c r="F83" s="8">
        <v>7177</v>
      </c>
      <c r="G83" s="7" t="s">
        <v>89</v>
      </c>
      <c r="H83" s="36">
        <v>45652</v>
      </c>
      <c r="I83" s="7" t="s">
        <v>100</v>
      </c>
      <c r="J83" s="7" t="s">
        <v>106</v>
      </c>
      <c r="K83" s="7"/>
      <c r="L83" s="7"/>
      <c r="M83" s="9">
        <v>45849</v>
      </c>
      <c r="N83" s="11">
        <f t="shared" ca="1" si="1"/>
        <v>460</v>
      </c>
      <c r="O83" s="7" t="s">
        <v>516</v>
      </c>
      <c r="P83" s="7"/>
      <c r="Q83" s="13"/>
      <c r="S83"/>
      <c r="V83"/>
      <c r="W83"/>
      <c r="Y83"/>
      <c r="Z83"/>
      <c r="AA83"/>
    </row>
    <row r="84" spans="1:27" ht="232" hidden="1" x14ac:dyDescent="0.35">
      <c r="A84" s="6">
        <v>127</v>
      </c>
      <c r="B84" s="7" t="s">
        <v>33</v>
      </c>
      <c r="C84" s="7" t="s">
        <v>33</v>
      </c>
      <c r="D84" s="7" t="s">
        <v>85</v>
      </c>
      <c r="E84" s="7" t="s">
        <v>90</v>
      </c>
      <c r="F84" s="8" t="s">
        <v>331</v>
      </c>
      <c r="G84" s="7" t="s">
        <v>91</v>
      </c>
      <c r="H84" s="36">
        <v>45652</v>
      </c>
      <c r="I84" s="7" t="s">
        <v>100</v>
      </c>
      <c r="J84" s="7" t="s">
        <v>106</v>
      </c>
      <c r="K84" s="7"/>
      <c r="L84" s="7"/>
      <c r="M84" s="9">
        <v>45849</v>
      </c>
      <c r="N84" s="11">
        <f t="shared" ca="1" si="1"/>
        <v>460</v>
      </c>
      <c r="O84" s="7" t="s">
        <v>516</v>
      </c>
      <c r="P84" s="7"/>
      <c r="Q84" s="13"/>
      <c r="S84"/>
      <c r="V84"/>
      <c r="W84"/>
      <c r="Y84"/>
      <c r="Z84"/>
      <c r="AA84"/>
    </row>
    <row r="85" spans="1:27" ht="232" hidden="1" x14ac:dyDescent="0.35">
      <c r="A85" s="6">
        <v>128</v>
      </c>
      <c r="B85" s="7" t="s">
        <v>33</v>
      </c>
      <c r="C85" s="7" t="s">
        <v>33</v>
      </c>
      <c r="D85" s="7" t="s">
        <v>85</v>
      </c>
      <c r="E85" s="7" t="s">
        <v>90</v>
      </c>
      <c r="F85" s="8" t="s">
        <v>332</v>
      </c>
      <c r="G85" s="7" t="s">
        <v>92</v>
      </c>
      <c r="H85" s="36">
        <v>45652</v>
      </c>
      <c r="I85" s="7" t="s">
        <v>100</v>
      </c>
      <c r="J85" s="7" t="s">
        <v>106</v>
      </c>
      <c r="K85" s="7"/>
      <c r="L85" s="7"/>
      <c r="M85" s="9">
        <v>45849</v>
      </c>
      <c r="N85" s="11">
        <f t="shared" ca="1" si="1"/>
        <v>460</v>
      </c>
      <c r="O85" s="7" t="s">
        <v>516</v>
      </c>
      <c r="P85" s="7"/>
      <c r="Q85" s="13"/>
      <c r="S85"/>
      <c r="V85"/>
      <c r="W85"/>
      <c r="Y85"/>
      <c r="Z85"/>
      <c r="AA85"/>
    </row>
    <row r="86" spans="1:27" ht="232" hidden="1" x14ac:dyDescent="0.35">
      <c r="A86" s="6">
        <v>129</v>
      </c>
      <c r="B86" s="7" t="s">
        <v>33</v>
      </c>
      <c r="C86" s="7" t="s">
        <v>33</v>
      </c>
      <c r="D86" s="7" t="s">
        <v>85</v>
      </c>
      <c r="E86" s="7" t="s">
        <v>90</v>
      </c>
      <c r="F86" s="8" t="s">
        <v>333</v>
      </c>
      <c r="G86" s="7" t="s">
        <v>93</v>
      </c>
      <c r="H86" s="36">
        <v>45652</v>
      </c>
      <c r="I86" s="7" t="s">
        <v>100</v>
      </c>
      <c r="J86" s="7" t="s">
        <v>106</v>
      </c>
      <c r="K86" s="7"/>
      <c r="L86" s="7"/>
      <c r="M86" s="9">
        <v>45849</v>
      </c>
      <c r="N86" s="11">
        <f t="shared" ca="1" si="1"/>
        <v>460</v>
      </c>
      <c r="O86" s="7" t="s">
        <v>516</v>
      </c>
      <c r="P86" s="7"/>
      <c r="Q86" s="13"/>
      <c r="S86"/>
      <c r="V86"/>
      <c r="W86"/>
      <c r="Y86"/>
      <c r="Z86"/>
      <c r="AA86"/>
    </row>
    <row r="87" spans="1:27" ht="87" hidden="1" x14ac:dyDescent="0.35">
      <c r="A87" s="6">
        <v>130</v>
      </c>
      <c r="B87" s="7" t="s">
        <v>33</v>
      </c>
      <c r="C87" s="7" t="s">
        <v>33</v>
      </c>
      <c r="D87" s="7" t="s">
        <v>85</v>
      </c>
      <c r="E87" s="7" t="s">
        <v>94</v>
      </c>
      <c r="F87" s="8" t="s">
        <v>64</v>
      </c>
      <c r="G87" s="7" t="s">
        <v>64</v>
      </c>
      <c r="H87" s="36">
        <v>45652</v>
      </c>
      <c r="I87" s="7" t="s">
        <v>100</v>
      </c>
      <c r="J87" s="7" t="s">
        <v>106</v>
      </c>
      <c r="K87" s="7"/>
      <c r="L87" s="7"/>
      <c r="M87" s="9">
        <v>45849</v>
      </c>
      <c r="N87" s="11">
        <f t="shared" ca="1" si="1"/>
        <v>460</v>
      </c>
      <c r="O87" s="7" t="s">
        <v>516</v>
      </c>
      <c r="P87" s="7"/>
      <c r="Q87" s="13"/>
      <c r="S87"/>
      <c r="V87"/>
      <c r="W87"/>
      <c r="Y87"/>
      <c r="Z87"/>
      <c r="AA87"/>
    </row>
    <row r="88" spans="1:27" ht="87" hidden="1" x14ac:dyDescent="0.35">
      <c r="A88" s="6">
        <v>131</v>
      </c>
      <c r="B88" s="7" t="s">
        <v>33</v>
      </c>
      <c r="C88" s="7" t="s">
        <v>33</v>
      </c>
      <c r="D88" s="7" t="s">
        <v>85</v>
      </c>
      <c r="E88" s="7" t="s">
        <v>94</v>
      </c>
      <c r="F88" s="8" t="s">
        <v>64</v>
      </c>
      <c r="G88" s="7" t="s">
        <v>64</v>
      </c>
      <c r="H88" s="36">
        <v>45652</v>
      </c>
      <c r="I88" s="7" t="s">
        <v>100</v>
      </c>
      <c r="J88" s="7" t="s">
        <v>106</v>
      </c>
      <c r="K88" s="7"/>
      <c r="L88" s="7"/>
      <c r="M88" s="9">
        <v>45849</v>
      </c>
      <c r="N88" s="11">
        <f t="shared" ca="1" si="1"/>
        <v>460</v>
      </c>
      <c r="O88" s="7" t="s">
        <v>516</v>
      </c>
      <c r="P88" s="7"/>
      <c r="Q88" s="13"/>
      <c r="S88"/>
      <c r="V88"/>
      <c r="W88"/>
      <c r="Y88"/>
      <c r="Z88"/>
      <c r="AA88"/>
    </row>
    <row r="89" spans="1:27" ht="87" hidden="1" x14ac:dyDescent="0.35">
      <c r="A89" s="6">
        <v>132</v>
      </c>
      <c r="B89" s="7" t="s">
        <v>33</v>
      </c>
      <c r="C89" s="7" t="s">
        <v>33</v>
      </c>
      <c r="D89" s="7" t="s">
        <v>85</v>
      </c>
      <c r="E89" s="7" t="s">
        <v>94</v>
      </c>
      <c r="F89" s="8" t="s">
        <v>64</v>
      </c>
      <c r="G89" s="7" t="s">
        <v>64</v>
      </c>
      <c r="H89" s="36">
        <v>45652</v>
      </c>
      <c r="I89" s="7" t="s">
        <v>100</v>
      </c>
      <c r="J89" s="7" t="s">
        <v>106</v>
      </c>
      <c r="K89" s="7"/>
      <c r="L89" s="7"/>
      <c r="M89" s="9">
        <v>45849</v>
      </c>
      <c r="N89" s="11">
        <f t="shared" ca="1" si="1"/>
        <v>460</v>
      </c>
      <c r="O89" s="7" t="s">
        <v>516</v>
      </c>
      <c r="P89" s="7"/>
      <c r="Q89" s="13"/>
      <c r="S89"/>
      <c r="V89"/>
      <c r="W89"/>
      <c r="Y89"/>
      <c r="Z89"/>
      <c r="AA89"/>
    </row>
    <row r="90" spans="1:27" ht="87" hidden="1" x14ac:dyDescent="0.35">
      <c r="A90" s="6">
        <v>133</v>
      </c>
      <c r="B90" s="7" t="s">
        <v>33</v>
      </c>
      <c r="C90" s="7" t="s">
        <v>33</v>
      </c>
      <c r="D90" s="7" t="s">
        <v>85</v>
      </c>
      <c r="E90" s="7" t="s">
        <v>94</v>
      </c>
      <c r="F90" s="8" t="s">
        <v>64</v>
      </c>
      <c r="G90" s="7" t="s">
        <v>64</v>
      </c>
      <c r="H90" s="36">
        <v>45652</v>
      </c>
      <c r="I90" s="7" t="s">
        <v>100</v>
      </c>
      <c r="J90" s="7" t="s">
        <v>106</v>
      </c>
      <c r="K90" s="7"/>
      <c r="L90" s="7"/>
      <c r="M90" s="9">
        <v>45849</v>
      </c>
      <c r="N90" s="11">
        <f t="shared" ca="1" si="1"/>
        <v>460</v>
      </c>
      <c r="O90" s="7" t="s">
        <v>516</v>
      </c>
      <c r="P90" s="7"/>
      <c r="Q90" s="13"/>
      <c r="S90"/>
      <c r="V90"/>
      <c r="W90"/>
      <c r="Y90"/>
      <c r="Z90"/>
      <c r="AA90"/>
    </row>
    <row r="91" spans="1:27" ht="87" hidden="1" x14ac:dyDescent="0.35">
      <c r="A91" s="6">
        <v>134</v>
      </c>
      <c r="B91" s="7" t="s">
        <v>33</v>
      </c>
      <c r="C91" s="7" t="s">
        <v>33</v>
      </c>
      <c r="D91" s="7" t="s">
        <v>85</v>
      </c>
      <c r="E91" s="7" t="s">
        <v>95</v>
      </c>
      <c r="F91" s="8">
        <v>202538864</v>
      </c>
      <c r="G91" s="7"/>
      <c r="H91" s="36">
        <v>45652</v>
      </c>
      <c r="I91" s="7" t="s">
        <v>100</v>
      </c>
      <c r="J91" s="7" t="s">
        <v>106</v>
      </c>
      <c r="K91" s="7"/>
      <c r="L91" s="7"/>
      <c r="M91" s="9">
        <v>45849</v>
      </c>
      <c r="N91" s="11">
        <f t="shared" ca="1" si="1"/>
        <v>460</v>
      </c>
      <c r="O91" s="7" t="s">
        <v>516</v>
      </c>
      <c r="P91" s="7"/>
      <c r="Q91" s="13"/>
      <c r="S91"/>
      <c r="V91"/>
      <c r="W91"/>
      <c r="Y91"/>
      <c r="Z91"/>
      <c r="AA91"/>
    </row>
    <row r="92" spans="1:27" ht="87" hidden="1" x14ac:dyDescent="0.35">
      <c r="A92" s="6">
        <v>135</v>
      </c>
      <c r="B92" s="7" t="s">
        <v>33</v>
      </c>
      <c r="C92" s="7" t="s">
        <v>33</v>
      </c>
      <c r="D92" s="7" t="s">
        <v>85</v>
      </c>
      <c r="E92" s="7" t="s">
        <v>96</v>
      </c>
      <c r="F92" s="8" t="s">
        <v>64</v>
      </c>
      <c r="G92" s="7"/>
      <c r="H92" s="36">
        <v>45652</v>
      </c>
      <c r="I92" s="7" t="s">
        <v>100</v>
      </c>
      <c r="J92" s="7" t="s">
        <v>106</v>
      </c>
      <c r="K92" s="7"/>
      <c r="L92" s="7"/>
      <c r="M92" s="9">
        <v>45849</v>
      </c>
      <c r="N92" s="11">
        <f t="shared" ca="1" si="1"/>
        <v>460</v>
      </c>
      <c r="O92" s="7" t="s">
        <v>516</v>
      </c>
      <c r="P92" s="7"/>
      <c r="Q92" s="13"/>
      <c r="S92"/>
      <c r="V92"/>
      <c r="W92"/>
      <c r="Y92"/>
      <c r="Z92"/>
      <c r="AA92"/>
    </row>
    <row r="93" spans="1:27" hidden="1" x14ac:dyDescent="0.35">
      <c r="A93" s="45"/>
      <c r="B93" s="17"/>
      <c r="C93" s="17"/>
      <c r="D93" s="46"/>
      <c r="E93" s="46"/>
      <c r="F93" s="46"/>
      <c r="G93" s="46"/>
      <c r="H93" s="46"/>
      <c r="I93" s="46"/>
      <c r="J93" s="46"/>
      <c r="K93" s="71" t="s">
        <v>522</v>
      </c>
      <c r="L93" s="46"/>
      <c r="M93" s="46"/>
      <c r="N93" s="11">
        <f t="shared" ca="1" si="1"/>
        <v>46112</v>
      </c>
      <c r="O93" s="46"/>
      <c r="P93" s="46"/>
      <c r="Q93" s="46"/>
      <c r="S93"/>
      <c r="V93"/>
      <c r="W93"/>
      <c r="Y93"/>
      <c r="Z93"/>
      <c r="AA93"/>
    </row>
    <row r="94" spans="1:27" ht="62.5" hidden="1" x14ac:dyDescent="0.35">
      <c r="A94" s="17">
        <v>5</v>
      </c>
      <c r="D94" s="47" t="s">
        <v>37</v>
      </c>
      <c r="E94" s="47" t="s">
        <v>38</v>
      </c>
      <c r="F94" s="47" t="s">
        <v>482</v>
      </c>
      <c r="G94" s="48" t="s">
        <v>483</v>
      </c>
      <c r="H94" s="48"/>
      <c r="I94" s="13"/>
      <c r="J94" s="13"/>
      <c r="K94" s="13"/>
      <c r="L94" s="13"/>
      <c r="M94" s="13"/>
      <c r="N94" s="11">
        <f t="shared" ca="1" si="1"/>
        <v>46112</v>
      </c>
      <c r="O94" s="48" t="s">
        <v>519</v>
      </c>
      <c r="P94" s="13"/>
      <c r="Q94" s="13"/>
      <c r="S94"/>
      <c r="V94"/>
      <c r="W94"/>
      <c r="Y94"/>
      <c r="Z94"/>
      <c r="AA94"/>
    </row>
    <row r="95" spans="1:27" ht="87.5" hidden="1" x14ac:dyDescent="0.35">
      <c r="A95" s="17">
        <v>6</v>
      </c>
      <c r="D95" s="47" t="s">
        <v>37</v>
      </c>
      <c r="E95" s="47" t="s">
        <v>38</v>
      </c>
      <c r="F95" s="47" t="s">
        <v>484</v>
      </c>
      <c r="G95" s="48" t="s">
        <v>485</v>
      </c>
      <c r="H95" s="48"/>
      <c r="I95" s="13"/>
      <c r="J95" s="13"/>
      <c r="K95" s="13"/>
      <c r="L95" s="13"/>
      <c r="M95" s="13"/>
      <c r="N95" s="11">
        <f t="shared" ca="1" si="1"/>
        <v>46112</v>
      </c>
      <c r="O95" s="48" t="s">
        <v>519</v>
      </c>
      <c r="P95" s="13"/>
      <c r="Q95" s="13"/>
      <c r="S95"/>
      <c r="V95"/>
      <c r="W95"/>
      <c r="Y95"/>
      <c r="Z95"/>
      <c r="AA95"/>
    </row>
    <row r="96" spans="1:27" ht="72.5" hidden="1" x14ac:dyDescent="0.35">
      <c r="A96" s="17">
        <v>8</v>
      </c>
      <c r="D96" s="18" t="s">
        <v>37</v>
      </c>
      <c r="E96" s="18" t="s">
        <v>38</v>
      </c>
      <c r="F96" s="18" t="s">
        <v>128</v>
      </c>
      <c r="G96" s="49" t="s">
        <v>486</v>
      </c>
      <c r="H96" s="35">
        <v>45369</v>
      </c>
      <c r="I96" s="13"/>
      <c r="J96" s="7" t="s">
        <v>105</v>
      </c>
      <c r="K96" s="13"/>
      <c r="L96" s="13"/>
      <c r="M96" s="13"/>
      <c r="N96" s="11">
        <f t="shared" ca="1" si="1"/>
        <v>743</v>
      </c>
      <c r="O96" s="13"/>
      <c r="P96" s="13"/>
      <c r="Q96" s="13"/>
      <c r="S96"/>
      <c r="V96"/>
      <c r="W96"/>
      <c r="Y96"/>
      <c r="Z96"/>
      <c r="AA96"/>
    </row>
    <row r="97" spans="1:27" ht="72.5" hidden="1" x14ac:dyDescent="0.35">
      <c r="A97" s="17">
        <v>10</v>
      </c>
      <c r="D97" s="18" t="s">
        <v>37</v>
      </c>
      <c r="E97" s="18" t="s">
        <v>38</v>
      </c>
      <c r="F97" s="18" t="s">
        <v>129</v>
      </c>
      <c r="G97" s="49" t="s">
        <v>486</v>
      </c>
      <c r="H97" s="35">
        <v>45369</v>
      </c>
      <c r="I97" s="13"/>
      <c r="J97" s="7" t="s">
        <v>105</v>
      </c>
      <c r="K97" s="13"/>
      <c r="L97" s="13"/>
      <c r="M97" s="13"/>
      <c r="N97" s="11">
        <f t="shared" ca="1" si="1"/>
        <v>743</v>
      </c>
      <c r="O97" s="13"/>
      <c r="P97" s="13"/>
      <c r="Q97" s="13"/>
      <c r="S97"/>
      <c r="V97"/>
      <c r="W97"/>
      <c r="Y97"/>
      <c r="Z97"/>
      <c r="AA97"/>
    </row>
    <row r="98" spans="1:27" ht="72.5" hidden="1" x14ac:dyDescent="0.35">
      <c r="A98" s="17">
        <v>12</v>
      </c>
      <c r="D98" s="18" t="s">
        <v>37</v>
      </c>
      <c r="E98" s="18" t="s">
        <v>38</v>
      </c>
      <c r="F98" s="18" t="s">
        <v>130</v>
      </c>
      <c r="G98" s="49" t="s">
        <v>486</v>
      </c>
      <c r="H98" s="35">
        <v>45369</v>
      </c>
      <c r="I98" s="13"/>
      <c r="J98" s="7" t="s">
        <v>105</v>
      </c>
      <c r="K98" s="13"/>
      <c r="L98" s="13"/>
      <c r="M98" s="13"/>
      <c r="N98" s="11">
        <f t="shared" ca="1" si="1"/>
        <v>743</v>
      </c>
      <c r="O98" s="13"/>
      <c r="P98" s="13"/>
      <c r="Q98" s="13"/>
      <c r="S98"/>
      <c r="V98"/>
      <c r="W98"/>
      <c r="Y98"/>
      <c r="Z98"/>
      <c r="AA98"/>
    </row>
    <row r="99" spans="1:27" ht="72.5" hidden="1" x14ac:dyDescent="0.35">
      <c r="A99" s="17">
        <v>14</v>
      </c>
      <c r="D99" s="18" t="s">
        <v>37</v>
      </c>
      <c r="E99" s="18" t="s">
        <v>38</v>
      </c>
      <c r="F99" s="18" t="s">
        <v>131</v>
      </c>
      <c r="G99" s="49" t="s">
        <v>486</v>
      </c>
      <c r="H99" s="35">
        <v>45369</v>
      </c>
      <c r="I99" s="13"/>
      <c r="J99" s="7" t="s">
        <v>105</v>
      </c>
      <c r="K99" s="13"/>
      <c r="L99" s="13"/>
      <c r="M99" s="13"/>
      <c r="N99" s="11">
        <f t="shared" ca="1" si="1"/>
        <v>743</v>
      </c>
      <c r="O99" s="13"/>
      <c r="P99" s="13"/>
      <c r="Q99" s="13"/>
      <c r="S99"/>
      <c r="V99"/>
      <c r="W99"/>
      <c r="Y99"/>
      <c r="Z99"/>
      <c r="AA99"/>
    </row>
    <row r="100" spans="1:27" ht="72.5" hidden="1" x14ac:dyDescent="0.35">
      <c r="A100" s="17">
        <v>15</v>
      </c>
      <c r="D100" s="18" t="s">
        <v>37</v>
      </c>
      <c r="E100" s="18" t="s">
        <v>38</v>
      </c>
      <c r="F100" s="18" t="s">
        <v>132</v>
      </c>
      <c r="G100" s="49" t="s">
        <v>486</v>
      </c>
      <c r="H100" s="35">
        <v>45369</v>
      </c>
      <c r="I100" s="13"/>
      <c r="J100" s="7" t="s">
        <v>105</v>
      </c>
      <c r="K100" s="13"/>
      <c r="L100" s="13"/>
      <c r="M100" s="13"/>
      <c r="N100" s="11">
        <f t="shared" ca="1" si="1"/>
        <v>743</v>
      </c>
      <c r="O100" s="13"/>
      <c r="P100" s="13"/>
      <c r="Q100" s="13"/>
      <c r="S100"/>
      <c r="V100"/>
      <c r="W100"/>
      <c r="Y100"/>
      <c r="Z100"/>
      <c r="AA100"/>
    </row>
    <row r="101" spans="1:27" ht="72.5" hidden="1" x14ac:dyDescent="0.35">
      <c r="A101" s="17">
        <v>16</v>
      </c>
      <c r="D101" s="18" t="s">
        <v>37</v>
      </c>
      <c r="E101" s="18" t="s">
        <v>38</v>
      </c>
      <c r="F101" s="18" t="s">
        <v>133</v>
      </c>
      <c r="G101" s="49" t="s">
        <v>486</v>
      </c>
      <c r="H101" s="35">
        <v>45369</v>
      </c>
      <c r="I101" s="13"/>
      <c r="J101" s="7" t="s">
        <v>105</v>
      </c>
      <c r="K101" s="13"/>
      <c r="L101" s="13"/>
      <c r="M101" s="13"/>
      <c r="N101" s="11">
        <f t="shared" ca="1" si="1"/>
        <v>743</v>
      </c>
      <c r="O101" s="13"/>
      <c r="P101" s="13"/>
      <c r="Q101" s="13"/>
      <c r="S101"/>
      <c r="V101"/>
      <c r="W101"/>
      <c r="Y101"/>
      <c r="Z101"/>
      <c r="AA101"/>
    </row>
    <row r="102" spans="1:27" ht="29" hidden="1" x14ac:dyDescent="0.35">
      <c r="A102" s="17">
        <v>20</v>
      </c>
      <c r="D102" s="51" t="s">
        <v>134</v>
      </c>
      <c r="E102" s="51" t="s">
        <v>135</v>
      </c>
      <c r="F102" s="51">
        <v>53224</v>
      </c>
      <c r="G102" s="21"/>
      <c r="H102" s="35">
        <v>45398</v>
      </c>
      <c r="I102" s="13"/>
      <c r="J102" s="13"/>
      <c r="K102" s="13"/>
      <c r="L102" s="13"/>
      <c r="M102" s="13"/>
      <c r="N102" s="11">
        <f t="shared" ca="1" si="1"/>
        <v>714</v>
      </c>
      <c r="O102" s="7" t="s">
        <v>516</v>
      </c>
      <c r="P102" s="13"/>
      <c r="Q102" s="13"/>
      <c r="S102"/>
      <c r="V102"/>
      <c r="W102"/>
      <c r="Y102"/>
      <c r="Z102"/>
      <c r="AA102"/>
    </row>
    <row r="103" spans="1:27" ht="29" hidden="1" x14ac:dyDescent="0.35">
      <c r="A103" s="17">
        <v>21</v>
      </c>
      <c r="D103" s="51" t="s">
        <v>134</v>
      </c>
      <c r="E103" s="51" t="s">
        <v>135</v>
      </c>
      <c r="F103" s="51">
        <v>54976</v>
      </c>
      <c r="G103" s="21"/>
      <c r="H103" s="35">
        <v>45398</v>
      </c>
      <c r="I103" s="13"/>
      <c r="J103" s="13"/>
      <c r="K103" s="13"/>
      <c r="L103" s="13"/>
      <c r="M103" s="13"/>
      <c r="N103" s="11">
        <f t="shared" ca="1" si="1"/>
        <v>714</v>
      </c>
      <c r="O103" s="7" t="s">
        <v>516</v>
      </c>
      <c r="P103" s="13"/>
      <c r="Q103" s="13"/>
      <c r="S103"/>
      <c r="V103"/>
      <c r="W103"/>
      <c r="Y103"/>
      <c r="Z103"/>
      <c r="AA103"/>
    </row>
    <row r="104" spans="1:27" ht="29" hidden="1" x14ac:dyDescent="0.35">
      <c r="A104" s="17">
        <v>22</v>
      </c>
      <c r="D104" s="51" t="s">
        <v>138</v>
      </c>
      <c r="E104" s="51" t="s">
        <v>139</v>
      </c>
      <c r="F104" s="52">
        <v>8045160407084250</v>
      </c>
      <c r="G104" s="21"/>
      <c r="H104" s="35">
        <v>45398</v>
      </c>
      <c r="I104" s="13"/>
      <c r="J104" s="13"/>
      <c r="K104" s="13"/>
      <c r="L104" s="13"/>
      <c r="M104" s="13"/>
      <c r="N104" s="11">
        <f t="shared" ca="1" si="1"/>
        <v>714</v>
      </c>
      <c r="O104" s="7" t="s">
        <v>516</v>
      </c>
      <c r="P104" s="13"/>
      <c r="Q104" s="13"/>
      <c r="S104"/>
      <c r="V104"/>
      <c r="W104"/>
      <c r="Y104"/>
      <c r="Z104"/>
      <c r="AA104"/>
    </row>
    <row r="105" spans="1:27" ht="29" hidden="1" x14ac:dyDescent="0.35">
      <c r="A105" s="17">
        <v>23</v>
      </c>
      <c r="D105" s="51" t="s">
        <v>141</v>
      </c>
      <c r="E105" s="51" t="s">
        <v>139</v>
      </c>
      <c r="F105" s="52">
        <v>8045160407084250</v>
      </c>
      <c r="G105" s="21"/>
      <c r="H105" s="35">
        <v>45398</v>
      </c>
      <c r="I105" s="13"/>
      <c r="J105" s="13"/>
      <c r="K105" s="13"/>
      <c r="L105" s="13"/>
      <c r="M105" s="13"/>
      <c r="N105" s="11">
        <f t="shared" ca="1" si="1"/>
        <v>714</v>
      </c>
      <c r="O105" s="7" t="s">
        <v>516</v>
      </c>
      <c r="P105" s="13"/>
      <c r="Q105" s="13"/>
      <c r="S105"/>
      <c r="V105"/>
      <c r="W105"/>
      <c r="Y105"/>
      <c r="Z105"/>
      <c r="AA105"/>
    </row>
    <row r="106" spans="1:27" ht="29" hidden="1" x14ac:dyDescent="0.35">
      <c r="A106" s="17">
        <v>24</v>
      </c>
      <c r="D106" s="51" t="s">
        <v>141</v>
      </c>
      <c r="E106" s="51" t="s">
        <v>139</v>
      </c>
      <c r="F106" s="52">
        <v>8045160407084260</v>
      </c>
      <c r="G106" s="21"/>
      <c r="H106" s="35">
        <v>45398</v>
      </c>
      <c r="I106" s="13"/>
      <c r="J106" s="13"/>
      <c r="K106" s="13"/>
      <c r="L106" s="13"/>
      <c r="M106" s="13"/>
      <c r="N106" s="11">
        <f t="shared" ca="1" si="1"/>
        <v>714</v>
      </c>
      <c r="O106" s="7" t="s">
        <v>516</v>
      </c>
      <c r="P106" s="13"/>
      <c r="Q106" s="13"/>
      <c r="S106"/>
      <c r="V106"/>
      <c r="W106"/>
      <c r="Y106"/>
      <c r="Z106"/>
      <c r="AA106"/>
    </row>
    <row r="107" spans="1:27" ht="29" hidden="1" x14ac:dyDescent="0.35">
      <c r="A107" s="17">
        <v>25</v>
      </c>
      <c r="D107" s="51" t="s">
        <v>141</v>
      </c>
      <c r="E107" s="51" t="s">
        <v>139</v>
      </c>
      <c r="F107" s="52">
        <v>8045160407084250</v>
      </c>
      <c r="G107" s="21"/>
      <c r="H107" s="35">
        <v>45398</v>
      </c>
      <c r="I107" s="13"/>
      <c r="J107" s="13"/>
      <c r="K107" s="13"/>
      <c r="L107" s="13"/>
      <c r="M107" s="13"/>
      <c r="N107" s="11">
        <f t="shared" ca="1" si="1"/>
        <v>714</v>
      </c>
      <c r="O107" s="7" t="s">
        <v>516</v>
      </c>
      <c r="P107" s="13"/>
      <c r="Q107" s="13"/>
      <c r="S107"/>
      <c r="V107"/>
      <c r="W107"/>
      <c r="Y107"/>
      <c r="Z107"/>
      <c r="AA107"/>
    </row>
    <row r="108" spans="1:27" ht="29" hidden="1" x14ac:dyDescent="0.35">
      <c r="A108" s="17">
        <v>26</v>
      </c>
      <c r="D108" s="51" t="s">
        <v>142</v>
      </c>
      <c r="E108" s="51" t="s">
        <v>139</v>
      </c>
      <c r="F108" s="52">
        <v>8045160407084280</v>
      </c>
      <c r="G108" s="21"/>
      <c r="H108" s="35">
        <v>45398</v>
      </c>
      <c r="I108" s="13"/>
      <c r="J108" s="13"/>
      <c r="K108" s="13"/>
      <c r="L108" s="13"/>
      <c r="M108" s="13"/>
      <c r="N108" s="11">
        <f t="shared" ca="1" si="1"/>
        <v>714</v>
      </c>
      <c r="O108" s="7" t="s">
        <v>516</v>
      </c>
      <c r="P108" s="13"/>
      <c r="Q108" s="13"/>
      <c r="S108"/>
      <c r="V108"/>
      <c r="W108"/>
      <c r="Y108"/>
      <c r="Z108"/>
      <c r="AA108"/>
    </row>
    <row r="109" spans="1:27" ht="29" hidden="1" x14ac:dyDescent="0.35">
      <c r="A109" s="17">
        <v>27</v>
      </c>
      <c r="D109" s="22" t="s">
        <v>134</v>
      </c>
      <c r="E109" s="51" t="s">
        <v>135</v>
      </c>
      <c r="F109" s="51">
        <v>54259</v>
      </c>
      <c r="G109" s="21"/>
      <c r="H109" s="35">
        <v>45398</v>
      </c>
      <c r="I109" s="13"/>
      <c r="J109" s="13"/>
      <c r="K109" s="13"/>
      <c r="L109" s="13"/>
      <c r="M109" s="13"/>
      <c r="N109" s="11">
        <f t="shared" ca="1" si="1"/>
        <v>714</v>
      </c>
      <c r="O109" s="7" t="s">
        <v>516</v>
      </c>
      <c r="P109" s="13"/>
      <c r="Q109" s="13"/>
      <c r="S109"/>
      <c r="V109"/>
      <c r="W109"/>
      <c r="Y109"/>
      <c r="Z109"/>
      <c r="AA109"/>
    </row>
    <row r="110" spans="1:27" ht="29" hidden="1" x14ac:dyDescent="0.35">
      <c r="A110" s="17">
        <v>28</v>
      </c>
      <c r="D110" s="22" t="s">
        <v>134</v>
      </c>
      <c r="E110" s="51" t="s">
        <v>135</v>
      </c>
      <c r="F110" s="51">
        <v>54322</v>
      </c>
      <c r="G110" s="21"/>
      <c r="H110" s="35">
        <v>45398</v>
      </c>
      <c r="I110" s="13"/>
      <c r="J110" s="13"/>
      <c r="K110" s="13"/>
      <c r="L110" s="13"/>
      <c r="M110" s="13"/>
      <c r="N110" s="11">
        <f t="shared" ca="1" si="1"/>
        <v>714</v>
      </c>
      <c r="O110" s="7" t="s">
        <v>516</v>
      </c>
      <c r="P110" s="13"/>
      <c r="Q110" s="13"/>
      <c r="S110"/>
      <c r="V110"/>
      <c r="W110"/>
      <c r="Y110"/>
      <c r="Z110"/>
      <c r="AA110"/>
    </row>
    <row r="111" spans="1:27" ht="29" hidden="1" x14ac:dyDescent="0.35">
      <c r="A111" s="17">
        <v>29</v>
      </c>
      <c r="D111" s="22" t="s">
        <v>134</v>
      </c>
      <c r="E111" s="51" t="s">
        <v>135</v>
      </c>
      <c r="F111" s="51">
        <v>55100</v>
      </c>
      <c r="G111" s="21"/>
      <c r="H111" s="35">
        <v>45398</v>
      </c>
      <c r="I111" s="13"/>
      <c r="J111" s="13"/>
      <c r="K111" s="13"/>
      <c r="L111" s="13"/>
      <c r="M111" s="13"/>
      <c r="N111" s="11">
        <f t="shared" ca="1" si="1"/>
        <v>714</v>
      </c>
      <c r="O111" s="7" t="s">
        <v>516</v>
      </c>
      <c r="P111" s="13"/>
      <c r="Q111" s="13"/>
      <c r="S111"/>
      <c r="V111"/>
      <c r="W111"/>
      <c r="Y111"/>
      <c r="Z111"/>
      <c r="AA111"/>
    </row>
    <row r="112" spans="1:27" ht="29" hidden="1" x14ac:dyDescent="0.35">
      <c r="A112" s="17">
        <v>30</v>
      </c>
      <c r="D112" s="22" t="s">
        <v>134</v>
      </c>
      <c r="E112" s="51" t="s">
        <v>135</v>
      </c>
      <c r="F112" s="51">
        <v>59030</v>
      </c>
      <c r="G112" s="21"/>
      <c r="H112" s="35">
        <v>45398</v>
      </c>
      <c r="I112" s="13"/>
      <c r="J112" s="13"/>
      <c r="K112" s="13"/>
      <c r="L112" s="13"/>
      <c r="M112" s="13"/>
      <c r="N112" s="11">
        <f t="shared" ca="1" si="1"/>
        <v>714</v>
      </c>
      <c r="O112" s="7" t="s">
        <v>516</v>
      </c>
      <c r="P112" s="13"/>
      <c r="Q112" s="13"/>
      <c r="S112"/>
      <c r="V112"/>
      <c r="W112"/>
      <c r="Y112"/>
      <c r="Z112"/>
      <c r="AA112"/>
    </row>
    <row r="113" spans="1:27" hidden="1" x14ac:dyDescent="0.35">
      <c r="A113" s="17">
        <v>33</v>
      </c>
      <c r="D113" s="47" t="s">
        <v>146</v>
      </c>
      <c r="E113" s="47" t="s">
        <v>147</v>
      </c>
      <c r="F113" s="47" t="s">
        <v>148</v>
      </c>
      <c r="G113" s="23"/>
      <c r="H113" s="35">
        <v>45424</v>
      </c>
      <c r="I113" s="13"/>
      <c r="J113" s="13"/>
      <c r="K113" s="72" t="s">
        <v>523</v>
      </c>
      <c r="L113" s="13"/>
      <c r="M113" s="13"/>
      <c r="N113" s="11">
        <f t="shared" ca="1" si="1"/>
        <v>688</v>
      </c>
      <c r="O113" s="13"/>
      <c r="P113" s="13"/>
      <c r="Q113" s="13"/>
      <c r="S113"/>
      <c r="V113"/>
      <c r="W113"/>
      <c r="Y113"/>
      <c r="Z113"/>
      <c r="AA113"/>
    </row>
    <row r="114" spans="1:27" hidden="1" x14ac:dyDescent="0.35">
      <c r="A114" s="17">
        <v>34</v>
      </c>
      <c r="D114" s="47" t="s">
        <v>146</v>
      </c>
      <c r="E114" s="47" t="s">
        <v>147</v>
      </c>
      <c r="F114" s="47" t="s">
        <v>150</v>
      </c>
      <c r="G114" s="23"/>
      <c r="H114" s="35">
        <v>45424</v>
      </c>
      <c r="I114" s="13"/>
      <c r="J114" s="13"/>
      <c r="K114" s="72" t="s">
        <v>523</v>
      </c>
      <c r="L114" s="13"/>
      <c r="M114" s="13"/>
      <c r="N114" s="11">
        <f t="shared" ca="1" si="1"/>
        <v>688</v>
      </c>
      <c r="O114" s="13"/>
      <c r="P114" s="13"/>
      <c r="Q114" s="13"/>
      <c r="S114"/>
      <c r="V114"/>
      <c r="W114"/>
      <c r="Y114"/>
      <c r="Z114"/>
      <c r="AA114"/>
    </row>
    <row r="115" spans="1:27" ht="72.5" hidden="1" x14ac:dyDescent="0.35">
      <c r="A115" s="17">
        <v>35</v>
      </c>
      <c r="D115" s="25" t="s">
        <v>37</v>
      </c>
      <c r="E115" s="25" t="s">
        <v>38</v>
      </c>
      <c r="F115" s="25" t="s">
        <v>151</v>
      </c>
      <c r="G115" s="25" t="s">
        <v>487</v>
      </c>
      <c r="H115" s="37">
        <v>45415</v>
      </c>
      <c r="I115" s="13"/>
      <c r="J115" s="7" t="s">
        <v>105</v>
      </c>
      <c r="K115" s="13"/>
      <c r="L115" s="13"/>
      <c r="M115" s="13"/>
      <c r="N115" s="11">
        <f t="shared" ca="1" si="1"/>
        <v>697</v>
      </c>
      <c r="O115" s="13"/>
      <c r="P115" s="13"/>
      <c r="Q115" s="13"/>
      <c r="S115"/>
      <c r="V115"/>
      <c r="W115"/>
      <c r="Y115"/>
      <c r="Z115"/>
      <c r="AA115"/>
    </row>
    <row r="116" spans="1:27" ht="72.5" hidden="1" x14ac:dyDescent="0.35">
      <c r="A116" s="17">
        <v>39</v>
      </c>
      <c r="D116" s="25" t="s">
        <v>37</v>
      </c>
      <c r="E116" s="25" t="s">
        <v>38</v>
      </c>
      <c r="F116" s="25" t="s">
        <v>152</v>
      </c>
      <c r="G116" s="25" t="s">
        <v>487</v>
      </c>
      <c r="H116" s="37">
        <v>45415</v>
      </c>
      <c r="I116" s="13"/>
      <c r="J116" s="7" t="s">
        <v>105</v>
      </c>
      <c r="K116" s="13"/>
      <c r="L116" s="13"/>
      <c r="M116" s="13"/>
      <c r="N116" s="11">
        <f t="shared" ca="1" si="1"/>
        <v>697</v>
      </c>
      <c r="O116" s="13"/>
      <c r="P116" s="13"/>
      <c r="Q116" s="13"/>
      <c r="S116"/>
      <c r="V116"/>
      <c r="W116"/>
      <c r="Y116"/>
      <c r="Z116"/>
      <c r="AA116"/>
    </row>
    <row r="117" spans="1:27" ht="72.5" hidden="1" x14ac:dyDescent="0.35">
      <c r="A117" s="17">
        <v>41</v>
      </c>
      <c r="D117" s="25" t="s">
        <v>37</v>
      </c>
      <c r="E117" s="25" t="s">
        <v>38</v>
      </c>
      <c r="F117" s="25" t="s">
        <v>153</v>
      </c>
      <c r="G117" s="25" t="s">
        <v>487</v>
      </c>
      <c r="H117" s="37">
        <v>45415</v>
      </c>
      <c r="I117" s="13"/>
      <c r="J117" s="7" t="s">
        <v>105</v>
      </c>
      <c r="K117" s="13"/>
      <c r="L117" s="13"/>
      <c r="M117" s="13"/>
      <c r="N117" s="11">
        <f t="shared" ca="1" si="1"/>
        <v>697</v>
      </c>
      <c r="O117" s="13"/>
      <c r="P117" s="13"/>
      <c r="Q117" s="13"/>
      <c r="S117"/>
      <c r="V117"/>
      <c r="W117"/>
      <c r="Y117"/>
      <c r="Z117"/>
      <c r="AA117"/>
    </row>
    <row r="118" spans="1:27" ht="72.5" hidden="1" x14ac:dyDescent="0.35">
      <c r="A118" s="17">
        <v>44</v>
      </c>
      <c r="D118" s="25" t="s">
        <v>37</v>
      </c>
      <c r="E118" s="25" t="s">
        <v>38</v>
      </c>
      <c r="F118" s="25" t="s">
        <v>154</v>
      </c>
      <c r="G118" s="25" t="s">
        <v>487</v>
      </c>
      <c r="H118" s="37">
        <v>45415</v>
      </c>
      <c r="I118" s="13"/>
      <c r="J118" s="7" t="s">
        <v>105</v>
      </c>
      <c r="K118" s="13"/>
      <c r="L118" s="13"/>
      <c r="M118" s="13"/>
      <c r="N118" s="11">
        <f t="shared" ca="1" si="1"/>
        <v>697</v>
      </c>
      <c r="O118" s="13"/>
      <c r="P118" s="13"/>
      <c r="Q118" s="13"/>
      <c r="S118"/>
      <c r="V118"/>
      <c r="W118"/>
      <c r="Y118"/>
      <c r="Z118"/>
      <c r="AA118"/>
    </row>
    <row r="119" spans="1:27" ht="72.5" hidden="1" x14ac:dyDescent="0.35">
      <c r="A119" s="17">
        <v>45</v>
      </c>
      <c r="D119" s="25" t="s">
        <v>37</v>
      </c>
      <c r="E119" s="25" t="s">
        <v>38</v>
      </c>
      <c r="F119" s="25" t="s">
        <v>155</v>
      </c>
      <c r="G119" s="25" t="s">
        <v>487</v>
      </c>
      <c r="H119" s="37">
        <v>45415</v>
      </c>
      <c r="I119" s="13"/>
      <c r="J119" s="7" t="s">
        <v>105</v>
      </c>
      <c r="K119" s="13"/>
      <c r="L119" s="13"/>
      <c r="M119" s="13"/>
      <c r="N119" s="11">
        <f t="shared" ca="1" si="1"/>
        <v>697</v>
      </c>
      <c r="O119" s="13"/>
      <c r="P119" s="13"/>
      <c r="Q119" s="13"/>
      <c r="S119"/>
      <c r="V119"/>
      <c r="W119"/>
      <c r="Y119"/>
      <c r="Z119"/>
      <c r="AA119"/>
    </row>
    <row r="120" spans="1:27" ht="72.5" hidden="1" x14ac:dyDescent="0.35">
      <c r="A120" s="17">
        <v>46</v>
      </c>
      <c r="D120" s="25" t="s">
        <v>37</v>
      </c>
      <c r="E120" s="25" t="s">
        <v>38</v>
      </c>
      <c r="F120" s="25" t="s">
        <v>156</v>
      </c>
      <c r="G120" s="25" t="s">
        <v>487</v>
      </c>
      <c r="H120" s="37">
        <v>45415</v>
      </c>
      <c r="I120" s="13"/>
      <c r="J120" s="7" t="s">
        <v>105</v>
      </c>
      <c r="K120" s="13"/>
      <c r="L120" s="13"/>
      <c r="M120" s="13"/>
      <c r="N120" s="11">
        <f t="shared" ca="1" si="1"/>
        <v>697</v>
      </c>
      <c r="O120" s="13"/>
      <c r="P120" s="13"/>
      <c r="Q120" s="13"/>
      <c r="S120"/>
      <c r="V120"/>
      <c r="W120"/>
      <c r="Y120"/>
      <c r="Z120"/>
      <c r="AA120"/>
    </row>
    <row r="121" spans="1:27" ht="72.5" hidden="1" x14ac:dyDescent="0.35">
      <c r="A121" s="17">
        <v>47</v>
      </c>
      <c r="D121" s="25" t="s">
        <v>37</v>
      </c>
      <c r="E121" s="25" t="s">
        <v>38</v>
      </c>
      <c r="F121" s="25" t="s">
        <v>157</v>
      </c>
      <c r="G121" s="25" t="s">
        <v>487</v>
      </c>
      <c r="H121" s="37">
        <v>45415</v>
      </c>
      <c r="I121" s="13"/>
      <c r="J121" s="7" t="s">
        <v>105</v>
      </c>
      <c r="K121" s="13"/>
      <c r="L121" s="13"/>
      <c r="M121" s="13"/>
      <c r="N121" s="11">
        <f t="shared" ca="1" si="1"/>
        <v>697</v>
      </c>
      <c r="O121" s="13"/>
      <c r="P121" s="13"/>
      <c r="Q121" s="13"/>
      <c r="S121"/>
      <c r="V121"/>
      <c r="W121"/>
      <c r="Y121"/>
      <c r="Z121"/>
      <c r="AA121"/>
    </row>
    <row r="122" spans="1:27" ht="72.5" hidden="1" x14ac:dyDescent="0.35">
      <c r="A122" s="17">
        <v>49</v>
      </c>
      <c r="D122" s="25" t="s">
        <v>37</v>
      </c>
      <c r="E122" s="25" t="s">
        <v>38</v>
      </c>
      <c r="F122" s="25" t="s">
        <v>159</v>
      </c>
      <c r="G122" s="25" t="s">
        <v>487</v>
      </c>
      <c r="H122" s="37">
        <v>45415</v>
      </c>
      <c r="I122" s="13"/>
      <c r="J122" s="7" t="s">
        <v>105</v>
      </c>
      <c r="K122" s="13"/>
      <c r="L122" s="13"/>
      <c r="M122" s="13"/>
      <c r="N122" s="11">
        <f t="shared" ca="1" si="1"/>
        <v>697</v>
      </c>
      <c r="O122" s="13"/>
      <c r="P122" s="13"/>
      <c r="Q122" s="13"/>
      <c r="S122"/>
      <c r="V122"/>
      <c r="W122"/>
      <c r="Y122"/>
      <c r="Z122"/>
      <c r="AA122"/>
    </row>
    <row r="123" spans="1:27" ht="72.5" hidden="1" x14ac:dyDescent="0.35">
      <c r="A123" s="17">
        <v>50</v>
      </c>
      <c r="D123" s="25" t="s">
        <v>37</v>
      </c>
      <c r="E123" s="25" t="s">
        <v>38</v>
      </c>
      <c r="F123" s="25" t="s">
        <v>160</v>
      </c>
      <c r="G123" s="25" t="s">
        <v>488</v>
      </c>
      <c r="H123" s="37">
        <v>45415</v>
      </c>
      <c r="I123" s="13"/>
      <c r="J123" s="7" t="s">
        <v>105</v>
      </c>
      <c r="K123" s="13"/>
      <c r="L123" s="13"/>
      <c r="M123" s="13"/>
      <c r="N123" s="11">
        <f t="shared" ca="1" si="1"/>
        <v>697</v>
      </c>
      <c r="O123" s="13"/>
      <c r="P123" s="13"/>
      <c r="Q123" s="13"/>
      <c r="S123"/>
      <c r="V123"/>
      <c r="W123"/>
      <c r="Y123"/>
      <c r="Z123"/>
      <c r="AA123"/>
    </row>
    <row r="124" spans="1:27" ht="72.5" hidden="1" x14ac:dyDescent="0.35">
      <c r="A124" s="17">
        <v>53</v>
      </c>
      <c r="D124" s="23" t="s">
        <v>489</v>
      </c>
      <c r="E124" s="23" t="s">
        <v>490</v>
      </c>
      <c r="F124" s="23">
        <v>113150287</v>
      </c>
      <c r="G124" s="53" t="s">
        <v>491</v>
      </c>
      <c r="H124" s="74">
        <v>45415</v>
      </c>
      <c r="I124" s="13"/>
      <c r="J124" s="7" t="s">
        <v>105</v>
      </c>
      <c r="K124" s="13"/>
      <c r="L124" s="13"/>
      <c r="M124" s="13"/>
      <c r="N124" s="11">
        <f t="shared" ca="1" si="1"/>
        <v>697</v>
      </c>
      <c r="O124" s="48" t="s">
        <v>519</v>
      </c>
      <c r="P124" s="13"/>
      <c r="Q124" s="13"/>
      <c r="S124"/>
      <c r="V124"/>
      <c r="W124"/>
      <c r="Y124"/>
      <c r="Z124"/>
      <c r="AA124"/>
    </row>
    <row r="125" spans="1:27" ht="101.5" hidden="1" x14ac:dyDescent="0.35">
      <c r="A125" s="17">
        <v>54</v>
      </c>
      <c r="D125" s="23" t="s">
        <v>489</v>
      </c>
      <c r="E125" s="23" t="s">
        <v>490</v>
      </c>
      <c r="F125" s="23">
        <v>113150289</v>
      </c>
      <c r="G125" s="53" t="s">
        <v>492</v>
      </c>
      <c r="H125" s="74">
        <v>45415</v>
      </c>
      <c r="I125" s="13"/>
      <c r="J125" s="13"/>
      <c r="K125" s="13"/>
      <c r="L125" s="13"/>
      <c r="M125" s="13"/>
      <c r="N125" s="11">
        <f t="shared" ca="1" si="1"/>
        <v>697</v>
      </c>
      <c r="O125" s="48" t="s">
        <v>519</v>
      </c>
      <c r="P125" s="13"/>
      <c r="Q125" s="13"/>
      <c r="S125"/>
      <c r="V125"/>
      <c r="W125"/>
      <c r="Y125"/>
      <c r="Z125"/>
      <c r="AA125"/>
    </row>
    <row r="126" spans="1:27" ht="72.5" hidden="1" x14ac:dyDescent="0.35">
      <c r="A126" s="17">
        <v>55</v>
      </c>
      <c r="D126" s="25" t="s">
        <v>37</v>
      </c>
      <c r="E126" s="25" t="s">
        <v>38</v>
      </c>
      <c r="F126" s="25" t="s">
        <v>161</v>
      </c>
      <c r="G126" s="25" t="s">
        <v>493</v>
      </c>
      <c r="H126" s="37">
        <v>45415</v>
      </c>
      <c r="I126" s="13"/>
      <c r="J126" s="7" t="s">
        <v>105</v>
      </c>
      <c r="K126" s="13"/>
      <c r="L126" s="13"/>
      <c r="M126" s="13"/>
      <c r="N126" s="11">
        <f t="shared" ca="1" si="1"/>
        <v>697</v>
      </c>
      <c r="O126" s="13"/>
      <c r="P126" s="13"/>
      <c r="Q126" s="13"/>
      <c r="S126"/>
      <c r="V126"/>
      <c r="W126"/>
      <c r="Y126"/>
      <c r="Z126"/>
      <c r="AA126"/>
    </row>
    <row r="127" spans="1:27" ht="72.5" hidden="1" x14ac:dyDescent="0.35">
      <c r="A127" s="17">
        <v>56</v>
      </c>
      <c r="D127" s="25" t="s">
        <v>37</v>
      </c>
      <c r="E127" s="25" t="s">
        <v>38</v>
      </c>
      <c r="F127" s="25" t="s">
        <v>162</v>
      </c>
      <c r="G127" s="25" t="s">
        <v>493</v>
      </c>
      <c r="H127" s="37">
        <v>45415</v>
      </c>
      <c r="I127" s="13"/>
      <c r="J127" s="7" t="s">
        <v>105</v>
      </c>
      <c r="K127" s="13"/>
      <c r="L127" s="13"/>
      <c r="M127" s="13"/>
      <c r="N127" s="11">
        <f t="shared" ca="1" si="1"/>
        <v>697</v>
      </c>
      <c r="O127" s="13"/>
      <c r="P127" s="13"/>
      <c r="Q127" s="13"/>
      <c r="S127"/>
      <c r="V127"/>
      <c r="W127"/>
      <c r="Y127"/>
      <c r="Z127"/>
      <c r="AA127"/>
    </row>
    <row r="128" spans="1:27" ht="72.5" hidden="1" x14ac:dyDescent="0.35">
      <c r="A128" s="17">
        <v>57</v>
      </c>
      <c r="D128" s="25" t="s">
        <v>37</v>
      </c>
      <c r="E128" s="25" t="s">
        <v>38</v>
      </c>
      <c r="F128" s="25" t="s">
        <v>163</v>
      </c>
      <c r="G128" s="25" t="s">
        <v>493</v>
      </c>
      <c r="H128" s="37">
        <v>45415</v>
      </c>
      <c r="I128" s="13"/>
      <c r="J128" s="7" t="s">
        <v>105</v>
      </c>
      <c r="K128" s="13"/>
      <c r="L128" s="13"/>
      <c r="M128" s="13"/>
      <c r="N128" s="11">
        <f t="shared" ref="N128:N179" ca="1" si="2">DATEDIF(H128,TODAY(),"d")</f>
        <v>697</v>
      </c>
      <c r="O128" s="13"/>
      <c r="P128" s="13"/>
      <c r="Q128" s="13"/>
      <c r="S128"/>
      <c r="V128"/>
      <c r="W128"/>
      <c r="Y128"/>
      <c r="Z128"/>
      <c r="AA128"/>
    </row>
    <row r="129" spans="1:27" ht="72.5" hidden="1" x14ac:dyDescent="0.35">
      <c r="A129" s="17">
        <v>60</v>
      </c>
      <c r="D129" s="25" t="s">
        <v>37</v>
      </c>
      <c r="E129" s="25" t="s">
        <v>38</v>
      </c>
      <c r="F129" s="25" t="s">
        <v>164</v>
      </c>
      <c r="G129" s="25" t="s">
        <v>493</v>
      </c>
      <c r="H129" s="37">
        <v>45415</v>
      </c>
      <c r="I129" s="13"/>
      <c r="J129" s="7" t="s">
        <v>105</v>
      </c>
      <c r="K129" s="13"/>
      <c r="L129" s="13"/>
      <c r="M129" s="13"/>
      <c r="N129" s="11">
        <f t="shared" ca="1" si="2"/>
        <v>697</v>
      </c>
      <c r="O129" s="13"/>
      <c r="P129" s="13"/>
      <c r="Q129" s="13"/>
      <c r="S129"/>
      <c r="V129"/>
      <c r="W129"/>
      <c r="Y129"/>
      <c r="Z129"/>
      <c r="AA129"/>
    </row>
    <row r="130" spans="1:27" hidden="1" x14ac:dyDescent="0.35">
      <c r="A130" s="17">
        <v>61</v>
      </c>
      <c r="D130" s="25" t="s">
        <v>494</v>
      </c>
      <c r="E130" s="23" t="s">
        <v>495</v>
      </c>
      <c r="F130" s="25">
        <v>122139145</v>
      </c>
      <c r="G130" s="25"/>
      <c r="H130" s="37">
        <v>45415</v>
      </c>
      <c r="I130" s="13"/>
      <c r="J130" s="13"/>
      <c r="K130" s="13"/>
      <c r="L130" s="13"/>
      <c r="M130" s="13"/>
      <c r="N130" s="11">
        <f t="shared" ca="1" si="2"/>
        <v>697</v>
      </c>
      <c r="O130" s="13"/>
      <c r="P130" s="13"/>
      <c r="Q130" s="13"/>
      <c r="S130"/>
      <c r="V130"/>
      <c r="W130"/>
      <c r="Y130"/>
      <c r="Z130"/>
      <c r="AA130"/>
    </row>
    <row r="131" spans="1:27" hidden="1" x14ac:dyDescent="0.35">
      <c r="A131" s="17">
        <v>62</v>
      </c>
      <c r="D131" s="25" t="s">
        <v>496</v>
      </c>
      <c r="E131" s="23" t="s">
        <v>495</v>
      </c>
      <c r="F131" s="25">
        <v>71068605</v>
      </c>
      <c r="G131" s="25"/>
      <c r="H131" s="37">
        <v>45415</v>
      </c>
      <c r="I131" s="13"/>
      <c r="J131" s="13"/>
      <c r="K131" s="13"/>
      <c r="L131" s="13"/>
      <c r="M131" s="13"/>
      <c r="N131" s="11">
        <f t="shared" ca="1" si="2"/>
        <v>697</v>
      </c>
      <c r="O131" s="13"/>
      <c r="P131" s="13"/>
      <c r="Q131" s="13"/>
      <c r="S131"/>
      <c r="V131"/>
      <c r="W131"/>
      <c r="Y131"/>
      <c r="Z131"/>
      <c r="AA131"/>
    </row>
    <row r="132" spans="1:27" hidden="1" x14ac:dyDescent="0.35">
      <c r="A132" s="17">
        <v>63</v>
      </c>
      <c r="D132" s="25" t="s">
        <v>497</v>
      </c>
      <c r="E132" s="23" t="s">
        <v>495</v>
      </c>
      <c r="F132" s="25">
        <v>122139107</v>
      </c>
      <c r="G132" s="25"/>
      <c r="H132" s="37">
        <v>45415</v>
      </c>
      <c r="I132" s="13"/>
      <c r="J132" s="13"/>
      <c r="K132" s="13"/>
      <c r="L132" s="13"/>
      <c r="M132" s="13"/>
      <c r="N132" s="11">
        <f t="shared" ca="1" si="2"/>
        <v>697</v>
      </c>
      <c r="O132" s="13"/>
      <c r="P132" s="13"/>
      <c r="Q132" s="13"/>
      <c r="S132"/>
      <c r="V132"/>
      <c r="W132"/>
      <c r="Y132"/>
      <c r="Z132"/>
      <c r="AA132"/>
    </row>
    <row r="133" spans="1:27" hidden="1" x14ac:dyDescent="0.35">
      <c r="A133" s="17">
        <v>64</v>
      </c>
      <c r="D133" s="25" t="s">
        <v>498</v>
      </c>
      <c r="E133" s="23" t="s">
        <v>495</v>
      </c>
      <c r="F133" s="25">
        <v>88214245</v>
      </c>
      <c r="G133" s="25"/>
      <c r="H133" s="37">
        <v>45415</v>
      </c>
      <c r="I133" s="13"/>
      <c r="J133" s="13"/>
      <c r="K133" s="13"/>
      <c r="L133" s="13"/>
      <c r="M133" s="13"/>
      <c r="N133" s="11">
        <f t="shared" ca="1" si="2"/>
        <v>697</v>
      </c>
      <c r="O133" s="13"/>
      <c r="P133" s="13"/>
      <c r="Q133" s="13"/>
      <c r="S133"/>
      <c r="V133"/>
      <c r="W133"/>
      <c r="Y133"/>
      <c r="Z133"/>
      <c r="AA133"/>
    </row>
    <row r="134" spans="1:27" hidden="1" x14ac:dyDescent="0.35">
      <c r="A134" s="17">
        <v>65</v>
      </c>
      <c r="D134" s="26" t="s">
        <v>165</v>
      </c>
      <c r="E134" s="26" t="s">
        <v>166</v>
      </c>
      <c r="F134" s="26">
        <v>259198</v>
      </c>
      <c r="G134" s="26"/>
      <c r="H134" s="37">
        <v>45415</v>
      </c>
      <c r="I134" s="13"/>
      <c r="J134" s="13"/>
      <c r="K134" s="13"/>
      <c r="L134" s="13"/>
      <c r="M134" s="13"/>
      <c r="N134" s="11">
        <f t="shared" ca="1" si="2"/>
        <v>697</v>
      </c>
      <c r="O134" s="13"/>
      <c r="P134" s="13"/>
      <c r="Q134" s="13"/>
      <c r="S134"/>
      <c r="V134"/>
      <c r="W134"/>
      <c r="Y134"/>
      <c r="Z134"/>
      <c r="AA134"/>
    </row>
    <row r="135" spans="1:27" hidden="1" x14ac:dyDescent="0.35">
      <c r="A135" s="17">
        <v>66</v>
      </c>
      <c r="D135" s="25" t="s">
        <v>167</v>
      </c>
      <c r="E135" s="54" t="str">
        <f>D135</f>
        <v xml:space="preserve">Титратор автоматический АТ-710 </v>
      </c>
      <c r="F135" s="54" t="s">
        <v>168</v>
      </c>
      <c r="G135" s="25"/>
      <c r="H135" s="37">
        <v>45442</v>
      </c>
      <c r="I135" s="13"/>
      <c r="J135" s="13"/>
      <c r="K135" s="13"/>
      <c r="L135" s="13"/>
      <c r="M135" s="13"/>
      <c r="N135" s="11">
        <f t="shared" ca="1" si="2"/>
        <v>670</v>
      </c>
      <c r="O135" s="13"/>
      <c r="P135" s="13"/>
      <c r="Q135" s="13"/>
      <c r="S135"/>
      <c r="V135"/>
      <c r="W135"/>
      <c r="Y135"/>
      <c r="Z135"/>
      <c r="AA135"/>
    </row>
    <row r="136" spans="1:27" ht="15.5" hidden="1" x14ac:dyDescent="0.35">
      <c r="A136" s="17">
        <v>79</v>
      </c>
      <c r="D136" s="27" t="s">
        <v>169</v>
      </c>
      <c r="E136" s="18" t="s">
        <v>170</v>
      </c>
      <c r="F136" s="28" t="s">
        <v>171</v>
      </c>
      <c r="G136" s="29"/>
      <c r="H136" s="35">
        <v>45442</v>
      </c>
      <c r="I136" s="13"/>
      <c r="J136" s="13"/>
      <c r="K136" s="13"/>
      <c r="L136" s="13"/>
      <c r="M136" s="13"/>
      <c r="N136" s="11">
        <f t="shared" ca="1" si="2"/>
        <v>670</v>
      </c>
      <c r="O136" s="13"/>
      <c r="P136" s="13"/>
      <c r="Q136" s="13"/>
      <c r="S136"/>
      <c r="V136"/>
      <c r="W136"/>
      <c r="Y136"/>
      <c r="Z136"/>
      <c r="AA136"/>
    </row>
    <row r="137" spans="1:27" ht="15.5" hidden="1" x14ac:dyDescent="0.35">
      <c r="A137" s="17">
        <v>80</v>
      </c>
      <c r="D137" s="27" t="s">
        <v>169</v>
      </c>
      <c r="E137" s="18" t="s">
        <v>170</v>
      </c>
      <c r="F137" s="28" t="s">
        <v>172</v>
      </c>
      <c r="G137" s="29"/>
      <c r="H137" s="35">
        <v>45442</v>
      </c>
      <c r="I137" s="13"/>
      <c r="J137" s="13"/>
      <c r="K137" s="13"/>
      <c r="L137" s="13"/>
      <c r="M137" s="13"/>
      <c r="N137" s="11">
        <f t="shared" ca="1" si="2"/>
        <v>670</v>
      </c>
      <c r="O137" s="13"/>
      <c r="P137" s="13"/>
      <c r="Q137" s="13"/>
      <c r="S137"/>
      <c r="V137"/>
      <c r="W137"/>
      <c r="Y137"/>
      <c r="Z137"/>
      <c r="AA137"/>
    </row>
    <row r="138" spans="1:27" ht="15.5" hidden="1" x14ac:dyDescent="0.35">
      <c r="A138" s="17">
        <v>81</v>
      </c>
      <c r="D138" s="27" t="s">
        <v>173</v>
      </c>
      <c r="E138" s="31" t="s">
        <v>174</v>
      </c>
      <c r="F138" s="28" t="s">
        <v>175</v>
      </c>
      <c r="G138" s="29"/>
      <c r="H138" s="35">
        <v>45442</v>
      </c>
      <c r="I138" s="13"/>
      <c r="J138" s="13"/>
      <c r="K138" s="13"/>
      <c r="L138" s="13"/>
      <c r="M138" s="13"/>
      <c r="N138" s="11">
        <f t="shared" ca="1" si="2"/>
        <v>670</v>
      </c>
      <c r="O138" s="13"/>
      <c r="P138" s="13"/>
      <c r="Q138" s="13"/>
      <c r="S138"/>
      <c r="V138"/>
      <c r="W138"/>
      <c r="Y138"/>
      <c r="Z138"/>
      <c r="AA138"/>
    </row>
    <row r="139" spans="1:27" ht="15.5" hidden="1" x14ac:dyDescent="0.35">
      <c r="A139" s="17">
        <v>82</v>
      </c>
      <c r="D139" s="27" t="s">
        <v>173</v>
      </c>
      <c r="E139" s="31" t="s">
        <v>176</v>
      </c>
      <c r="F139" s="28" t="s">
        <v>177</v>
      </c>
      <c r="G139" s="29"/>
      <c r="H139" s="35">
        <v>45442</v>
      </c>
      <c r="I139" s="13"/>
      <c r="J139" s="13"/>
      <c r="K139" s="13"/>
      <c r="L139" s="13"/>
      <c r="M139" s="13"/>
      <c r="N139" s="11">
        <f t="shared" ca="1" si="2"/>
        <v>670</v>
      </c>
      <c r="O139" s="13"/>
      <c r="P139" s="13"/>
      <c r="Q139" s="13"/>
      <c r="S139"/>
      <c r="V139"/>
      <c r="W139"/>
      <c r="Y139"/>
      <c r="Z139"/>
      <c r="AA139"/>
    </row>
    <row r="140" spans="1:27" ht="15.5" hidden="1" x14ac:dyDescent="0.35">
      <c r="A140" s="17">
        <v>83</v>
      </c>
      <c r="D140" s="27" t="s">
        <v>173</v>
      </c>
      <c r="E140" s="31" t="s">
        <v>178</v>
      </c>
      <c r="F140" s="28" t="s">
        <v>179</v>
      </c>
      <c r="G140" s="29"/>
      <c r="H140" s="35">
        <v>45442</v>
      </c>
      <c r="I140" s="13"/>
      <c r="J140" s="13"/>
      <c r="K140" s="13"/>
      <c r="L140" s="13"/>
      <c r="M140" s="13"/>
      <c r="N140" s="11">
        <f t="shared" ca="1" si="2"/>
        <v>670</v>
      </c>
      <c r="O140" s="13"/>
      <c r="P140" s="13"/>
      <c r="Q140" s="13"/>
      <c r="S140"/>
      <c r="V140"/>
      <c r="W140"/>
      <c r="Y140"/>
      <c r="Z140"/>
      <c r="AA140"/>
    </row>
    <row r="141" spans="1:27" ht="29" hidden="1" x14ac:dyDescent="0.35">
      <c r="A141" s="17">
        <v>84</v>
      </c>
      <c r="D141" s="55" t="s">
        <v>134</v>
      </c>
      <c r="E141" s="56" t="s">
        <v>180</v>
      </c>
      <c r="F141" s="57" t="s">
        <v>181</v>
      </c>
      <c r="G141" s="32"/>
      <c r="H141" s="35">
        <v>45442</v>
      </c>
      <c r="I141" s="13"/>
      <c r="J141" s="13"/>
      <c r="K141" s="13"/>
      <c r="L141" s="13"/>
      <c r="M141" s="13"/>
      <c r="N141" s="11">
        <f t="shared" ca="1" si="2"/>
        <v>670</v>
      </c>
      <c r="O141" s="7" t="s">
        <v>516</v>
      </c>
      <c r="P141" s="13"/>
      <c r="Q141" s="13"/>
      <c r="S141"/>
      <c r="V141"/>
      <c r="W141"/>
      <c r="Y141"/>
      <c r="Z141"/>
      <c r="AA141"/>
    </row>
    <row r="142" spans="1:27" ht="29" hidden="1" x14ac:dyDescent="0.35">
      <c r="A142" s="17">
        <v>85</v>
      </c>
      <c r="D142" s="55" t="s">
        <v>134</v>
      </c>
      <c r="E142" s="56" t="s">
        <v>180</v>
      </c>
      <c r="F142" s="57" t="s">
        <v>182</v>
      </c>
      <c r="G142" s="32"/>
      <c r="H142" s="35">
        <v>45442</v>
      </c>
      <c r="I142" s="13"/>
      <c r="J142" s="13"/>
      <c r="K142" s="13"/>
      <c r="L142" s="13"/>
      <c r="M142" s="13"/>
      <c r="N142" s="11">
        <f t="shared" ca="1" si="2"/>
        <v>670</v>
      </c>
      <c r="O142" s="7" t="s">
        <v>516</v>
      </c>
      <c r="P142" s="13"/>
      <c r="Q142" s="13"/>
      <c r="S142"/>
      <c r="V142"/>
      <c r="W142"/>
      <c r="Y142"/>
      <c r="Z142"/>
      <c r="AA142"/>
    </row>
    <row r="143" spans="1:27" ht="29" hidden="1" x14ac:dyDescent="0.35">
      <c r="A143" s="17">
        <v>86</v>
      </c>
      <c r="D143" s="55" t="s">
        <v>134</v>
      </c>
      <c r="E143" s="56" t="s">
        <v>180</v>
      </c>
      <c r="F143" s="57" t="s">
        <v>183</v>
      </c>
      <c r="G143" s="32"/>
      <c r="H143" s="35">
        <v>45442</v>
      </c>
      <c r="I143" s="13"/>
      <c r="J143" s="13"/>
      <c r="K143" s="13"/>
      <c r="L143" s="13"/>
      <c r="M143" s="13"/>
      <c r="N143" s="11">
        <f t="shared" ca="1" si="2"/>
        <v>670</v>
      </c>
      <c r="O143" s="7" t="s">
        <v>516</v>
      </c>
      <c r="P143" s="13"/>
      <c r="Q143" s="13"/>
      <c r="S143"/>
      <c r="V143"/>
      <c r="W143"/>
      <c r="Y143"/>
      <c r="Z143"/>
      <c r="AA143"/>
    </row>
    <row r="144" spans="1:27" hidden="1" x14ac:dyDescent="0.35">
      <c r="A144" s="17">
        <v>87</v>
      </c>
      <c r="D144" s="31" t="s">
        <v>184</v>
      </c>
      <c r="E144" s="31" t="s">
        <v>185</v>
      </c>
      <c r="F144" s="31" t="s">
        <v>186</v>
      </c>
      <c r="G144" s="29"/>
      <c r="H144" s="35">
        <v>45442</v>
      </c>
      <c r="I144" s="13"/>
      <c r="J144" s="13"/>
      <c r="K144" s="13"/>
      <c r="L144" s="13"/>
      <c r="M144" s="13"/>
      <c r="N144" s="11">
        <f t="shared" ca="1" si="2"/>
        <v>670</v>
      </c>
      <c r="O144" s="13"/>
      <c r="P144" s="13"/>
      <c r="Q144" s="13"/>
      <c r="S144"/>
      <c r="V144"/>
      <c r="W144"/>
      <c r="Y144"/>
      <c r="Z144"/>
      <c r="AA144"/>
    </row>
    <row r="145" spans="1:27" ht="127.5" hidden="1" x14ac:dyDescent="0.35">
      <c r="A145" s="17">
        <v>88</v>
      </c>
      <c r="D145" s="47" t="s">
        <v>499</v>
      </c>
      <c r="E145" s="50" t="s">
        <v>500</v>
      </c>
      <c r="F145" s="50">
        <v>114130529</v>
      </c>
      <c r="G145" s="50"/>
      <c r="H145" s="50" t="s">
        <v>510</v>
      </c>
      <c r="I145" s="13"/>
      <c r="J145" s="13"/>
      <c r="K145" s="13"/>
      <c r="L145" s="13"/>
      <c r="M145" s="13"/>
      <c r="N145" s="11" t="e">
        <f t="shared" ca="1" si="2"/>
        <v>#VALUE!</v>
      </c>
      <c r="O145" s="48" t="s">
        <v>519</v>
      </c>
      <c r="P145" s="13"/>
      <c r="Q145" s="13"/>
      <c r="S145"/>
      <c r="V145"/>
      <c r="W145"/>
      <c r="Y145"/>
      <c r="Z145"/>
      <c r="AA145"/>
    </row>
    <row r="146" spans="1:27" hidden="1" x14ac:dyDescent="0.35">
      <c r="A146" s="17">
        <v>89</v>
      </c>
      <c r="D146" s="31" t="s">
        <v>37</v>
      </c>
      <c r="E146" s="31" t="s">
        <v>38</v>
      </c>
      <c r="F146" s="29" t="s">
        <v>62</v>
      </c>
      <c r="G146" s="19"/>
      <c r="H146" s="34">
        <v>45469</v>
      </c>
      <c r="I146" s="13"/>
      <c r="J146" s="13"/>
      <c r="K146" s="13"/>
      <c r="L146" s="13"/>
      <c r="M146" s="13"/>
      <c r="N146" s="11">
        <f t="shared" ca="1" si="2"/>
        <v>643</v>
      </c>
      <c r="O146" s="13" t="s">
        <v>524</v>
      </c>
      <c r="P146" s="13"/>
      <c r="Q146" s="13"/>
      <c r="S146"/>
      <c r="V146"/>
      <c r="W146"/>
      <c r="Y146"/>
      <c r="Z146"/>
      <c r="AA146"/>
    </row>
    <row r="147" spans="1:27" hidden="1" x14ac:dyDescent="0.35">
      <c r="A147" s="17">
        <v>90</v>
      </c>
      <c r="D147" s="31" t="s">
        <v>37</v>
      </c>
      <c r="E147" s="31" t="s">
        <v>38</v>
      </c>
      <c r="F147" s="29" t="s">
        <v>63</v>
      </c>
      <c r="G147" s="19"/>
      <c r="H147" s="34">
        <v>45469</v>
      </c>
      <c r="I147" s="13"/>
      <c r="J147" s="13"/>
      <c r="K147" s="13"/>
      <c r="L147" s="13"/>
      <c r="M147" s="13"/>
      <c r="N147" s="11">
        <f t="shared" ca="1" si="2"/>
        <v>643</v>
      </c>
      <c r="O147" s="13" t="s">
        <v>524</v>
      </c>
      <c r="P147" s="13"/>
      <c r="Q147" s="13"/>
      <c r="S147"/>
      <c r="V147"/>
      <c r="W147"/>
      <c r="Y147"/>
      <c r="Z147"/>
      <c r="AA147"/>
    </row>
    <row r="148" spans="1:27" hidden="1" x14ac:dyDescent="0.35">
      <c r="A148" s="17">
        <v>91</v>
      </c>
      <c r="D148" s="25" t="s">
        <v>187</v>
      </c>
      <c r="E148" s="33"/>
      <c r="F148" s="33">
        <v>35057</v>
      </c>
      <c r="G148" s="25" t="s">
        <v>188</v>
      </c>
      <c r="H148" s="37">
        <v>45448</v>
      </c>
      <c r="I148" s="13"/>
      <c r="J148" s="13"/>
      <c r="K148" s="13"/>
      <c r="L148" s="13"/>
      <c r="M148" s="13"/>
      <c r="N148" s="11">
        <f t="shared" ca="1" si="2"/>
        <v>664</v>
      </c>
      <c r="O148" s="13"/>
      <c r="P148" s="13"/>
      <c r="Q148" s="13"/>
      <c r="S148"/>
      <c r="V148"/>
      <c r="W148"/>
      <c r="Y148"/>
      <c r="Z148"/>
      <c r="AA148"/>
    </row>
    <row r="149" spans="1:27" hidden="1" x14ac:dyDescent="0.35">
      <c r="A149" s="17">
        <v>92</v>
      </c>
      <c r="D149" s="25" t="s">
        <v>189</v>
      </c>
      <c r="E149" s="33"/>
      <c r="F149" s="33" t="s">
        <v>190</v>
      </c>
      <c r="G149" s="25" t="s">
        <v>188</v>
      </c>
      <c r="H149" s="37">
        <v>45448</v>
      </c>
      <c r="I149" s="13"/>
      <c r="J149" s="13"/>
      <c r="K149" s="13"/>
      <c r="L149" s="13"/>
      <c r="M149" s="13"/>
      <c r="N149" s="11">
        <f t="shared" ca="1" si="2"/>
        <v>664</v>
      </c>
      <c r="O149" s="13"/>
      <c r="P149" s="13"/>
      <c r="Q149" s="13"/>
      <c r="S149"/>
      <c r="V149"/>
      <c r="W149"/>
      <c r="Y149"/>
      <c r="Z149"/>
      <c r="AA149"/>
    </row>
    <row r="150" spans="1:27" hidden="1" x14ac:dyDescent="0.35">
      <c r="A150" s="17">
        <v>93</v>
      </c>
      <c r="D150" s="25" t="s">
        <v>191</v>
      </c>
      <c r="E150" s="33"/>
      <c r="F150" s="33" t="s">
        <v>192</v>
      </c>
      <c r="G150" s="25" t="s">
        <v>188</v>
      </c>
      <c r="H150" s="37">
        <v>45448</v>
      </c>
      <c r="I150" s="13"/>
      <c r="J150" s="13"/>
      <c r="K150" s="13"/>
      <c r="L150" s="13"/>
      <c r="M150" s="13"/>
      <c r="N150" s="11">
        <f t="shared" ca="1" si="2"/>
        <v>664</v>
      </c>
      <c r="O150" s="13"/>
      <c r="P150" s="13"/>
      <c r="Q150" s="13"/>
      <c r="S150"/>
      <c r="V150"/>
      <c r="W150"/>
      <c r="Y150"/>
      <c r="Z150"/>
      <c r="AA150"/>
    </row>
    <row r="151" spans="1:27" hidden="1" x14ac:dyDescent="0.35">
      <c r="A151" s="17">
        <v>94</v>
      </c>
      <c r="D151" s="25" t="s">
        <v>193</v>
      </c>
      <c r="E151" s="33"/>
      <c r="F151" s="33">
        <v>5641218</v>
      </c>
      <c r="G151" s="25" t="s">
        <v>188</v>
      </c>
      <c r="H151" s="37">
        <v>45448</v>
      </c>
      <c r="I151" s="13"/>
      <c r="J151" s="13"/>
      <c r="K151" s="13"/>
      <c r="L151" s="13"/>
      <c r="M151" s="13"/>
      <c r="N151" s="11">
        <f t="shared" ca="1" si="2"/>
        <v>664</v>
      </c>
      <c r="O151" s="13"/>
      <c r="P151" s="13"/>
      <c r="Q151" s="13"/>
      <c r="S151"/>
      <c r="V151"/>
      <c r="W151"/>
      <c r="Y151"/>
      <c r="Z151"/>
      <c r="AA151"/>
    </row>
    <row r="152" spans="1:27" hidden="1" x14ac:dyDescent="0.35">
      <c r="A152" s="17">
        <v>95</v>
      </c>
      <c r="D152" s="25" t="s">
        <v>194</v>
      </c>
      <c r="E152" s="33"/>
      <c r="F152" s="33" t="s">
        <v>195</v>
      </c>
      <c r="G152" s="25" t="s">
        <v>188</v>
      </c>
      <c r="H152" s="37">
        <v>45448</v>
      </c>
      <c r="I152" s="13"/>
      <c r="J152" s="13"/>
      <c r="K152" s="13"/>
      <c r="L152" s="13"/>
      <c r="M152" s="13"/>
      <c r="N152" s="11">
        <f t="shared" ca="1" si="2"/>
        <v>664</v>
      </c>
      <c r="O152" s="13"/>
      <c r="P152" s="13"/>
      <c r="Q152" s="13"/>
      <c r="S152"/>
      <c r="V152"/>
      <c r="W152"/>
      <c r="Y152"/>
      <c r="Z152"/>
      <c r="AA152"/>
    </row>
    <row r="153" spans="1:27" hidden="1" x14ac:dyDescent="0.35">
      <c r="A153" s="17">
        <v>96</v>
      </c>
      <c r="D153" s="25" t="s">
        <v>196</v>
      </c>
      <c r="E153" s="33"/>
      <c r="F153" s="33" t="s">
        <v>197</v>
      </c>
      <c r="G153" s="25" t="s">
        <v>188</v>
      </c>
      <c r="H153" s="37">
        <v>45448</v>
      </c>
      <c r="I153" s="13"/>
      <c r="J153" s="13"/>
      <c r="K153" s="13"/>
      <c r="L153" s="13"/>
      <c r="M153" s="13"/>
      <c r="N153" s="11">
        <f t="shared" ca="1" si="2"/>
        <v>664</v>
      </c>
      <c r="O153" s="13"/>
      <c r="P153" s="13"/>
      <c r="Q153" s="13"/>
      <c r="S153"/>
      <c r="V153"/>
      <c r="W153"/>
      <c r="Y153"/>
      <c r="Z153"/>
      <c r="AA153"/>
    </row>
    <row r="154" spans="1:27" hidden="1" x14ac:dyDescent="0.35">
      <c r="A154" s="17">
        <v>97</v>
      </c>
      <c r="D154" s="25" t="s">
        <v>196</v>
      </c>
      <c r="E154" s="33"/>
      <c r="F154" s="33" t="s">
        <v>198</v>
      </c>
      <c r="G154" s="25" t="s">
        <v>188</v>
      </c>
      <c r="H154" s="37">
        <v>45448</v>
      </c>
      <c r="I154" s="13"/>
      <c r="J154" s="13"/>
      <c r="K154" s="13"/>
      <c r="L154" s="13"/>
      <c r="M154" s="13"/>
      <c r="N154" s="11">
        <f t="shared" ca="1" si="2"/>
        <v>664</v>
      </c>
      <c r="O154" s="13"/>
      <c r="P154" s="13"/>
      <c r="Q154" s="13"/>
      <c r="S154"/>
      <c r="V154"/>
      <c r="W154"/>
      <c r="Y154"/>
      <c r="Z154"/>
      <c r="AA154"/>
    </row>
    <row r="155" spans="1:27" hidden="1" x14ac:dyDescent="0.35">
      <c r="A155" s="17">
        <v>98</v>
      </c>
      <c r="D155" s="25" t="s">
        <v>189</v>
      </c>
      <c r="E155" s="33"/>
      <c r="F155" s="33" t="s">
        <v>199</v>
      </c>
      <c r="G155" s="25" t="s">
        <v>188</v>
      </c>
      <c r="H155" s="37">
        <v>45448</v>
      </c>
      <c r="I155" s="13"/>
      <c r="J155" s="13"/>
      <c r="K155" s="13"/>
      <c r="L155" s="13"/>
      <c r="M155" s="13"/>
      <c r="N155" s="11">
        <f t="shared" ca="1" si="2"/>
        <v>664</v>
      </c>
      <c r="O155" s="13"/>
      <c r="P155" s="13"/>
      <c r="Q155" s="13"/>
      <c r="S155"/>
      <c r="V155"/>
      <c r="W155"/>
      <c r="Y155"/>
      <c r="Z155"/>
      <c r="AA155"/>
    </row>
    <row r="156" spans="1:27" hidden="1" x14ac:dyDescent="0.35">
      <c r="A156" s="17">
        <v>99</v>
      </c>
      <c r="D156" s="25" t="s">
        <v>200</v>
      </c>
      <c r="E156" s="33"/>
      <c r="F156" s="33" t="s">
        <v>201</v>
      </c>
      <c r="G156" s="25" t="s">
        <v>188</v>
      </c>
      <c r="H156" s="37">
        <v>45448</v>
      </c>
      <c r="I156" s="13"/>
      <c r="J156" s="13"/>
      <c r="K156" s="13"/>
      <c r="L156" s="13"/>
      <c r="M156" s="13"/>
      <c r="N156" s="11">
        <f t="shared" ca="1" si="2"/>
        <v>664</v>
      </c>
      <c r="O156" s="13"/>
      <c r="P156" s="13"/>
      <c r="Q156" s="13"/>
      <c r="S156"/>
      <c r="V156"/>
      <c r="W156"/>
      <c r="Y156"/>
      <c r="Z156"/>
      <c r="AA156"/>
    </row>
    <row r="157" spans="1:27" hidden="1" x14ac:dyDescent="0.35">
      <c r="A157" s="17">
        <v>100</v>
      </c>
      <c r="D157" s="25" t="s">
        <v>200</v>
      </c>
      <c r="E157" s="33"/>
      <c r="F157" s="33" t="s">
        <v>202</v>
      </c>
      <c r="G157" s="25" t="s">
        <v>188</v>
      </c>
      <c r="H157" s="37">
        <v>45448</v>
      </c>
      <c r="I157" s="13"/>
      <c r="J157" s="13"/>
      <c r="K157" s="13"/>
      <c r="L157" s="13"/>
      <c r="M157" s="13"/>
      <c r="N157" s="11">
        <f t="shared" ca="1" si="2"/>
        <v>664</v>
      </c>
      <c r="O157" s="13"/>
      <c r="P157" s="13"/>
      <c r="Q157" s="13"/>
      <c r="S157"/>
      <c r="V157"/>
      <c r="W157"/>
      <c r="Y157"/>
      <c r="Z157"/>
      <c r="AA157"/>
    </row>
    <row r="158" spans="1:27" hidden="1" x14ac:dyDescent="0.35">
      <c r="A158" s="17">
        <v>101</v>
      </c>
      <c r="D158" s="25" t="s">
        <v>203</v>
      </c>
      <c r="E158" s="33"/>
      <c r="F158" s="33" t="s">
        <v>204</v>
      </c>
      <c r="G158" s="25" t="s">
        <v>188</v>
      </c>
      <c r="H158" s="37">
        <v>45448</v>
      </c>
      <c r="I158" s="13"/>
      <c r="J158" s="13"/>
      <c r="K158" s="13"/>
      <c r="L158" s="13"/>
      <c r="M158" s="13"/>
      <c r="N158" s="11">
        <f t="shared" ca="1" si="2"/>
        <v>664</v>
      </c>
      <c r="O158" s="13"/>
      <c r="P158" s="13"/>
      <c r="Q158" s="13"/>
      <c r="S158"/>
      <c r="V158"/>
      <c r="W158"/>
      <c r="Y158"/>
      <c r="Z158"/>
      <c r="AA158"/>
    </row>
    <row r="159" spans="1:27" hidden="1" x14ac:dyDescent="0.35">
      <c r="A159" s="17">
        <v>102</v>
      </c>
      <c r="D159" s="25" t="s">
        <v>203</v>
      </c>
      <c r="E159" s="33"/>
      <c r="F159" s="33" t="s">
        <v>205</v>
      </c>
      <c r="G159" s="25" t="s">
        <v>188</v>
      </c>
      <c r="H159" s="37">
        <v>45448</v>
      </c>
      <c r="I159" s="13"/>
      <c r="J159" s="13"/>
      <c r="K159" s="13"/>
      <c r="L159" s="13"/>
      <c r="M159" s="13"/>
      <c r="N159" s="11">
        <f t="shared" ca="1" si="2"/>
        <v>664</v>
      </c>
      <c r="O159" s="13"/>
      <c r="P159" s="13"/>
      <c r="Q159" s="13"/>
      <c r="S159"/>
      <c r="V159"/>
      <c r="W159"/>
      <c r="Y159"/>
      <c r="Z159"/>
      <c r="AA159"/>
    </row>
    <row r="160" spans="1:27" hidden="1" x14ac:dyDescent="0.35">
      <c r="A160" s="17">
        <v>103</v>
      </c>
      <c r="D160" s="25" t="s">
        <v>203</v>
      </c>
      <c r="E160" s="33"/>
      <c r="F160" s="33" t="s">
        <v>206</v>
      </c>
      <c r="G160" s="25" t="s">
        <v>188</v>
      </c>
      <c r="H160" s="37">
        <v>45448</v>
      </c>
      <c r="I160" s="13"/>
      <c r="J160" s="13"/>
      <c r="K160" s="13"/>
      <c r="L160" s="13"/>
      <c r="M160" s="13"/>
      <c r="N160" s="11">
        <f t="shared" ca="1" si="2"/>
        <v>664</v>
      </c>
      <c r="O160" s="13"/>
      <c r="P160" s="13"/>
      <c r="Q160" s="13"/>
      <c r="S160"/>
      <c r="V160"/>
      <c r="W160"/>
      <c r="Y160"/>
      <c r="Z160"/>
      <c r="AA160"/>
    </row>
    <row r="161" spans="1:27" hidden="1" x14ac:dyDescent="0.35">
      <c r="A161" s="17">
        <v>104</v>
      </c>
      <c r="D161" s="25" t="s">
        <v>189</v>
      </c>
      <c r="E161" s="33"/>
      <c r="F161" s="33" t="s">
        <v>207</v>
      </c>
      <c r="G161" s="25" t="s">
        <v>188</v>
      </c>
      <c r="H161" s="37">
        <v>45448</v>
      </c>
      <c r="I161" s="13"/>
      <c r="J161" s="13"/>
      <c r="K161" s="13"/>
      <c r="L161" s="13"/>
      <c r="M161" s="13"/>
      <c r="N161" s="11">
        <f t="shared" ca="1" si="2"/>
        <v>664</v>
      </c>
      <c r="O161" s="13"/>
      <c r="P161" s="13"/>
      <c r="Q161" s="13"/>
      <c r="S161"/>
      <c r="V161"/>
      <c r="W161"/>
      <c r="Y161"/>
      <c r="Z161"/>
      <c r="AA161"/>
    </row>
    <row r="162" spans="1:27" hidden="1" x14ac:dyDescent="0.35">
      <c r="A162" s="17">
        <v>105</v>
      </c>
      <c r="D162" s="25" t="s">
        <v>208</v>
      </c>
      <c r="E162" s="33"/>
      <c r="F162" s="33" t="s">
        <v>209</v>
      </c>
      <c r="G162" s="25" t="s">
        <v>188</v>
      </c>
      <c r="H162" s="37">
        <v>45448</v>
      </c>
      <c r="I162" s="13"/>
      <c r="J162" s="13"/>
      <c r="K162" s="13"/>
      <c r="L162" s="13"/>
      <c r="M162" s="13"/>
      <c r="N162" s="11">
        <f t="shared" ca="1" si="2"/>
        <v>664</v>
      </c>
      <c r="O162" s="13"/>
      <c r="P162" s="13"/>
      <c r="Q162" s="13"/>
      <c r="S162"/>
      <c r="V162"/>
      <c r="W162"/>
      <c r="Y162"/>
      <c r="Z162"/>
      <c r="AA162"/>
    </row>
    <row r="163" spans="1:27" hidden="1" x14ac:dyDescent="0.35">
      <c r="A163" s="17">
        <v>106</v>
      </c>
      <c r="D163" s="25" t="s">
        <v>189</v>
      </c>
      <c r="E163" s="33"/>
      <c r="F163" s="33" t="s">
        <v>210</v>
      </c>
      <c r="G163" s="25" t="s">
        <v>188</v>
      </c>
      <c r="H163" s="37">
        <v>45448</v>
      </c>
      <c r="I163" s="13"/>
      <c r="J163" s="13"/>
      <c r="K163" s="13"/>
      <c r="L163" s="13"/>
      <c r="M163" s="13"/>
      <c r="N163" s="11">
        <f t="shared" ca="1" si="2"/>
        <v>664</v>
      </c>
      <c r="O163" s="13"/>
      <c r="P163" s="13"/>
      <c r="Q163" s="13"/>
      <c r="S163"/>
      <c r="V163"/>
      <c r="W163"/>
      <c r="Y163"/>
      <c r="Z163"/>
      <c r="AA163"/>
    </row>
    <row r="164" spans="1:27" hidden="1" x14ac:dyDescent="0.35">
      <c r="A164" s="17">
        <v>107</v>
      </c>
      <c r="D164" s="25" t="s">
        <v>191</v>
      </c>
      <c r="E164" s="33"/>
      <c r="F164" s="33" t="s">
        <v>211</v>
      </c>
      <c r="G164" s="25" t="s">
        <v>188</v>
      </c>
      <c r="H164" s="37">
        <v>45448</v>
      </c>
      <c r="I164" s="13"/>
      <c r="J164" s="13"/>
      <c r="K164" s="13"/>
      <c r="L164" s="13"/>
      <c r="M164" s="13"/>
      <c r="N164" s="11">
        <f t="shared" ca="1" si="2"/>
        <v>664</v>
      </c>
      <c r="O164" s="13"/>
      <c r="P164" s="13"/>
      <c r="Q164" s="13"/>
      <c r="S164"/>
      <c r="V164"/>
      <c r="W164"/>
      <c r="Y164"/>
      <c r="Z164"/>
      <c r="AA164"/>
    </row>
    <row r="165" spans="1:27" hidden="1" x14ac:dyDescent="0.35">
      <c r="A165" s="17">
        <v>108</v>
      </c>
      <c r="D165" s="25" t="s">
        <v>212</v>
      </c>
      <c r="E165" s="33"/>
      <c r="F165" s="33" t="s">
        <v>213</v>
      </c>
      <c r="G165" s="25" t="s">
        <v>188</v>
      </c>
      <c r="H165" s="37">
        <v>45448</v>
      </c>
      <c r="I165" s="13"/>
      <c r="J165" s="13"/>
      <c r="K165" s="13"/>
      <c r="L165" s="13"/>
      <c r="M165" s="13"/>
      <c r="N165" s="11">
        <f t="shared" ca="1" si="2"/>
        <v>664</v>
      </c>
      <c r="O165" s="13"/>
      <c r="P165" s="13"/>
      <c r="Q165" s="13"/>
      <c r="S165"/>
      <c r="V165"/>
      <c r="W165"/>
      <c r="Y165"/>
      <c r="Z165"/>
      <c r="AA165"/>
    </row>
    <row r="166" spans="1:27" hidden="1" x14ac:dyDescent="0.35">
      <c r="A166" s="17">
        <v>109</v>
      </c>
      <c r="D166" s="25" t="s">
        <v>214</v>
      </c>
      <c r="E166" s="33"/>
      <c r="F166" s="33" t="s">
        <v>215</v>
      </c>
      <c r="G166" s="25" t="s">
        <v>188</v>
      </c>
      <c r="H166" s="37">
        <v>45448</v>
      </c>
      <c r="I166" s="13"/>
      <c r="J166" s="13"/>
      <c r="K166" s="13"/>
      <c r="L166" s="13"/>
      <c r="M166" s="13"/>
      <c r="N166" s="11">
        <f t="shared" ca="1" si="2"/>
        <v>664</v>
      </c>
      <c r="O166" s="13"/>
      <c r="P166" s="13"/>
      <c r="Q166" s="13"/>
      <c r="S166"/>
      <c r="V166"/>
      <c r="W166"/>
      <c r="Y166"/>
      <c r="Z166"/>
      <c r="AA166"/>
    </row>
    <row r="167" spans="1:27" hidden="1" x14ac:dyDescent="0.35">
      <c r="A167" s="17">
        <v>110</v>
      </c>
      <c r="D167" s="25" t="s">
        <v>214</v>
      </c>
      <c r="E167" s="33"/>
      <c r="F167" s="33" t="s">
        <v>216</v>
      </c>
      <c r="G167" s="25" t="s">
        <v>188</v>
      </c>
      <c r="H167" s="37">
        <v>45448</v>
      </c>
      <c r="I167" s="13"/>
      <c r="J167" s="13"/>
      <c r="K167" s="13"/>
      <c r="L167" s="13"/>
      <c r="M167" s="13"/>
      <c r="N167" s="11">
        <f t="shared" ca="1" si="2"/>
        <v>664</v>
      </c>
      <c r="O167" s="13"/>
      <c r="P167" s="13"/>
      <c r="Q167" s="13"/>
      <c r="S167"/>
      <c r="V167"/>
      <c r="W167"/>
      <c r="Y167"/>
      <c r="Z167"/>
      <c r="AA167"/>
    </row>
    <row r="168" spans="1:27" hidden="1" x14ac:dyDescent="0.35">
      <c r="A168" s="17">
        <v>111</v>
      </c>
      <c r="D168" s="25" t="s">
        <v>214</v>
      </c>
      <c r="E168" s="33"/>
      <c r="F168" s="33" t="s">
        <v>217</v>
      </c>
      <c r="G168" s="25" t="s">
        <v>188</v>
      </c>
      <c r="H168" s="37">
        <v>45448</v>
      </c>
      <c r="I168" s="13"/>
      <c r="J168" s="13"/>
      <c r="K168" s="13"/>
      <c r="L168" s="13"/>
      <c r="M168" s="13"/>
      <c r="N168" s="11">
        <f t="shared" ca="1" si="2"/>
        <v>664</v>
      </c>
      <c r="O168" s="13"/>
      <c r="P168" s="13"/>
      <c r="Q168" s="13"/>
      <c r="S168"/>
      <c r="V168"/>
      <c r="W168"/>
      <c r="Y168"/>
      <c r="Z168"/>
      <c r="AA168"/>
    </row>
    <row r="169" spans="1:27" hidden="1" x14ac:dyDescent="0.35">
      <c r="A169" s="17">
        <v>112</v>
      </c>
      <c r="D169" s="25" t="s">
        <v>214</v>
      </c>
      <c r="E169" s="33"/>
      <c r="F169" s="33" t="s">
        <v>218</v>
      </c>
      <c r="G169" s="25" t="s">
        <v>188</v>
      </c>
      <c r="H169" s="37">
        <v>45448</v>
      </c>
      <c r="I169" s="13"/>
      <c r="J169" s="13"/>
      <c r="K169" s="13"/>
      <c r="L169" s="13"/>
      <c r="M169" s="13"/>
      <c r="N169" s="11">
        <f t="shared" ca="1" si="2"/>
        <v>664</v>
      </c>
      <c r="O169" s="13"/>
      <c r="P169" s="13"/>
      <c r="Q169" s="13"/>
      <c r="S169"/>
      <c r="V169"/>
      <c r="W169"/>
      <c r="Y169"/>
      <c r="Z169"/>
      <c r="AA169"/>
    </row>
    <row r="170" spans="1:27" hidden="1" x14ac:dyDescent="0.35">
      <c r="A170" s="17">
        <v>113</v>
      </c>
      <c r="D170" s="25" t="s">
        <v>219</v>
      </c>
      <c r="E170" s="33"/>
      <c r="F170" s="33" t="s">
        <v>220</v>
      </c>
      <c r="G170" s="25" t="s">
        <v>188</v>
      </c>
      <c r="H170" s="37">
        <v>45448</v>
      </c>
      <c r="I170" s="13"/>
      <c r="J170" s="13"/>
      <c r="K170" s="13"/>
      <c r="L170" s="13"/>
      <c r="M170" s="13"/>
      <c r="N170" s="11">
        <f t="shared" ca="1" si="2"/>
        <v>664</v>
      </c>
      <c r="O170" s="13"/>
      <c r="P170" s="13"/>
      <c r="Q170" s="13"/>
      <c r="S170"/>
      <c r="V170"/>
      <c r="W170"/>
      <c r="Y170"/>
      <c r="Z170"/>
      <c r="AA170"/>
    </row>
    <row r="171" spans="1:27" hidden="1" x14ac:dyDescent="0.35">
      <c r="A171" s="17">
        <v>114</v>
      </c>
      <c r="D171" s="25" t="s">
        <v>221</v>
      </c>
      <c r="E171" s="33"/>
      <c r="F171" s="33" t="s">
        <v>222</v>
      </c>
      <c r="G171" s="25" t="s">
        <v>188</v>
      </c>
      <c r="H171" s="37">
        <v>45448</v>
      </c>
      <c r="I171" s="13"/>
      <c r="J171" s="13"/>
      <c r="K171" s="13"/>
      <c r="L171" s="13"/>
      <c r="M171" s="13"/>
      <c r="N171" s="11">
        <f t="shared" ca="1" si="2"/>
        <v>664</v>
      </c>
      <c r="O171" s="13"/>
      <c r="P171" s="13"/>
      <c r="Q171" s="13"/>
      <c r="S171"/>
      <c r="V171"/>
      <c r="W171"/>
      <c r="Y171"/>
      <c r="Z171"/>
      <c r="AA171"/>
    </row>
    <row r="172" spans="1:27" hidden="1" x14ac:dyDescent="0.35">
      <c r="A172" s="17">
        <v>115</v>
      </c>
      <c r="D172" s="25" t="s">
        <v>223</v>
      </c>
      <c r="E172" s="33"/>
      <c r="F172" s="33" t="s">
        <v>224</v>
      </c>
      <c r="G172" s="25" t="s">
        <v>188</v>
      </c>
      <c r="H172" s="37">
        <v>45448</v>
      </c>
      <c r="I172" s="13"/>
      <c r="J172" s="13"/>
      <c r="K172" s="13"/>
      <c r="L172" s="13"/>
      <c r="M172" s="13"/>
      <c r="N172" s="11">
        <f t="shared" ca="1" si="2"/>
        <v>664</v>
      </c>
      <c r="O172" s="13"/>
      <c r="P172" s="13"/>
      <c r="Q172" s="13"/>
      <c r="S172"/>
      <c r="V172"/>
      <c r="W172"/>
      <c r="Y172"/>
      <c r="Z172"/>
      <c r="AA172"/>
    </row>
    <row r="173" spans="1:27" hidden="1" x14ac:dyDescent="0.35">
      <c r="A173" s="17">
        <v>116</v>
      </c>
      <c r="D173" s="26" t="s">
        <v>225</v>
      </c>
      <c r="E173" s="58"/>
      <c r="F173" s="58" t="s">
        <v>226</v>
      </c>
      <c r="G173" s="26" t="s">
        <v>188</v>
      </c>
      <c r="H173" s="37">
        <v>45448</v>
      </c>
      <c r="I173" s="13"/>
      <c r="J173" s="13"/>
      <c r="K173" s="13"/>
      <c r="L173" s="13"/>
      <c r="M173" s="13"/>
      <c r="N173" s="11">
        <f t="shared" ca="1" si="2"/>
        <v>664</v>
      </c>
      <c r="O173" s="13"/>
      <c r="P173" s="13"/>
      <c r="Q173" s="13"/>
      <c r="S173"/>
      <c r="V173"/>
      <c r="W173"/>
      <c r="Y173"/>
      <c r="Z173"/>
      <c r="AA173"/>
    </row>
    <row r="174" spans="1:27" hidden="1" x14ac:dyDescent="0.35">
      <c r="A174" s="17">
        <v>117</v>
      </c>
      <c r="D174" s="26" t="s">
        <v>225</v>
      </c>
      <c r="E174" s="58"/>
      <c r="F174" s="58" t="s">
        <v>227</v>
      </c>
      <c r="G174" s="26" t="s">
        <v>188</v>
      </c>
      <c r="H174" s="37">
        <v>45448</v>
      </c>
      <c r="I174" s="13"/>
      <c r="J174" s="13"/>
      <c r="K174" s="13"/>
      <c r="L174" s="13"/>
      <c r="M174" s="13"/>
      <c r="N174" s="11">
        <f t="shared" ca="1" si="2"/>
        <v>664</v>
      </c>
      <c r="O174" s="13"/>
      <c r="P174" s="13"/>
      <c r="Q174" s="13"/>
      <c r="S174"/>
      <c r="V174"/>
      <c r="W174"/>
      <c r="Y174"/>
      <c r="Z174"/>
      <c r="AA174"/>
    </row>
    <row r="175" spans="1:27" hidden="1" x14ac:dyDescent="0.35">
      <c r="A175" s="17">
        <v>118</v>
      </c>
      <c r="D175" s="25" t="s">
        <v>228</v>
      </c>
      <c r="E175" s="33"/>
      <c r="F175" s="33" t="s">
        <v>229</v>
      </c>
      <c r="G175" s="25" t="s">
        <v>188</v>
      </c>
      <c r="H175" s="37">
        <v>45448</v>
      </c>
      <c r="I175" s="13"/>
      <c r="J175" s="13"/>
      <c r="K175" s="13"/>
      <c r="L175" s="13"/>
      <c r="M175" s="13"/>
      <c r="N175" s="11">
        <f t="shared" ca="1" si="2"/>
        <v>664</v>
      </c>
      <c r="O175" s="13"/>
      <c r="P175" s="13"/>
      <c r="Q175" s="13"/>
      <c r="S175"/>
      <c r="V175"/>
      <c r="W175"/>
      <c r="Y175"/>
      <c r="Z175"/>
      <c r="AA175"/>
    </row>
    <row r="176" spans="1:27" hidden="1" x14ac:dyDescent="0.35">
      <c r="A176" s="17">
        <v>119</v>
      </c>
      <c r="D176" s="25" t="s">
        <v>228</v>
      </c>
      <c r="E176" s="33"/>
      <c r="F176" s="33" t="s">
        <v>230</v>
      </c>
      <c r="G176" s="25" t="s">
        <v>188</v>
      </c>
      <c r="H176" s="37">
        <v>45448</v>
      </c>
      <c r="I176" s="13"/>
      <c r="J176" s="13"/>
      <c r="K176" s="13"/>
      <c r="L176" s="13"/>
      <c r="M176" s="13"/>
      <c r="N176" s="11">
        <f t="shared" ca="1" si="2"/>
        <v>664</v>
      </c>
      <c r="O176" s="13"/>
      <c r="P176" s="13"/>
      <c r="Q176" s="13"/>
      <c r="S176"/>
      <c r="V176"/>
      <c r="W176"/>
      <c r="Y176"/>
      <c r="Z176"/>
      <c r="AA176"/>
    </row>
    <row r="177" spans="1:27" hidden="1" x14ac:dyDescent="0.35">
      <c r="A177" s="17">
        <v>120</v>
      </c>
      <c r="D177" s="25" t="s">
        <v>228</v>
      </c>
      <c r="E177" s="33"/>
      <c r="F177" s="33" t="s">
        <v>231</v>
      </c>
      <c r="G177" s="25" t="s">
        <v>188</v>
      </c>
      <c r="H177" s="37">
        <v>45448</v>
      </c>
      <c r="I177" s="13"/>
      <c r="J177" s="13"/>
      <c r="K177" s="13"/>
      <c r="L177" s="13"/>
      <c r="M177" s="13"/>
      <c r="N177" s="11">
        <f t="shared" ca="1" si="2"/>
        <v>664</v>
      </c>
      <c r="O177" s="13"/>
      <c r="P177" s="13"/>
      <c r="Q177" s="13"/>
      <c r="S177"/>
      <c r="V177"/>
      <c r="W177"/>
      <c r="Y177"/>
      <c r="Z177"/>
      <c r="AA177"/>
    </row>
    <row r="178" spans="1:27" hidden="1" x14ac:dyDescent="0.35">
      <c r="A178" s="17">
        <v>121</v>
      </c>
      <c r="D178" s="25" t="s">
        <v>232</v>
      </c>
      <c r="E178" s="33"/>
      <c r="F178" s="33">
        <v>4063128</v>
      </c>
      <c r="G178" s="25" t="s">
        <v>188</v>
      </c>
      <c r="H178" s="37">
        <v>45448</v>
      </c>
      <c r="I178" s="13"/>
      <c r="J178" s="13"/>
      <c r="K178" s="13"/>
      <c r="L178" s="13"/>
      <c r="M178" s="13"/>
      <c r="N178" s="11">
        <f t="shared" ca="1" si="2"/>
        <v>664</v>
      </c>
      <c r="O178" s="13"/>
      <c r="P178" s="13"/>
      <c r="Q178" s="13"/>
      <c r="S178"/>
      <c r="V178"/>
      <c r="W178"/>
      <c r="Y178"/>
      <c r="Z178"/>
      <c r="AA178"/>
    </row>
    <row r="179" spans="1:27" hidden="1" x14ac:dyDescent="0.35">
      <c r="A179" s="17">
        <v>122</v>
      </c>
      <c r="D179" s="25" t="s">
        <v>232</v>
      </c>
      <c r="E179" s="33"/>
      <c r="F179" s="33">
        <v>4063132</v>
      </c>
      <c r="G179" s="25" t="s">
        <v>188</v>
      </c>
      <c r="H179" s="37">
        <v>45448</v>
      </c>
      <c r="I179" s="13"/>
      <c r="J179" s="13"/>
      <c r="K179" s="13"/>
      <c r="L179" s="13"/>
      <c r="M179" s="13"/>
      <c r="N179" s="11">
        <f t="shared" ca="1" si="2"/>
        <v>664</v>
      </c>
      <c r="O179" s="13"/>
      <c r="P179" s="13"/>
      <c r="Q179" s="13"/>
      <c r="S179"/>
      <c r="V179"/>
      <c r="W179"/>
      <c r="Y179"/>
      <c r="Z179"/>
      <c r="AA179"/>
    </row>
    <row r="180" spans="1:27" hidden="1" x14ac:dyDescent="0.35">
      <c r="A180" s="17">
        <v>123</v>
      </c>
      <c r="D180" s="25" t="s">
        <v>233</v>
      </c>
      <c r="E180" s="33"/>
      <c r="F180" s="33">
        <v>44278162</v>
      </c>
      <c r="G180" s="25" t="s">
        <v>188</v>
      </c>
      <c r="H180" s="37">
        <v>45448</v>
      </c>
      <c r="I180" s="13"/>
      <c r="J180" s="13"/>
      <c r="K180" s="13"/>
      <c r="L180" s="13"/>
      <c r="M180" s="13"/>
      <c r="N180" s="11">
        <f t="shared" ref="N180:N231" ca="1" si="3">DATEDIF(H180,TODAY(),"d")</f>
        <v>664</v>
      </c>
      <c r="O180" s="13"/>
      <c r="P180" s="13"/>
      <c r="Q180" s="13"/>
      <c r="S180"/>
      <c r="V180"/>
      <c r="W180"/>
      <c r="Y180"/>
      <c r="Z180"/>
      <c r="AA180"/>
    </row>
    <row r="181" spans="1:27" hidden="1" x14ac:dyDescent="0.35">
      <c r="A181" s="17">
        <v>124</v>
      </c>
      <c r="D181" s="25" t="s">
        <v>234</v>
      </c>
      <c r="E181" s="33"/>
      <c r="F181" s="33" t="s">
        <v>312</v>
      </c>
      <c r="G181" s="25" t="s">
        <v>188</v>
      </c>
      <c r="H181" s="37">
        <v>45448</v>
      </c>
      <c r="I181" s="13"/>
      <c r="J181" s="13"/>
      <c r="K181" s="13"/>
      <c r="L181" s="13"/>
      <c r="M181" s="13"/>
      <c r="N181" s="11">
        <f t="shared" ca="1" si="3"/>
        <v>664</v>
      </c>
      <c r="O181" s="13"/>
      <c r="P181" s="13"/>
      <c r="Q181" s="13"/>
      <c r="S181"/>
      <c r="V181"/>
      <c r="W181"/>
      <c r="Y181"/>
      <c r="Z181"/>
      <c r="AA181"/>
    </row>
    <row r="182" spans="1:27" hidden="1" x14ac:dyDescent="0.35">
      <c r="A182" s="17">
        <v>125</v>
      </c>
      <c r="D182" s="25" t="s">
        <v>234</v>
      </c>
      <c r="E182" s="33"/>
      <c r="F182" s="33" t="s">
        <v>235</v>
      </c>
      <c r="G182" s="25" t="s">
        <v>188</v>
      </c>
      <c r="H182" s="37">
        <v>45448</v>
      </c>
      <c r="I182" s="13"/>
      <c r="J182" s="13"/>
      <c r="K182" s="13"/>
      <c r="L182" s="13"/>
      <c r="M182" s="13"/>
      <c r="N182" s="11">
        <f t="shared" ca="1" si="3"/>
        <v>664</v>
      </c>
      <c r="O182" s="13"/>
      <c r="P182" s="13"/>
      <c r="Q182" s="13"/>
      <c r="S182"/>
      <c r="V182"/>
      <c r="W182"/>
      <c r="Y182"/>
      <c r="Z182"/>
      <c r="AA182"/>
    </row>
    <row r="183" spans="1:27" hidden="1" x14ac:dyDescent="0.35">
      <c r="A183" s="17">
        <v>126</v>
      </c>
      <c r="D183" s="25" t="s">
        <v>236</v>
      </c>
      <c r="E183" s="33"/>
      <c r="F183" s="33">
        <v>113802260</v>
      </c>
      <c r="G183" s="25" t="s">
        <v>188</v>
      </c>
      <c r="H183" s="37">
        <v>45448</v>
      </c>
      <c r="I183" s="13"/>
      <c r="J183" s="13"/>
      <c r="K183" s="13"/>
      <c r="L183" s="13"/>
      <c r="M183" s="13"/>
      <c r="N183" s="11">
        <f t="shared" ca="1" si="3"/>
        <v>664</v>
      </c>
      <c r="O183" s="13"/>
      <c r="P183" s="13"/>
      <c r="Q183" s="13"/>
      <c r="S183"/>
      <c r="V183"/>
      <c r="W183"/>
      <c r="Y183"/>
      <c r="Z183"/>
      <c r="AA183"/>
    </row>
    <row r="184" spans="1:27" hidden="1" x14ac:dyDescent="0.35">
      <c r="A184" s="17">
        <v>127</v>
      </c>
      <c r="D184" s="25" t="s">
        <v>237</v>
      </c>
      <c r="E184" s="33"/>
      <c r="F184" s="33" t="s">
        <v>238</v>
      </c>
      <c r="G184" s="25" t="s">
        <v>188</v>
      </c>
      <c r="H184" s="37">
        <v>45448</v>
      </c>
      <c r="I184" s="13"/>
      <c r="J184" s="13"/>
      <c r="K184" s="13"/>
      <c r="L184" s="13"/>
      <c r="M184" s="13"/>
      <c r="N184" s="11">
        <f t="shared" ca="1" si="3"/>
        <v>664</v>
      </c>
      <c r="O184" s="13"/>
      <c r="P184" s="13"/>
      <c r="Q184" s="13"/>
      <c r="S184"/>
      <c r="V184"/>
      <c r="W184"/>
      <c r="Y184"/>
      <c r="Z184"/>
      <c r="AA184"/>
    </row>
    <row r="185" spans="1:27" hidden="1" x14ac:dyDescent="0.35">
      <c r="A185" s="17">
        <v>128</v>
      </c>
      <c r="D185" s="25" t="s">
        <v>239</v>
      </c>
      <c r="E185" s="33"/>
      <c r="F185" s="33" t="s">
        <v>240</v>
      </c>
      <c r="G185" s="25" t="s">
        <v>188</v>
      </c>
      <c r="H185" s="37">
        <v>45448</v>
      </c>
      <c r="I185" s="13"/>
      <c r="J185" s="13"/>
      <c r="K185" s="13"/>
      <c r="L185" s="13"/>
      <c r="M185" s="13"/>
      <c r="N185" s="11">
        <f t="shared" ca="1" si="3"/>
        <v>664</v>
      </c>
      <c r="O185" s="13"/>
      <c r="P185" s="13"/>
      <c r="Q185" s="13"/>
      <c r="S185"/>
      <c r="V185"/>
      <c r="W185"/>
      <c r="Y185"/>
      <c r="Z185"/>
      <c r="AA185"/>
    </row>
    <row r="186" spans="1:27" hidden="1" x14ac:dyDescent="0.35">
      <c r="A186" s="17">
        <v>129</v>
      </c>
      <c r="D186" s="25" t="s">
        <v>239</v>
      </c>
      <c r="E186" s="33"/>
      <c r="F186" s="33" t="s">
        <v>241</v>
      </c>
      <c r="G186" s="25" t="s">
        <v>188</v>
      </c>
      <c r="H186" s="37">
        <v>45448</v>
      </c>
      <c r="I186" s="13"/>
      <c r="J186" s="13"/>
      <c r="K186" s="13"/>
      <c r="L186" s="13"/>
      <c r="M186" s="13"/>
      <c r="N186" s="11">
        <f t="shared" ca="1" si="3"/>
        <v>664</v>
      </c>
      <c r="O186" s="13"/>
      <c r="P186" s="13"/>
      <c r="Q186" s="13"/>
      <c r="S186"/>
      <c r="V186"/>
      <c r="W186"/>
      <c r="Y186"/>
      <c r="Z186"/>
      <c r="AA186"/>
    </row>
    <row r="187" spans="1:27" hidden="1" x14ac:dyDescent="0.35">
      <c r="A187" s="17">
        <v>130</v>
      </c>
      <c r="D187" s="25" t="s">
        <v>239</v>
      </c>
      <c r="E187" s="33"/>
      <c r="F187" s="33" t="s">
        <v>242</v>
      </c>
      <c r="G187" s="25" t="s">
        <v>188</v>
      </c>
      <c r="H187" s="37">
        <v>45448</v>
      </c>
      <c r="I187" s="13"/>
      <c r="J187" s="13"/>
      <c r="K187" s="13"/>
      <c r="L187" s="13"/>
      <c r="M187" s="13"/>
      <c r="N187" s="11">
        <f t="shared" ca="1" si="3"/>
        <v>664</v>
      </c>
      <c r="O187" s="13"/>
      <c r="P187" s="13"/>
      <c r="Q187" s="13"/>
      <c r="S187"/>
      <c r="V187"/>
      <c r="W187"/>
      <c r="Y187"/>
      <c r="Z187"/>
      <c r="AA187"/>
    </row>
    <row r="188" spans="1:27" hidden="1" x14ac:dyDescent="0.35">
      <c r="A188" s="17">
        <v>131</v>
      </c>
      <c r="D188" s="25" t="s">
        <v>239</v>
      </c>
      <c r="E188" s="33"/>
      <c r="F188" s="33" t="s">
        <v>243</v>
      </c>
      <c r="G188" s="25" t="s">
        <v>188</v>
      </c>
      <c r="H188" s="37">
        <v>45448</v>
      </c>
      <c r="I188" s="13"/>
      <c r="J188" s="13"/>
      <c r="K188" s="13"/>
      <c r="L188" s="13"/>
      <c r="M188" s="13"/>
      <c r="N188" s="11">
        <f t="shared" ca="1" si="3"/>
        <v>664</v>
      </c>
      <c r="O188" s="13"/>
      <c r="P188" s="13"/>
      <c r="Q188" s="13"/>
      <c r="S188"/>
      <c r="V188"/>
      <c r="W188"/>
      <c r="Y188"/>
      <c r="Z188"/>
      <c r="AA188"/>
    </row>
    <row r="189" spans="1:27" hidden="1" x14ac:dyDescent="0.35">
      <c r="A189" s="17">
        <v>132</v>
      </c>
      <c r="D189" s="25" t="s">
        <v>244</v>
      </c>
      <c r="E189" s="33"/>
      <c r="F189" s="33">
        <v>248764</v>
      </c>
      <c r="G189" s="25" t="s">
        <v>188</v>
      </c>
      <c r="H189" s="37">
        <v>45448</v>
      </c>
      <c r="I189" s="13"/>
      <c r="J189" s="13"/>
      <c r="K189" s="13"/>
      <c r="L189" s="13"/>
      <c r="M189" s="13"/>
      <c r="N189" s="11">
        <f t="shared" ca="1" si="3"/>
        <v>664</v>
      </c>
      <c r="O189" s="13"/>
      <c r="P189" s="13"/>
      <c r="Q189" s="13"/>
      <c r="S189"/>
      <c r="V189"/>
      <c r="W189"/>
      <c r="Y189"/>
      <c r="Z189"/>
      <c r="AA189"/>
    </row>
    <row r="190" spans="1:27" hidden="1" x14ac:dyDescent="0.35">
      <c r="A190" s="17">
        <v>133</v>
      </c>
      <c r="D190" s="25" t="s">
        <v>244</v>
      </c>
      <c r="E190" s="33"/>
      <c r="F190" s="33">
        <v>223812</v>
      </c>
      <c r="G190" s="25" t="s">
        <v>188</v>
      </c>
      <c r="H190" s="37">
        <v>45448</v>
      </c>
      <c r="I190" s="13"/>
      <c r="J190" s="13"/>
      <c r="K190" s="13"/>
      <c r="L190" s="13"/>
      <c r="M190" s="13"/>
      <c r="N190" s="11">
        <f t="shared" ca="1" si="3"/>
        <v>664</v>
      </c>
      <c r="O190" s="13"/>
      <c r="P190" s="13"/>
      <c r="Q190" s="13"/>
      <c r="S190"/>
      <c r="V190"/>
      <c r="W190"/>
      <c r="Y190"/>
      <c r="Z190"/>
      <c r="AA190"/>
    </row>
    <row r="191" spans="1:27" hidden="1" x14ac:dyDescent="0.35">
      <c r="A191" s="17">
        <v>134</v>
      </c>
      <c r="D191" s="25" t="s">
        <v>245</v>
      </c>
      <c r="E191" s="33"/>
      <c r="F191" s="33" t="s">
        <v>246</v>
      </c>
      <c r="G191" s="25" t="s">
        <v>188</v>
      </c>
      <c r="H191" s="37">
        <v>45448</v>
      </c>
      <c r="I191" s="13"/>
      <c r="J191" s="13"/>
      <c r="K191" s="13"/>
      <c r="L191" s="13"/>
      <c r="M191" s="13"/>
      <c r="N191" s="11">
        <f t="shared" ca="1" si="3"/>
        <v>664</v>
      </c>
      <c r="O191" s="13"/>
      <c r="P191" s="13"/>
      <c r="Q191" s="13"/>
      <c r="S191"/>
      <c r="V191"/>
      <c r="W191"/>
      <c r="Y191"/>
      <c r="Z191"/>
      <c r="AA191"/>
    </row>
    <row r="192" spans="1:27" hidden="1" x14ac:dyDescent="0.35">
      <c r="A192" s="17">
        <v>135</v>
      </c>
      <c r="D192" s="25" t="s">
        <v>245</v>
      </c>
      <c r="E192" s="33"/>
      <c r="F192" s="33" t="s">
        <v>247</v>
      </c>
      <c r="G192" s="25" t="s">
        <v>188</v>
      </c>
      <c r="H192" s="37">
        <v>45448</v>
      </c>
      <c r="I192" s="13"/>
      <c r="J192" s="13"/>
      <c r="K192" s="13"/>
      <c r="L192" s="13"/>
      <c r="M192" s="13"/>
      <c r="N192" s="11">
        <f t="shared" ca="1" si="3"/>
        <v>664</v>
      </c>
      <c r="O192" s="13"/>
      <c r="P192" s="13"/>
      <c r="Q192" s="13"/>
      <c r="S192"/>
      <c r="V192"/>
      <c r="W192"/>
      <c r="Y192"/>
      <c r="Z192"/>
      <c r="AA192"/>
    </row>
    <row r="193" spans="1:27" hidden="1" x14ac:dyDescent="0.35">
      <c r="A193" s="17">
        <v>136</v>
      </c>
      <c r="D193" s="25" t="s">
        <v>245</v>
      </c>
      <c r="E193" s="33"/>
      <c r="F193" s="33" t="s">
        <v>248</v>
      </c>
      <c r="G193" s="25" t="s">
        <v>188</v>
      </c>
      <c r="H193" s="37">
        <v>45448</v>
      </c>
      <c r="I193" s="13"/>
      <c r="J193" s="13"/>
      <c r="K193" s="13"/>
      <c r="L193" s="13"/>
      <c r="M193" s="13"/>
      <c r="N193" s="11">
        <f t="shared" ca="1" si="3"/>
        <v>664</v>
      </c>
      <c r="O193" s="13"/>
      <c r="P193" s="13"/>
      <c r="Q193" s="13"/>
      <c r="S193"/>
      <c r="V193"/>
      <c r="W193"/>
      <c r="Y193"/>
      <c r="Z193"/>
      <c r="AA193"/>
    </row>
    <row r="194" spans="1:27" hidden="1" x14ac:dyDescent="0.35">
      <c r="A194" s="17">
        <v>137</v>
      </c>
      <c r="D194" s="25" t="s">
        <v>245</v>
      </c>
      <c r="E194" s="33"/>
      <c r="F194" s="33" t="s">
        <v>249</v>
      </c>
      <c r="G194" s="25" t="s">
        <v>188</v>
      </c>
      <c r="H194" s="37">
        <v>45448</v>
      </c>
      <c r="I194" s="13"/>
      <c r="J194" s="13"/>
      <c r="K194" s="13"/>
      <c r="L194" s="13"/>
      <c r="M194" s="13"/>
      <c r="N194" s="11">
        <f t="shared" ca="1" si="3"/>
        <v>664</v>
      </c>
      <c r="O194" s="13"/>
      <c r="P194" s="13"/>
      <c r="Q194" s="13"/>
      <c r="S194"/>
      <c r="V194"/>
      <c r="W194"/>
      <c r="Y194"/>
      <c r="Z194"/>
      <c r="AA194"/>
    </row>
    <row r="195" spans="1:27" hidden="1" x14ac:dyDescent="0.35">
      <c r="A195" s="17">
        <v>141</v>
      </c>
      <c r="D195" s="25" t="s">
        <v>250</v>
      </c>
      <c r="E195" s="33"/>
      <c r="F195" s="33" t="s">
        <v>251</v>
      </c>
      <c r="G195" s="25" t="s">
        <v>188</v>
      </c>
      <c r="H195" s="37">
        <v>45448</v>
      </c>
      <c r="I195" s="13"/>
      <c r="J195" s="13"/>
      <c r="K195" s="13"/>
      <c r="L195" s="13"/>
      <c r="M195" s="13"/>
      <c r="N195" s="11">
        <f t="shared" ca="1" si="3"/>
        <v>664</v>
      </c>
      <c r="O195" s="13"/>
      <c r="P195" s="13"/>
      <c r="Q195" s="13"/>
      <c r="S195"/>
      <c r="V195"/>
      <c r="W195"/>
      <c r="Y195"/>
      <c r="Z195"/>
      <c r="AA195"/>
    </row>
    <row r="196" spans="1:27" hidden="1" x14ac:dyDescent="0.35">
      <c r="A196" s="17">
        <v>142</v>
      </c>
      <c r="D196" s="25" t="s">
        <v>250</v>
      </c>
      <c r="E196" s="33"/>
      <c r="F196" s="33" t="s">
        <v>252</v>
      </c>
      <c r="G196" s="25" t="s">
        <v>188</v>
      </c>
      <c r="H196" s="37">
        <v>45448</v>
      </c>
      <c r="I196" s="13"/>
      <c r="J196" s="13"/>
      <c r="K196" s="13"/>
      <c r="L196" s="13"/>
      <c r="M196" s="13"/>
      <c r="N196" s="11">
        <f t="shared" ca="1" si="3"/>
        <v>664</v>
      </c>
      <c r="O196" s="13"/>
      <c r="P196" s="13"/>
      <c r="Q196" s="13"/>
      <c r="S196"/>
      <c r="V196"/>
      <c r="W196"/>
      <c r="Y196"/>
      <c r="Z196"/>
      <c r="AA196"/>
    </row>
    <row r="197" spans="1:27" hidden="1" x14ac:dyDescent="0.35">
      <c r="A197" s="17">
        <v>143</v>
      </c>
      <c r="D197" s="25" t="s">
        <v>250</v>
      </c>
      <c r="E197" s="33"/>
      <c r="F197" s="33" t="s">
        <v>253</v>
      </c>
      <c r="G197" s="25" t="s">
        <v>188</v>
      </c>
      <c r="H197" s="37">
        <v>45448</v>
      </c>
      <c r="I197" s="13"/>
      <c r="J197" s="13"/>
      <c r="K197" s="13"/>
      <c r="L197" s="13"/>
      <c r="M197" s="13"/>
      <c r="N197" s="11">
        <f t="shared" ca="1" si="3"/>
        <v>664</v>
      </c>
      <c r="O197" s="13"/>
      <c r="P197" s="13"/>
      <c r="Q197" s="13"/>
      <c r="S197"/>
      <c r="V197"/>
      <c r="W197"/>
      <c r="Y197"/>
      <c r="Z197"/>
      <c r="AA197"/>
    </row>
    <row r="198" spans="1:27" hidden="1" x14ac:dyDescent="0.35">
      <c r="A198" s="17">
        <v>144</v>
      </c>
      <c r="D198" s="25" t="s">
        <v>250</v>
      </c>
      <c r="E198" s="33"/>
      <c r="F198" s="33" t="s">
        <v>254</v>
      </c>
      <c r="G198" s="25" t="s">
        <v>188</v>
      </c>
      <c r="H198" s="37">
        <v>45448</v>
      </c>
      <c r="I198" s="13"/>
      <c r="J198" s="13"/>
      <c r="K198" s="13"/>
      <c r="L198" s="13"/>
      <c r="M198" s="13"/>
      <c r="N198" s="11">
        <f t="shared" ca="1" si="3"/>
        <v>664</v>
      </c>
      <c r="O198" s="13"/>
      <c r="P198" s="13"/>
      <c r="Q198" s="13"/>
      <c r="S198"/>
      <c r="V198"/>
      <c r="W198"/>
      <c r="Y198"/>
      <c r="Z198"/>
      <c r="AA198"/>
    </row>
    <row r="199" spans="1:27" hidden="1" x14ac:dyDescent="0.35">
      <c r="A199" s="17">
        <v>145</v>
      </c>
      <c r="D199" s="25" t="s">
        <v>250</v>
      </c>
      <c r="E199" s="33"/>
      <c r="F199" s="33" t="s">
        <v>255</v>
      </c>
      <c r="G199" s="25" t="s">
        <v>188</v>
      </c>
      <c r="H199" s="37">
        <v>45448</v>
      </c>
      <c r="I199" s="13"/>
      <c r="J199" s="13"/>
      <c r="K199" s="13"/>
      <c r="L199" s="13"/>
      <c r="M199" s="13"/>
      <c r="N199" s="11">
        <f t="shared" ca="1" si="3"/>
        <v>664</v>
      </c>
      <c r="O199" s="13"/>
      <c r="P199" s="13"/>
      <c r="Q199" s="13"/>
      <c r="S199"/>
      <c r="V199"/>
      <c r="W199"/>
      <c r="Y199"/>
      <c r="Z199"/>
      <c r="AA199"/>
    </row>
    <row r="200" spans="1:27" hidden="1" x14ac:dyDescent="0.35">
      <c r="A200" s="17">
        <v>146</v>
      </c>
      <c r="D200" s="25" t="s">
        <v>250</v>
      </c>
      <c r="E200" s="33"/>
      <c r="F200" s="33" t="s">
        <v>256</v>
      </c>
      <c r="G200" s="25" t="s">
        <v>188</v>
      </c>
      <c r="H200" s="37">
        <v>45448</v>
      </c>
      <c r="I200" s="13"/>
      <c r="J200" s="13"/>
      <c r="K200" s="13"/>
      <c r="L200" s="13"/>
      <c r="M200" s="13"/>
      <c r="N200" s="11">
        <f t="shared" ca="1" si="3"/>
        <v>664</v>
      </c>
      <c r="O200" s="13"/>
      <c r="P200" s="13"/>
      <c r="Q200" s="13"/>
      <c r="S200"/>
      <c r="V200"/>
      <c r="W200"/>
      <c r="Y200"/>
      <c r="Z200"/>
      <c r="AA200"/>
    </row>
    <row r="201" spans="1:27" hidden="1" x14ac:dyDescent="0.35">
      <c r="A201" s="17">
        <v>147</v>
      </c>
      <c r="D201" s="25" t="s">
        <v>250</v>
      </c>
      <c r="E201" s="33"/>
      <c r="F201" s="33" t="s">
        <v>257</v>
      </c>
      <c r="G201" s="25" t="s">
        <v>188</v>
      </c>
      <c r="H201" s="37">
        <v>45448</v>
      </c>
      <c r="I201" s="13"/>
      <c r="J201" s="13"/>
      <c r="K201" s="13"/>
      <c r="L201" s="13"/>
      <c r="M201" s="13"/>
      <c r="N201" s="11">
        <f t="shared" ca="1" si="3"/>
        <v>664</v>
      </c>
      <c r="O201" s="13"/>
      <c r="P201" s="13"/>
      <c r="Q201" s="13"/>
      <c r="S201"/>
      <c r="V201"/>
      <c r="W201"/>
      <c r="Y201"/>
      <c r="Z201"/>
      <c r="AA201"/>
    </row>
    <row r="202" spans="1:27" hidden="1" x14ac:dyDescent="0.35">
      <c r="A202" s="17">
        <v>148</v>
      </c>
      <c r="D202" s="25" t="s">
        <v>258</v>
      </c>
      <c r="E202" s="33"/>
      <c r="F202" s="33" t="s">
        <v>259</v>
      </c>
      <c r="G202" s="25" t="s">
        <v>188</v>
      </c>
      <c r="H202" s="37">
        <v>45448</v>
      </c>
      <c r="I202" s="13"/>
      <c r="J202" s="13"/>
      <c r="K202" s="13"/>
      <c r="L202" s="13"/>
      <c r="M202" s="13"/>
      <c r="N202" s="11">
        <f t="shared" ca="1" si="3"/>
        <v>664</v>
      </c>
      <c r="O202" s="13"/>
      <c r="P202" s="13"/>
      <c r="Q202" s="13"/>
      <c r="S202"/>
      <c r="V202"/>
      <c r="W202"/>
      <c r="Y202"/>
      <c r="Z202"/>
      <c r="AA202"/>
    </row>
    <row r="203" spans="1:27" hidden="1" x14ac:dyDescent="0.35">
      <c r="A203" s="17">
        <v>149</v>
      </c>
      <c r="D203" s="25" t="s">
        <v>250</v>
      </c>
      <c r="E203" s="33"/>
      <c r="F203" s="33" t="s">
        <v>260</v>
      </c>
      <c r="G203" s="25" t="s">
        <v>188</v>
      </c>
      <c r="H203" s="37">
        <v>45448</v>
      </c>
      <c r="I203" s="13"/>
      <c r="J203" s="13"/>
      <c r="K203" s="13"/>
      <c r="L203" s="13"/>
      <c r="M203" s="13"/>
      <c r="N203" s="11">
        <f t="shared" ca="1" si="3"/>
        <v>664</v>
      </c>
      <c r="O203" s="13"/>
      <c r="P203" s="13"/>
      <c r="Q203" s="13"/>
      <c r="S203"/>
      <c r="V203"/>
      <c r="W203"/>
      <c r="Y203"/>
      <c r="Z203"/>
      <c r="AA203"/>
    </row>
    <row r="204" spans="1:27" hidden="1" x14ac:dyDescent="0.35">
      <c r="A204" s="17">
        <v>150</v>
      </c>
      <c r="D204" s="25" t="s">
        <v>250</v>
      </c>
      <c r="E204" s="33"/>
      <c r="F204" s="33" t="s">
        <v>261</v>
      </c>
      <c r="G204" s="25" t="s">
        <v>188</v>
      </c>
      <c r="H204" s="37">
        <v>45448</v>
      </c>
      <c r="I204" s="13"/>
      <c r="J204" s="13"/>
      <c r="K204" s="13"/>
      <c r="L204" s="13"/>
      <c r="M204" s="13"/>
      <c r="N204" s="11">
        <f t="shared" ca="1" si="3"/>
        <v>664</v>
      </c>
      <c r="O204" s="13"/>
      <c r="P204" s="13"/>
      <c r="Q204" s="13"/>
      <c r="S204"/>
      <c r="V204"/>
      <c r="W204"/>
      <c r="Y204"/>
      <c r="Z204"/>
      <c r="AA204"/>
    </row>
    <row r="205" spans="1:27" hidden="1" x14ac:dyDescent="0.35">
      <c r="A205" s="17">
        <v>151</v>
      </c>
      <c r="D205" s="25" t="s">
        <v>250</v>
      </c>
      <c r="E205" s="33"/>
      <c r="F205" s="33" t="s">
        <v>262</v>
      </c>
      <c r="G205" s="25" t="s">
        <v>188</v>
      </c>
      <c r="H205" s="37">
        <v>45448</v>
      </c>
      <c r="I205" s="13"/>
      <c r="J205" s="13"/>
      <c r="K205" s="13"/>
      <c r="L205" s="13"/>
      <c r="M205" s="13"/>
      <c r="N205" s="11">
        <f t="shared" ca="1" si="3"/>
        <v>664</v>
      </c>
      <c r="O205" s="13"/>
      <c r="P205" s="13"/>
      <c r="Q205" s="13"/>
      <c r="S205"/>
      <c r="V205"/>
      <c r="W205"/>
      <c r="Y205"/>
      <c r="Z205"/>
      <c r="AA205"/>
    </row>
    <row r="206" spans="1:27" hidden="1" x14ac:dyDescent="0.35">
      <c r="A206" s="17">
        <v>152</v>
      </c>
      <c r="D206" s="25" t="s">
        <v>250</v>
      </c>
      <c r="E206" s="33"/>
      <c r="F206" s="33" t="s">
        <v>263</v>
      </c>
      <c r="G206" s="25" t="s">
        <v>188</v>
      </c>
      <c r="H206" s="37">
        <v>45448</v>
      </c>
      <c r="I206" s="13"/>
      <c r="J206" s="13"/>
      <c r="K206" s="13"/>
      <c r="L206" s="13"/>
      <c r="M206" s="13"/>
      <c r="N206" s="11">
        <f t="shared" ca="1" si="3"/>
        <v>664</v>
      </c>
      <c r="O206" s="13"/>
      <c r="P206" s="13"/>
      <c r="Q206" s="13"/>
      <c r="S206"/>
      <c r="V206"/>
      <c r="W206"/>
      <c r="Y206"/>
      <c r="Z206"/>
      <c r="AA206"/>
    </row>
    <row r="207" spans="1:27" hidden="1" x14ac:dyDescent="0.35">
      <c r="A207" s="17">
        <v>153</v>
      </c>
      <c r="D207" s="25" t="s">
        <v>250</v>
      </c>
      <c r="E207" s="33"/>
      <c r="F207" s="33" t="s">
        <v>264</v>
      </c>
      <c r="G207" s="25" t="s">
        <v>188</v>
      </c>
      <c r="H207" s="37">
        <v>45448</v>
      </c>
      <c r="I207" s="13"/>
      <c r="J207" s="13"/>
      <c r="K207" s="13"/>
      <c r="L207" s="13"/>
      <c r="M207" s="13"/>
      <c r="N207" s="11">
        <f t="shared" ca="1" si="3"/>
        <v>664</v>
      </c>
      <c r="O207" s="13"/>
      <c r="P207" s="13"/>
      <c r="Q207" s="13"/>
      <c r="S207"/>
      <c r="V207"/>
      <c r="W207"/>
      <c r="Y207"/>
      <c r="Z207"/>
      <c r="AA207"/>
    </row>
    <row r="208" spans="1:27" hidden="1" x14ac:dyDescent="0.35">
      <c r="A208" s="17">
        <v>154</v>
      </c>
      <c r="D208" s="25" t="s">
        <v>265</v>
      </c>
      <c r="E208" s="33"/>
      <c r="F208" s="33" t="s">
        <v>266</v>
      </c>
      <c r="G208" s="25" t="s">
        <v>188</v>
      </c>
      <c r="H208" s="37">
        <v>45448</v>
      </c>
      <c r="I208" s="13"/>
      <c r="J208" s="13"/>
      <c r="K208" s="13"/>
      <c r="L208" s="13"/>
      <c r="M208" s="13"/>
      <c r="N208" s="11">
        <f t="shared" ca="1" si="3"/>
        <v>664</v>
      </c>
      <c r="O208" s="13"/>
      <c r="P208" s="13"/>
      <c r="Q208" s="13"/>
      <c r="S208"/>
      <c r="V208"/>
      <c r="W208"/>
      <c r="Y208"/>
      <c r="Z208"/>
      <c r="AA208"/>
    </row>
    <row r="209" spans="1:27" hidden="1" x14ac:dyDescent="0.35">
      <c r="A209" s="17">
        <v>155</v>
      </c>
      <c r="D209" s="25" t="s">
        <v>267</v>
      </c>
      <c r="E209" s="33"/>
      <c r="F209" s="33">
        <v>718214</v>
      </c>
      <c r="G209" s="25" t="s">
        <v>188</v>
      </c>
      <c r="H209" s="37">
        <v>45448</v>
      </c>
      <c r="I209" s="13"/>
      <c r="J209" s="13"/>
      <c r="K209" s="13"/>
      <c r="L209" s="13"/>
      <c r="M209" s="13"/>
      <c r="N209" s="11">
        <f t="shared" ca="1" si="3"/>
        <v>664</v>
      </c>
      <c r="O209" s="13"/>
      <c r="P209" s="13"/>
      <c r="Q209" s="13"/>
      <c r="S209"/>
      <c r="V209"/>
      <c r="W209"/>
      <c r="Y209"/>
      <c r="Z209"/>
      <c r="AA209"/>
    </row>
    <row r="210" spans="1:27" hidden="1" x14ac:dyDescent="0.35">
      <c r="A210" s="17">
        <v>156</v>
      </c>
      <c r="D210" s="25" t="s">
        <v>268</v>
      </c>
      <c r="E210" s="33"/>
      <c r="F210" s="33">
        <v>1188</v>
      </c>
      <c r="G210" s="25" t="s">
        <v>188</v>
      </c>
      <c r="H210" s="37">
        <v>45448</v>
      </c>
      <c r="I210" s="13"/>
      <c r="J210" s="13"/>
      <c r="K210" s="13"/>
      <c r="L210" s="13"/>
      <c r="M210" s="13"/>
      <c r="N210" s="11">
        <f t="shared" ca="1" si="3"/>
        <v>664</v>
      </c>
      <c r="O210" s="13"/>
      <c r="P210" s="13"/>
      <c r="Q210" s="13"/>
      <c r="S210"/>
      <c r="V210"/>
      <c r="W210"/>
      <c r="Y210"/>
      <c r="Z210"/>
      <c r="AA210"/>
    </row>
    <row r="211" spans="1:27" hidden="1" x14ac:dyDescent="0.35">
      <c r="A211" s="17">
        <v>157</v>
      </c>
      <c r="D211" s="25" t="s">
        <v>269</v>
      </c>
      <c r="E211" s="33"/>
      <c r="F211" s="33" t="s">
        <v>270</v>
      </c>
      <c r="G211" s="25" t="s">
        <v>188</v>
      </c>
      <c r="H211" s="37">
        <v>45448</v>
      </c>
      <c r="I211" s="13"/>
      <c r="J211" s="13"/>
      <c r="K211" s="13"/>
      <c r="L211" s="13"/>
      <c r="M211" s="13"/>
      <c r="N211" s="11">
        <f t="shared" ca="1" si="3"/>
        <v>664</v>
      </c>
      <c r="O211" s="13"/>
      <c r="P211" s="13"/>
      <c r="Q211" s="13"/>
      <c r="S211"/>
      <c r="V211"/>
      <c r="W211"/>
      <c r="Y211"/>
      <c r="Z211"/>
      <c r="AA211"/>
    </row>
    <row r="212" spans="1:27" hidden="1" x14ac:dyDescent="0.35">
      <c r="A212" s="17">
        <v>158</v>
      </c>
      <c r="D212" s="59" t="s">
        <v>271</v>
      </c>
      <c r="E212" s="60"/>
      <c r="F212" s="60" t="s">
        <v>272</v>
      </c>
      <c r="G212" s="25" t="s">
        <v>188</v>
      </c>
      <c r="H212" s="37">
        <v>45448</v>
      </c>
      <c r="I212" s="13"/>
      <c r="J212" s="13"/>
      <c r="K212" s="13"/>
      <c r="L212" s="13"/>
      <c r="M212" s="13"/>
      <c r="N212" s="11">
        <f t="shared" ca="1" si="3"/>
        <v>664</v>
      </c>
      <c r="O212" s="13"/>
      <c r="P212" s="13"/>
      <c r="Q212" s="13"/>
      <c r="S212"/>
      <c r="V212"/>
      <c r="W212"/>
      <c r="Y212"/>
      <c r="Z212"/>
      <c r="AA212"/>
    </row>
    <row r="213" spans="1:27" hidden="1" x14ac:dyDescent="0.35">
      <c r="A213" s="17">
        <v>159</v>
      </c>
      <c r="D213" s="25" t="s">
        <v>273</v>
      </c>
      <c r="E213" s="33"/>
      <c r="F213" s="33" t="s">
        <v>274</v>
      </c>
      <c r="G213" s="25" t="s">
        <v>188</v>
      </c>
      <c r="H213" s="37">
        <v>45448</v>
      </c>
      <c r="I213" s="13"/>
      <c r="J213" s="13"/>
      <c r="K213" s="13"/>
      <c r="L213" s="13"/>
      <c r="M213" s="13"/>
      <c r="N213" s="11">
        <f t="shared" ca="1" si="3"/>
        <v>664</v>
      </c>
      <c r="O213" s="13"/>
      <c r="P213" s="13"/>
      <c r="Q213" s="13"/>
      <c r="S213"/>
      <c r="V213"/>
      <c r="W213"/>
      <c r="Y213"/>
      <c r="Z213"/>
      <c r="AA213"/>
    </row>
    <row r="214" spans="1:27" ht="43.5" hidden="1" x14ac:dyDescent="0.35">
      <c r="A214" s="17">
        <v>160</v>
      </c>
      <c r="D214" s="7" t="s">
        <v>275</v>
      </c>
      <c r="E214" s="33"/>
      <c r="F214" s="33" t="s">
        <v>276</v>
      </c>
      <c r="G214" s="25" t="s">
        <v>188</v>
      </c>
      <c r="H214" s="37">
        <v>45448</v>
      </c>
      <c r="I214" s="13"/>
      <c r="J214" s="13"/>
      <c r="K214" s="13"/>
      <c r="L214" s="13"/>
      <c r="M214" s="13"/>
      <c r="N214" s="11">
        <f t="shared" ca="1" si="3"/>
        <v>664</v>
      </c>
      <c r="O214" s="13"/>
      <c r="P214" s="13"/>
      <c r="Q214" s="13"/>
      <c r="S214"/>
      <c r="V214"/>
      <c r="W214"/>
      <c r="Y214"/>
      <c r="Z214"/>
      <c r="AA214"/>
    </row>
    <row r="215" spans="1:27" hidden="1" x14ac:dyDescent="0.35">
      <c r="A215" s="17">
        <v>161</v>
      </c>
      <c r="D215" s="25" t="s">
        <v>501</v>
      </c>
      <c r="E215" s="33"/>
      <c r="F215" s="33" t="s">
        <v>502</v>
      </c>
      <c r="G215" s="25" t="s">
        <v>188</v>
      </c>
      <c r="H215" s="37">
        <v>45448</v>
      </c>
      <c r="I215" s="13"/>
      <c r="J215" s="13"/>
      <c r="K215" s="13"/>
      <c r="L215" s="13"/>
      <c r="M215" s="13"/>
      <c r="N215" s="11">
        <f t="shared" ca="1" si="3"/>
        <v>664</v>
      </c>
      <c r="O215" s="13"/>
      <c r="P215" s="13"/>
      <c r="Q215" s="13"/>
      <c r="S215"/>
      <c r="V215"/>
      <c r="W215"/>
      <c r="Y215"/>
      <c r="Z215"/>
      <c r="AA215"/>
    </row>
    <row r="216" spans="1:27" hidden="1" x14ac:dyDescent="0.35">
      <c r="A216" s="17">
        <v>162</v>
      </c>
      <c r="D216" s="25" t="s">
        <v>277</v>
      </c>
      <c r="E216" s="33"/>
      <c r="F216" s="33" t="s">
        <v>278</v>
      </c>
      <c r="G216" s="25" t="s">
        <v>188</v>
      </c>
      <c r="H216" s="37">
        <v>45448</v>
      </c>
      <c r="I216" s="13"/>
      <c r="J216" s="13"/>
      <c r="K216" s="13"/>
      <c r="L216" s="13"/>
      <c r="M216" s="13"/>
      <c r="N216" s="11">
        <f t="shared" ca="1" si="3"/>
        <v>664</v>
      </c>
      <c r="O216" s="13"/>
      <c r="P216" s="13"/>
      <c r="Q216" s="13"/>
      <c r="S216"/>
      <c r="V216"/>
      <c r="W216"/>
      <c r="Y216"/>
      <c r="Z216"/>
      <c r="AA216"/>
    </row>
    <row r="217" spans="1:27" hidden="1" x14ac:dyDescent="0.35">
      <c r="A217" s="17">
        <v>163</v>
      </c>
      <c r="D217" s="25" t="s">
        <v>277</v>
      </c>
      <c r="E217" s="33"/>
      <c r="F217" s="33" t="s">
        <v>279</v>
      </c>
      <c r="G217" s="25" t="s">
        <v>188</v>
      </c>
      <c r="H217" s="37">
        <v>45448</v>
      </c>
      <c r="I217" s="13"/>
      <c r="J217" s="13"/>
      <c r="K217" s="13"/>
      <c r="L217" s="13"/>
      <c r="M217" s="13"/>
      <c r="N217" s="11">
        <f t="shared" ca="1" si="3"/>
        <v>664</v>
      </c>
      <c r="O217" s="13"/>
      <c r="P217" s="13"/>
      <c r="Q217" s="13"/>
      <c r="S217"/>
      <c r="V217"/>
      <c r="W217"/>
      <c r="Y217"/>
      <c r="Z217"/>
      <c r="AA217"/>
    </row>
    <row r="218" spans="1:27" ht="29" hidden="1" x14ac:dyDescent="0.35">
      <c r="A218" s="17">
        <v>164</v>
      </c>
      <c r="D218" s="7" t="s">
        <v>280</v>
      </c>
      <c r="E218" s="33"/>
      <c r="F218" s="33" t="s">
        <v>281</v>
      </c>
      <c r="G218" s="25" t="s">
        <v>188</v>
      </c>
      <c r="H218" s="37">
        <v>45448</v>
      </c>
      <c r="I218" s="13"/>
      <c r="J218" s="13"/>
      <c r="K218" s="13"/>
      <c r="L218" s="13"/>
      <c r="M218" s="13"/>
      <c r="N218" s="11">
        <f t="shared" ca="1" si="3"/>
        <v>664</v>
      </c>
      <c r="O218" s="13"/>
      <c r="P218" s="13"/>
      <c r="Q218" s="13"/>
      <c r="S218"/>
      <c r="V218"/>
      <c r="W218"/>
      <c r="Y218"/>
      <c r="Z218"/>
      <c r="AA218"/>
    </row>
    <row r="219" spans="1:27" hidden="1" x14ac:dyDescent="0.35">
      <c r="A219" s="17">
        <v>165</v>
      </c>
      <c r="D219" s="25" t="s">
        <v>282</v>
      </c>
      <c r="E219" s="33"/>
      <c r="F219" s="33" t="s">
        <v>283</v>
      </c>
      <c r="G219" s="25" t="s">
        <v>188</v>
      </c>
      <c r="H219" s="37">
        <v>45448</v>
      </c>
      <c r="I219" s="13"/>
      <c r="J219" s="13"/>
      <c r="K219" s="13"/>
      <c r="L219" s="13"/>
      <c r="M219" s="13"/>
      <c r="N219" s="11">
        <f t="shared" ca="1" si="3"/>
        <v>664</v>
      </c>
      <c r="O219" s="13"/>
      <c r="P219" s="13"/>
      <c r="Q219" s="13"/>
      <c r="S219"/>
      <c r="V219"/>
      <c r="W219"/>
      <c r="Y219"/>
      <c r="Z219"/>
      <c r="AA219"/>
    </row>
    <row r="220" spans="1:27" hidden="1" x14ac:dyDescent="0.35">
      <c r="A220" s="17">
        <v>166</v>
      </c>
      <c r="D220" s="25" t="s">
        <v>284</v>
      </c>
      <c r="E220" s="33"/>
      <c r="F220" s="33" t="s">
        <v>285</v>
      </c>
      <c r="G220" s="25" t="s">
        <v>188</v>
      </c>
      <c r="H220" s="37">
        <v>45448</v>
      </c>
      <c r="I220" s="13"/>
      <c r="J220" s="13"/>
      <c r="K220" s="13"/>
      <c r="L220" s="13"/>
      <c r="M220" s="13"/>
      <c r="N220" s="11">
        <f t="shared" ca="1" si="3"/>
        <v>664</v>
      </c>
      <c r="O220" s="13"/>
      <c r="P220" s="13"/>
      <c r="Q220" s="13"/>
      <c r="S220"/>
      <c r="V220"/>
      <c r="W220"/>
      <c r="Y220"/>
      <c r="Z220"/>
      <c r="AA220"/>
    </row>
    <row r="221" spans="1:27" hidden="1" x14ac:dyDescent="0.35">
      <c r="A221" s="17">
        <v>167</v>
      </c>
      <c r="D221" s="25" t="s">
        <v>286</v>
      </c>
      <c r="E221" s="33"/>
      <c r="F221" s="33" t="s">
        <v>34</v>
      </c>
      <c r="G221" s="25" t="s">
        <v>188</v>
      </c>
      <c r="H221" s="37">
        <v>45448</v>
      </c>
      <c r="I221" s="13"/>
      <c r="J221" s="13"/>
      <c r="K221" s="13"/>
      <c r="L221" s="13"/>
      <c r="M221" s="13"/>
      <c r="N221" s="11">
        <f t="shared" ca="1" si="3"/>
        <v>664</v>
      </c>
      <c r="O221" s="13"/>
      <c r="P221" s="13"/>
      <c r="Q221" s="13"/>
      <c r="S221"/>
      <c r="V221"/>
      <c r="W221"/>
      <c r="Y221"/>
      <c r="Z221"/>
      <c r="AA221"/>
    </row>
    <row r="222" spans="1:27" hidden="1" x14ac:dyDescent="0.35">
      <c r="A222" s="17">
        <v>168</v>
      </c>
      <c r="D222" s="25" t="s">
        <v>287</v>
      </c>
      <c r="E222" s="33"/>
      <c r="F222" s="33" t="s">
        <v>288</v>
      </c>
      <c r="G222" s="25" t="s">
        <v>188</v>
      </c>
      <c r="H222" s="37">
        <v>45448</v>
      </c>
      <c r="I222" s="13"/>
      <c r="J222" s="13"/>
      <c r="K222" s="13"/>
      <c r="L222" s="13"/>
      <c r="M222" s="13"/>
      <c r="N222" s="11">
        <f t="shared" ca="1" si="3"/>
        <v>664</v>
      </c>
      <c r="O222" s="13"/>
      <c r="P222" s="13"/>
      <c r="Q222" s="13"/>
      <c r="S222"/>
      <c r="V222"/>
      <c r="W222"/>
      <c r="Y222"/>
      <c r="Z222"/>
      <c r="AA222"/>
    </row>
    <row r="223" spans="1:27" hidden="1" x14ac:dyDescent="0.35">
      <c r="A223" s="17">
        <v>169</v>
      </c>
      <c r="D223" s="25" t="s">
        <v>289</v>
      </c>
      <c r="E223" s="33"/>
      <c r="F223" s="33" t="s">
        <v>290</v>
      </c>
      <c r="G223" s="25" t="s">
        <v>188</v>
      </c>
      <c r="H223" s="37">
        <v>45448</v>
      </c>
      <c r="I223" s="13"/>
      <c r="J223" s="13"/>
      <c r="K223" s="13"/>
      <c r="L223" s="13"/>
      <c r="M223" s="13"/>
      <c r="N223" s="11">
        <f t="shared" ca="1" si="3"/>
        <v>664</v>
      </c>
      <c r="O223" s="13"/>
      <c r="P223" s="13"/>
      <c r="Q223" s="13"/>
      <c r="S223"/>
      <c r="V223"/>
      <c r="W223"/>
      <c r="Y223"/>
      <c r="Z223"/>
      <c r="AA223"/>
    </row>
    <row r="224" spans="1:27" hidden="1" x14ac:dyDescent="0.35">
      <c r="A224" s="17">
        <v>170</v>
      </c>
      <c r="D224" s="25" t="s">
        <v>291</v>
      </c>
      <c r="E224" s="33"/>
      <c r="F224" s="33" t="s">
        <v>292</v>
      </c>
      <c r="G224" s="25" t="s">
        <v>188</v>
      </c>
      <c r="H224" s="37">
        <v>45448</v>
      </c>
      <c r="I224" s="13"/>
      <c r="J224" s="13"/>
      <c r="K224" s="13"/>
      <c r="L224" s="13"/>
      <c r="M224" s="13"/>
      <c r="N224" s="11">
        <f t="shared" ca="1" si="3"/>
        <v>664</v>
      </c>
      <c r="O224" s="13"/>
      <c r="P224" s="13"/>
      <c r="Q224" s="13"/>
      <c r="S224"/>
      <c r="V224"/>
      <c r="W224"/>
      <c r="Y224"/>
      <c r="Z224"/>
      <c r="AA224"/>
    </row>
    <row r="225" spans="1:27" hidden="1" x14ac:dyDescent="0.35">
      <c r="A225" s="17">
        <v>171</v>
      </c>
      <c r="D225" s="25" t="s">
        <v>293</v>
      </c>
      <c r="E225" s="31" t="s">
        <v>294</v>
      </c>
      <c r="F225" s="33" t="s">
        <v>295</v>
      </c>
      <c r="G225" s="25" t="s">
        <v>188</v>
      </c>
      <c r="H225" s="37">
        <v>45448</v>
      </c>
      <c r="I225" s="13"/>
      <c r="J225" s="13"/>
      <c r="K225" s="13"/>
      <c r="L225" s="13"/>
      <c r="M225" s="13"/>
      <c r="N225" s="11">
        <f t="shared" ca="1" si="3"/>
        <v>664</v>
      </c>
      <c r="O225" s="13"/>
      <c r="P225" s="13"/>
      <c r="Q225" s="13"/>
      <c r="S225"/>
      <c r="V225"/>
      <c r="W225"/>
      <c r="Y225"/>
      <c r="Z225"/>
      <c r="AA225"/>
    </row>
    <row r="226" spans="1:27" ht="15.5" hidden="1" x14ac:dyDescent="0.35">
      <c r="A226" s="17">
        <v>172</v>
      </c>
      <c r="D226" s="61" t="s">
        <v>296</v>
      </c>
      <c r="E226" s="32" t="s">
        <v>297</v>
      </c>
      <c r="F226" s="32">
        <v>7596</v>
      </c>
      <c r="G226" s="26"/>
      <c r="H226" s="35">
        <v>45497</v>
      </c>
      <c r="I226" s="13"/>
      <c r="J226" s="13"/>
      <c r="K226" s="13"/>
      <c r="L226" s="13"/>
      <c r="M226" s="13"/>
      <c r="N226" s="11">
        <f t="shared" ca="1" si="3"/>
        <v>615</v>
      </c>
      <c r="O226" s="13"/>
      <c r="P226" s="13"/>
      <c r="Q226" s="13"/>
      <c r="S226"/>
      <c r="V226"/>
      <c r="W226"/>
      <c r="Y226"/>
      <c r="Z226"/>
      <c r="AA226"/>
    </row>
    <row r="227" spans="1:27" ht="62.5" hidden="1" x14ac:dyDescent="0.35">
      <c r="A227" s="17">
        <v>173</v>
      </c>
      <c r="D227" s="31" t="s">
        <v>299</v>
      </c>
      <c r="E227" s="31" t="s">
        <v>294</v>
      </c>
      <c r="F227" s="18">
        <v>18</v>
      </c>
      <c r="G227" s="62"/>
      <c r="H227" s="34" t="s">
        <v>301</v>
      </c>
      <c r="I227" s="13"/>
      <c r="J227" s="13"/>
      <c r="K227" s="13"/>
      <c r="L227" s="13"/>
      <c r="M227" s="13"/>
      <c r="N227" s="11" t="e">
        <f t="shared" ca="1" si="3"/>
        <v>#VALUE!</v>
      </c>
      <c r="O227" s="13"/>
      <c r="P227" s="13"/>
      <c r="Q227" s="13"/>
      <c r="S227"/>
      <c r="V227"/>
      <c r="W227"/>
      <c r="Y227"/>
      <c r="Z227"/>
      <c r="AA227"/>
    </row>
    <row r="228" spans="1:27" ht="252.5" hidden="1" x14ac:dyDescent="0.35">
      <c r="A228" s="17">
        <v>174</v>
      </c>
      <c r="D228" s="47" t="s">
        <v>499</v>
      </c>
      <c r="E228" s="50" t="s">
        <v>500</v>
      </c>
      <c r="F228" s="50">
        <v>114130529</v>
      </c>
      <c r="G228" s="50"/>
      <c r="H228" s="50" t="s">
        <v>511</v>
      </c>
      <c r="I228" s="13"/>
      <c r="J228" s="13"/>
      <c r="K228" s="13"/>
      <c r="L228" s="13"/>
      <c r="M228" s="13"/>
      <c r="N228" s="11" t="e">
        <f t="shared" ca="1" si="3"/>
        <v>#VALUE!</v>
      </c>
      <c r="O228" s="48" t="s">
        <v>519</v>
      </c>
      <c r="P228" s="13"/>
      <c r="Q228" s="13"/>
      <c r="S228"/>
      <c r="V228"/>
      <c r="W228"/>
      <c r="Y228"/>
      <c r="Z228"/>
      <c r="AA228"/>
    </row>
    <row r="229" spans="1:27" ht="130.5" hidden="1" x14ac:dyDescent="0.35">
      <c r="A229" s="17">
        <v>181</v>
      </c>
      <c r="D229" s="63" t="s">
        <v>503</v>
      </c>
      <c r="E229" s="63" t="s">
        <v>504</v>
      </c>
      <c r="F229" s="63" t="s">
        <v>505</v>
      </c>
      <c r="G229" s="64" t="s">
        <v>506</v>
      </c>
      <c r="H229" s="66">
        <v>45433</v>
      </c>
      <c r="I229" s="67"/>
      <c r="J229" s="67"/>
      <c r="K229" s="67"/>
      <c r="L229" s="67"/>
      <c r="M229" s="67"/>
      <c r="N229" s="11">
        <f t="shared" ca="1" si="3"/>
        <v>679</v>
      </c>
      <c r="O229" s="67"/>
      <c r="P229" s="13"/>
      <c r="Q229" s="13"/>
      <c r="S229"/>
      <c r="V229"/>
      <c r="W229"/>
      <c r="Y229"/>
      <c r="Z229"/>
      <c r="AA229"/>
    </row>
    <row r="230" spans="1:27" hidden="1" x14ac:dyDescent="0.35">
      <c r="B230" s="65"/>
      <c r="C230" s="65"/>
      <c r="D230" s="45"/>
      <c r="E230" s="45"/>
      <c r="F230" s="45"/>
      <c r="G230" s="45"/>
      <c r="H230" s="45"/>
      <c r="I230" s="45"/>
      <c r="J230" s="68" t="s">
        <v>512</v>
      </c>
      <c r="K230" s="45"/>
      <c r="L230" s="45"/>
      <c r="M230" s="45"/>
      <c r="N230" s="11">
        <f t="shared" ca="1" si="3"/>
        <v>46112</v>
      </c>
      <c r="O230" s="45"/>
      <c r="P230" s="45"/>
      <c r="Q230" s="73"/>
      <c r="S230"/>
      <c r="V230"/>
      <c r="W230"/>
      <c r="Y230"/>
      <c r="Z230"/>
      <c r="AA230"/>
    </row>
    <row r="231" spans="1:27" ht="145" hidden="1" x14ac:dyDescent="0.35">
      <c r="A231" s="17"/>
      <c r="D231" s="31" t="s">
        <v>302</v>
      </c>
      <c r="E231" s="31" t="s">
        <v>302</v>
      </c>
      <c r="F231" s="31">
        <v>46474</v>
      </c>
      <c r="G231" s="29"/>
      <c r="H231" s="34">
        <v>45433</v>
      </c>
      <c r="I231" s="13"/>
      <c r="J231" s="13"/>
      <c r="K231" s="13" t="s">
        <v>525</v>
      </c>
      <c r="L231" s="13"/>
      <c r="M231" s="13"/>
      <c r="N231" s="11">
        <f t="shared" ca="1" si="3"/>
        <v>679</v>
      </c>
      <c r="O231" s="13"/>
      <c r="P231" s="13"/>
      <c r="Q231" s="13"/>
      <c r="S231"/>
      <c r="V231"/>
      <c r="W231"/>
      <c r="Y231"/>
      <c r="Z231"/>
      <c r="AA231"/>
    </row>
    <row r="232" spans="1:27" ht="145" hidden="1" x14ac:dyDescent="0.35">
      <c r="A232" s="17"/>
      <c r="D232" s="31" t="s">
        <v>302</v>
      </c>
      <c r="E232" s="31" t="s">
        <v>302</v>
      </c>
      <c r="F232" s="31">
        <v>47011</v>
      </c>
      <c r="G232" s="29"/>
      <c r="H232" s="34">
        <v>45433</v>
      </c>
      <c r="I232" s="13"/>
      <c r="J232" s="13"/>
      <c r="K232" s="13" t="s">
        <v>525</v>
      </c>
      <c r="L232" s="13"/>
      <c r="M232" s="13"/>
      <c r="N232" s="11">
        <f t="shared" ref="N232:N262" ca="1" si="4">DATEDIF(H232,TODAY(),"d")</f>
        <v>679</v>
      </c>
      <c r="O232" s="13"/>
      <c r="P232" s="13"/>
      <c r="Q232" s="13"/>
      <c r="S232"/>
      <c r="V232"/>
      <c r="W232"/>
      <c r="Y232"/>
      <c r="Z232"/>
      <c r="AA232"/>
    </row>
    <row r="233" spans="1:27" ht="145" hidden="1" x14ac:dyDescent="0.35">
      <c r="A233" s="17"/>
      <c r="D233" s="31" t="s">
        <v>302</v>
      </c>
      <c r="E233" s="31" t="s">
        <v>302</v>
      </c>
      <c r="F233" s="31">
        <v>41629</v>
      </c>
      <c r="G233" s="29"/>
      <c r="H233" s="34">
        <v>45433</v>
      </c>
      <c r="I233" s="13"/>
      <c r="J233" s="13"/>
      <c r="K233" s="13" t="s">
        <v>525</v>
      </c>
      <c r="L233" s="13"/>
      <c r="M233" s="13"/>
      <c r="N233" s="11">
        <f t="shared" ca="1" si="4"/>
        <v>679</v>
      </c>
      <c r="O233" s="13"/>
      <c r="P233" s="13"/>
      <c r="Q233" s="13"/>
      <c r="S233"/>
      <c r="V233"/>
      <c r="W233"/>
      <c r="Y233"/>
      <c r="Z233"/>
      <c r="AA233"/>
    </row>
    <row r="234" spans="1:27" ht="145" hidden="1" x14ac:dyDescent="0.35">
      <c r="A234" s="17"/>
      <c r="D234" s="31" t="s">
        <v>302</v>
      </c>
      <c r="E234" s="31" t="s">
        <v>302</v>
      </c>
      <c r="F234" s="31">
        <v>39060</v>
      </c>
      <c r="G234" s="29"/>
      <c r="H234" s="34">
        <v>45433</v>
      </c>
      <c r="I234" s="13"/>
      <c r="J234" s="13"/>
      <c r="K234" s="13" t="s">
        <v>525</v>
      </c>
      <c r="L234" s="13"/>
      <c r="M234" s="13"/>
      <c r="N234" s="11">
        <f t="shared" ca="1" si="4"/>
        <v>679</v>
      </c>
      <c r="O234" s="13"/>
      <c r="P234" s="13"/>
      <c r="Q234" s="13"/>
      <c r="S234"/>
      <c r="V234"/>
      <c r="W234"/>
      <c r="Y234"/>
      <c r="Z234"/>
      <c r="AA234"/>
    </row>
    <row r="235" spans="1:27" ht="145" hidden="1" x14ac:dyDescent="0.35">
      <c r="A235" s="17"/>
      <c r="D235" s="31" t="s">
        <v>302</v>
      </c>
      <c r="E235" s="31" t="s">
        <v>302</v>
      </c>
      <c r="F235" s="31" t="s">
        <v>34</v>
      </c>
      <c r="G235" s="29"/>
      <c r="H235" s="34">
        <v>45433</v>
      </c>
      <c r="I235" s="13"/>
      <c r="J235" s="13"/>
      <c r="K235" s="13" t="s">
        <v>525</v>
      </c>
      <c r="L235" s="13"/>
      <c r="M235" s="13"/>
      <c r="N235" s="11">
        <f t="shared" ca="1" si="4"/>
        <v>679</v>
      </c>
      <c r="O235" s="13"/>
      <c r="P235" s="13"/>
      <c r="Q235" s="13"/>
      <c r="S235"/>
      <c r="V235"/>
      <c r="W235"/>
      <c r="Y235"/>
      <c r="Z235"/>
      <c r="AA235"/>
    </row>
    <row r="236" spans="1:27" ht="145" hidden="1" x14ac:dyDescent="0.35">
      <c r="A236" s="17"/>
      <c r="D236" s="31" t="s">
        <v>303</v>
      </c>
      <c r="E236" s="31" t="s">
        <v>303</v>
      </c>
      <c r="F236" s="31" t="s">
        <v>34</v>
      </c>
      <c r="G236" s="29"/>
      <c r="H236" s="35">
        <v>45433</v>
      </c>
      <c r="I236" s="13"/>
      <c r="J236" s="13"/>
      <c r="K236" s="13" t="s">
        <v>525</v>
      </c>
      <c r="L236" s="13"/>
      <c r="M236" s="13"/>
      <c r="N236" s="11">
        <f t="shared" ca="1" si="4"/>
        <v>679</v>
      </c>
      <c r="O236" s="13"/>
      <c r="P236" s="13"/>
      <c r="Q236" s="13"/>
      <c r="S236"/>
      <c r="V236"/>
      <c r="W236"/>
      <c r="Y236"/>
      <c r="Z236"/>
      <c r="AA236"/>
    </row>
    <row r="237" spans="1:27" ht="145" hidden="1" x14ac:dyDescent="0.35">
      <c r="A237" s="17"/>
      <c r="D237" s="31" t="s">
        <v>304</v>
      </c>
      <c r="E237" s="31" t="s">
        <v>305</v>
      </c>
      <c r="F237" s="31" t="s">
        <v>306</v>
      </c>
      <c r="G237" s="29"/>
      <c r="H237" s="35">
        <v>45442</v>
      </c>
      <c r="I237" s="13"/>
      <c r="J237" s="13"/>
      <c r="K237" s="13" t="s">
        <v>309</v>
      </c>
      <c r="L237" s="13"/>
      <c r="M237" s="13"/>
      <c r="N237" s="11">
        <f t="shared" ca="1" si="4"/>
        <v>670</v>
      </c>
      <c r="O237" s="13"/>
      <c r="P237" s="13"/>
      <c r="Q237" s="13"/>
      <c r="S237"/>
      <c r="V237"/>
      <c r="W237"/>
      <c r="Y237"/>
      <c r="Z237"/>
      <c r="AA237"/>
    </row>
    <row r="238" spans="1:27" ht="145" hidden="1" x14ac:dyDescent="0.35">
      <c r="A238" s="17"/>
      <c r="D238" s="31" t="s">
        <v>304</v>
      </c>
      <c r="E238" s="31" t="s">
        <v>305</v>
      </c>
      <c r="F238" s="31" t="s">
        <v>307</v>
      </c>
      <c r="G238" s="29"/>
      <c r="H238" s="35">
        <v>45442</v>
      </c>
      <c r="I238" s="13"/>
      <c r="J238" s="13"/>
      <c r="K238" s="13" t="s">
        <v>309</v>
      </c>
      <c r="L238" s="13"/>
      <c r="M238" s="13"/>
      <c r="N238" s="11">
        <f t="shared" ca="1" si="4"/>
        <v>670</v>
      </c>
      <c r="O238" s="13"/>
      <c r="P238" s="13"/>
      <c r="Q238" s="13"/>
      <c r="S238"/>
      <c r="V238"/>
      <c r="W238"/>
      <c r="Y238"/>
      <c r="Z238"/>
      <c r="AA238"/>
    </row>
    <row r="239" spans="1:27" ht="145" hidden="1" x14ac:dyDescent="0.35">
      <c r="A239" s="17"/>
      <c r="D239" s="31" t="s">
        <v>304</v>
      </c>
      <c r="E239" s="31" t="s">
        <v>305</v>
      </c>
      <c r="F239" s="31" t="s">
        <v>308</v>
      </c>
      <c r="G239" s="29"/>
      <c r="H239" s="35">
        <v>45442</v>
      </c>
      <c r="I239" s="13"/>
      <c r="J239" s="13"/>
      <c r="K239" s="13" t="s">
        <v>309</v>
      </c>
      <c r="L239" s="13"/>
      <c r="M239" s="13"/>
      <c r="N239" s="11">
        <f t="shared" ca="1" si="4"/>
        <v>670</v>
      </c>
      <c r="O239" s="13"/>
      <c r="P239" s="13"/>
      <c r="Q239" s="13"/>
      <c r="S239"/>
      <c r="V239"/>
      <c r="W239"/>
      <c r="Y239"/>
      <c r="Z239"/>
      <c r="AA239"/>
    </row>
    <row r="240" spans="1:27" ht="145" hidden="1" x14ac:dyDescent="0.35">
      <c r="A240" s="17"/>
      <c r="D240" s="31" t="s">
        <v>310</v>
      </c>
      <c r="E240" s="31" t="s">
        <v>311</v>
      </c>
      <c r="F240" s="31">
        <v>85692</v>
      </c>
      <c r="G240" s="29"/>
      <c r="H240" s="35">
        <v>45442</v>
      </c>
      <c r="I240" s="13"/>
      <c r="J240" s="13"/>
      <c r="K240" s="13" t="s">
        <v>309</v>
      </c>
      <c r="L240" s="13"/>
      <c r="M240" s="13"/>
      <c r="N240" s="11">
        <f t="shared" ca="1" si="4"/>
        <v>670</v>
      </c>
      <c r="O240" s="13"/>
      <c r="P240" s="13"/>
      <c r="Q240" s="13"/>
      <c r="S240"/>
      <c r="V240"/>
      <c r="W240"/>
      <c r="Y240"/>
      <c r="Z240"/>
      <c r="AA240"/>
    </row>
    <row r="241" spans="1:27" ht="116" hidden="1" x14ac:dyDescent="0.35">
      <c r="A241" s="17"/>
      <c r="D241" s="31" t="s">
        <v>138</v>
      </c>
      <c r="E241" s="31" t="s">
        <v>313</v>
      </c>
      <c r="F241" s="31" t="s">
        <v>314</v>
      </c>
      <c r="G241" s="29"/>
      <c r="H241" s="35">
        <v>45562</v>
      </c>
      <c r="I241" s="13"/>
      <c r="J241" s="13"/>
      <c r="K241" s="13" t="s">
        <v>320</v>
      </c>
      <c r="L241" s="13"/>
      <c r="M241" s="13"/>
      <c r="N241" s="11">
        <f t="shared" ca="1" si="4"/>
        <v>550</v>
      </c>
      <c r="O241" s="13"/>
      <c r="P241" s="13"/>
      <c r="Q241" s="13"/>
      <c r="S241"/>
      <c r="V241"/>
      <c r="W241"/>
      <c r="Y241"/>
      <c r="Z241"/>
      <c r="AA241"/>
    </row>
    <row r="242" spans="1:27" ht="116" hidden="1" x14ac:dyDescent="0.35">
      <c r="A242" s="17"/>
      <c r="D242" s="31" t="s">
        <v>138</v>
      </c>
      <c r="E242" s="31" t="s">
        <v>313</v>
      </c>
      <c r="F242" s="31" t="s">
        <v>315</v>
      </c>
      <c r="G242" s="29"/>
      <c r="H242" s="35">
        <v>45562</v>
      </c>
      <c r="I242" s="13"/>
      <c r="J242" s="13"/>
      <c r="K242" s="13" t="s">
        <v>320</v>
      </c>
      <c r="L242" s="13"/>
      <c r="M242" s="13"/>
      <c r="N242" s="11">
        <f t="shared" ca="1" si="4"/>
        <v>550</v>
      </c>
      <c r="O242" s="13"/>
      <c r="P242" s="13"/>
      <c r="Q242" s="13"/>
      <c r="S242"/>
      <c r="V242"/>
      <c r="W242"/>
      <c r="Y242"/>
      <c r="Z242"/>
      <c r="AA242"/>
    </row>
    <row r="243" spans="1:27" ht="116" hidden="1" x14ac:dyDescent="0.35">
      <c r="A243" s="17"/>
      <c r="D243" s="31" t="s">
        <v>138</v>
      </c>
      <c r="E243" s="31" t="s">
        <v>313</v>
      </c>
      <c r="F243" s="31" t="s">
        <v>316</v>
      </c>
      <c r="G243" s="29"/>
      <c r="H243" s="35">
        <v>45562</v>
      </c>
      <c r="I243" s="13"/>
      <c r="J243" s="13"/>
      <c r="K243" s="13" t="s">
        <v>320</v>
      </c>
      <c r="L243" s="13"/>
      <c r="M243" s="13"/>
      <c r="N243" s="11">
        <f t="shared" ca="1" si="4"/>
        <v>550</v>
      </c>
      <c r="O243" s="13"/>
      <c r="P243" s="13"/>
      <c r="Q243" s="13"/>
      <c r="S243"/>
      <c r="V243"/>
      <c r="W243"/>
      <c r="Y243"/>
      <c r="Z243"/>
      <c r="AA243"/>
    </row>
    <row r="244" spans="1:27" ht="116" hidden="1" x14ac:dyDescent="0.35">
      <c r="A244" s="17"/>
      <c r="D244" s="31" t="s">
        <v>138</v>
      </c>
      <c r="E244" s="31" t="s">
        <v>313</v>
      </c>
      <c r="F244" s="31" t="s">
        <v>317</v>
      </c>
      <c r="G244" s="29"/>
      <c r="H244" s="35">
        <v>45562</v>
      </c>
      <c r="I244" s="13"/>
      <c r="J244" s="13"/>
      <c r="K244" s="13" t="s">
        <v>320</v>
      </c>
      <c r="L244" s="13"/>
      <c r="M244" s="13"/>
      <c r="N244" s="11">
        <f t="shared" ca="1" si="4"/>
        <v>550</v>
      </c>
      <c r="O244" s="13"/>
      <c r="P244" s="13"/>
      <c r="Q244" s="13"/>
      <c r="S244"/>
      <c r="V244"/>
      <c r="W244"/>
      <c r="Y244"/>
      <c r="Z244"/>
      <c r="AA244"/>
    </row>
    <row r="245" spans="1:27" ht="116" hidden="1" x14ac:dyDescent="0.35">
      <c r="A245" s="17"/>
      <c r="D245" s="31" t="s">
        <v>138</v>
      </c>
      <c r="E245" s="31" t="s">
        <v>313</v>
      </c>
      <c r="F245" s="31" t="s">
        <v>318</v>
      </c>
      <c r="G245" s="29"/>
      <c r="H245" s="35">
        <v>45562</v>
      </c>
      <c r="I245" s="13"/>
      <c r="J245" s="13"/>
      <c r="K245" s="13" t="s">
        <v>320</v>
      </c>
      <c r="L245" s="13"/>
      <c r="M245" s="13"/>
      <c r="N245" s="11">
        <f t="shared" ca="1" si="4"/>
        <v>550</v>
      </c>
      <c r="O245" s="13"/>
      <c r="P245" s="13"/>
      <c r="Q245" s="13"/>
      <c r="S245"/>
      <c r="V245"/>
      <c r="W245"/>
      <c r="Y245"/>
      <c r="Z245"/>
      <c r="AA245"/>
    </row>
    <row r="246" spans="1:27" ht="116" hidden="1" x14ac:dyDescent="0.35">
      <c r="A246" s="17"/>
      <c r="D246" s="31" t="s">
        <v>138</v>
      </c>
      <c r="E246" s="31" t="s">
        <v>313</v>
      </c>
      <c r="F246" s="31" t="s">
        <v>319</v>
      </c>
      <c r="G246" s="29"/>
      <c r="H246" s="35">
        <v>45562</v>
      </c>
      <c r="I246" s="13"/>
      <c r="J246" s="13"/>
      <c r="K246" s="13" t="s">
        <v>320</v>
      </c>
      <c r="L246" s="13"/>
      <c r="M246" s="13"/>
      <c r="N246" s="11">
        <f t="shared" ca="1" si="4"/>
        <v>550</v>
      </c>
      <c r="O246" s="13"/>
      <c r="P246" s="13"/>
      <c r="Q246" s="13"/>
      <c r="S246"/>
      <c r="V246"/>
      <c r="W246"/>
      <c r="Y246"/>
      <c r="Z246"/>
      <c r="AA246"/>
    </row>
    <row r="247" spans="1:27" ht="116" hidden="1" x14ac:dyDescent="0.35">
      <c r="A247" s="17"/>
      <c r="D247" s="31" t="s">
        <v>173</v>
      </c>
      <c r="E247" s="31" t="s">
        <v>321</v>
      </c>
      <c r="F247" s="31" t="s">
        <v>322</v>
      </c>
      <c r="G247" s="29"/>
      <c r="H247" s="35">
        <v>45562</v>
      </c>
      <c r="I247" s="13"/>
      <c r="J247" s="13"/>
      <c r="K247" s="13" t="s">
        <v>320</v>
      </c>
      <c r="L247" s="13"/>
      <c r="M247" s="13"/>
      <c r="N247" s="11">
        <f t="shared" ca="1" si="4"/>
        <v>550</v>
      </c>
      <c r="O247" s="13"/>
      <c r="P247" s="13"/>
      <c r="Q247" s="13"/>
      <c r="S247"/>
      <c r="V247"/>
      <c r="W247"/>
      <c r="Y247"/>
      <c r="Z247"/>
      <c r="AA247"/>
    </row>
    <row r="248" spans="1:27" ht="116" hidden="1" x14ac:dyDescent="0.35">
      <c r="A248" s="17"/>
      <c r="D248" s="31" t="s">
        <v>173</v>
      </c>
      <c r="E248" s="31" t="s">
        <v>321</v>
      </c>
      <c r="F248" s="31" t="s">
        <v>323</v>
      </c>
      <c r="G248" s="29"/>
      <c r="H248" s="35">
        <v>45562</v>
      </c>
      <c r="I248" s="13"/>
      <c r="J248" s="13"/>
      <c r="K248" s="13" t="s">
        <v>320</v>
      </c>
      <c r="L248" s="13"/>
      <c r="M248" s="13"/>
      <c r="N248" s="11">
        <f t="shared" ca="1" si="4"/>
        <v>550</v>
      </c>
      <c r="O248" s="13"/>
      <c r="P248" s="13"/>
      <c r="Q248" s="13"/>
      <c r="S248"/>
      <c r="V248"/>
      <c r="W248"/>
      <c r="Y248"/>
      <c r="Z248"/>
      <c r="AA248"/>
    </row>
    <row r="249" spans="1:27" ht="116" hidden="1" x14ac:dyDescent="0.35">
      <c r="A249" s="17"/>
      <c r="D249" s="31" t="s">
        <v>173</v>
      </c>
      <c r="E249" s="31" t="s">
        <v>321</v>
      </c>
      <c r="F249" s="31" t="s">
        <v>324</v>
      </c>
      <c r="G249" s="29"/>
      <c r="H249" s="35">
        <v>45562</v>
      </c>
      <c r="I249" s="13"/>
      <c r="J249" s="13"/>
      <c r="K249" s="13" t="s">
        <v>320</v>
      </c>
      <c r="L249" s="13"/>
      <c r="M249" s="13"/>
      <c r="N249" s="11">
        <f t="shared" ca="1" si="4"/>
        <v>550</v>
      </c>
      <c r="O249" s="13"/>
      <c r="P249" s="13"/>
      <c r="Q249" s="13"/>
      <c r="S249"/>
      <c r="V249"/>
      <c r="W249"/>
      <c r="Y249"/>
      <c r="Z249"/>
      <c r="AA249"/>
    </row>
    <row r="250" spans="1:27" ht="116" hidden="1" x14ac:dyDescent="0.35">
      <c r="A250" s="17"/>
      <c r="D250" s="31" t="s">
        <v>173</v>
      </c>
      <c r="E250" s="31" t="s">
        <v>321</v>
      </c>
      <c r="F250" s="31" t="s">
        <v>325</v>
      </c>
      <c r="G250" s="29"/>
      <c r="H250" s="35">
        <v>45562</v>
      </c>
      <c r="I250" s="13"/>
      <c r="J250" s="13"/>
      <c r="K250" s="13" t="s">
        <v>320</v>
      </c>
      <c r="L250" s="13"/>
      <c r="M250" s="13"/>
      <c r="N250" s="11">
        <f t="shared" ca="1" si="4"/>
        <v>550</v>
      </c>
      <c r="O250" s="13"/>
      <c r="P250" s="13"/>
      <c r="Q250" s="13"/>
      <c r="S250"/>
      <c r="V250"/>
      <c r="W250"/>
      <c r="Y250"/>
      <c r="Z250"/>
      <c r="AA250"/>
    </row>
    <row r="251" spans="1:27" ht="116" hidden="1" x14ac:dyDescent="0.35">
      <c r="A251" s="17"/>
      <c r="D251" s="31" t="s">
        <v>326</v>
      </c>
      <c r="E251" s="31" t="s">
        <v>327</v>
      </c>
      <c r="F251" s="31" t="s">
        <v>328</v>
      </c>
      <c r="G251" s="29"/>
      <c r="H251" s="35">
        <v>45562</v>
      </c>
      <c r="I251" s="13"/>
      <c r="J251" s="13"/>
      <c r="K251" s="13" t="s">
        <v>320</v>
      </c>
      <c r="L251" s="13"/>
      <c r="M251" s="13"/>
      <c r="N251" s="11">
        <f t="shared" ca="1" si="4"/>
        <v>550</v>
      </c>
      <c r="O251" s="13"/>
      <c r="P251" s="13"/>
      <c r="Q251" s="13"/>
      <c r="S251"/>
      <c r="V251"/>
      <c r="W251"/>
      <c r="Y251"/>
      <c r="Z251"/>
      <c r="AA251"/>
    </row>
    <row r="252" spans="1:27" ht="116" hidden="1" x14ac:dyDescent="0.35">
      <c r="A252" s="17"/>
      <c r="D252" s="31" t="s">
        <v>329</v>
      </c>
      <c r="E252" s="31" t="s">
        <v>330</v>
      </c>
      <c r="F252" s="31">
        <v>311381133</v>
      </c>
      <c r="G252" s="29"/>
      <c r="H252" s="35">
        <v>45562</v>
      </c>
      <c r="I252" s="13"/>
      <c r="J252" s="13"/>
      <c r="K252" s="13" t="s">
        <v>320</v>
      </c>
      <c r="L252" s="13"/>
      <c r="M252" s="13"/>
      <c r="N252" s="11">
        <f t="shared" ca="1" si="4"/>
        <v>550</v>
      </c>
      <c r="O252" s="13"/>
      <c r="P252" s="13"/>
      <c r="Q252" s="13"/>
      <c r="S252"/>
      <c r="V252"/>
      <c r="W252"/>
      <c r="Y252"/>
      <c r="Z252"/>
      <c r="AA252"/>
    </row>
    <row r="253" spans="1:27" s="80" customFormat="1" ht="124" hidden="1" x14ac:dyDescent="0.35">
      <c r="A253" s="75">
        <v>214</v>
      </c>
      <c r="B253" s="76" t="s">
        <v>33</v>
      </c>
      <c r="C253" s="76" t="s">
        <v>33</v>
      </c>
      <c r="D253" s="76" t="s">
        <v>542</v>
      </c>
      <c r="E253" s="76" t="s">
        <v>543</v>
      </c>
      <c r="F253" s="77" t="s">
        <v>544</v>
      </c>
      <c r="G253" s="76" t="s">
        <v>545</v>
      </c>
      <c r="H253" s="78" t="s">
        <v>548</v>
      </c>
      <c r="I253" s="78"/>
      <c r="J253" s="78"/>
      <c r="K253" s="78"/>
      <c r="L253" s="78"/>
      <c r="M253" s="78"/>
      <c r="N253" s="79" t="e">
        <f t="shared" ca="1" si="4"/>
        <v>#VALUE!</v>
      </c>
      <c r="O253" s="78"/>
      <c r="P253" s="78"/>
      <c r="Q253" s="78"/>
    </row>
    <row r="254" spans="1:27" s="80" customFormat="1" ht="124" hidden="1" x14ac:dyDescent="0.35">
      <c r="A254" s="75">
        <v>215</v>
      </c>
      <c r="B254" s="76" t="s">
        <v>33</v>
      </c>
      <c r="C254" s="76" t="s">
        <v>33</v>
      </c>
      <c r="D254" s="76" t="s">
        <v>542</v>
      </c>
      <c r="E254" s="76" t="s">
        <v>543</v>
      </c>
      <c r="F254" s="77" t="s">
        <v>546</v>
      </c>
      <c r="G254" s="76" t="s">
        <v>547</v>
      </c>
      <c r="H254" s="78" t="s">
        <v>548</v>
      </c>
      <c r="I254" s="78"/>
      <c r="J254" s="78"/>
      <c r="K254" s="78"/>
      <c r="L254" s="78"/>
      <c r="M254" s="78"/>
      <c r="N254" s="79" t="e">
        <f t="shared" ca="1" si="4"/>
        <v>#VALUE!</v>
      </c>
      <c r="O254" s="78"/>
      <c r="P254" s="78"/>
      <c r="Q254" s="78"/>
    </row>
    <row r="255" spans="1:27" ht="130.5" hidden="1" x14ac:dyDescent="0.35">
      <c r="A255" s="93">
        <v>278</v>
      </c>
      <c r="B255" s="7" t="s">
        <v>393</v>
      </c>
      <c r="C255" s="7" t="s">
        <v>393</v>
      </c>
      <c r="D255" s="94" t="s">
        <v>565</v>
      </c>
      <c r="E255" s="94" t="s">
        <v>566</v>
      </c>
      <c r="F255" s="94">
        <v>351</v>
      </c>
      <c r="G255" s="7" t="s">
        <v>567</v>
      </c>
      <c r="N255" s="11">
        <f t="shared" ca="1" si="4"/>
        <v>46112</v>
      </c>
      <c r="S255"/>
      <c r="V255"/>
      <c r="W255"/>
      <c r="Y255"/>
      <c r="Z255"/>
      <c r="AA255"/>
    </row>
    <row r="256" spans="1:27" hidden="1" x14ac:dyDescent="0.35">
      <c r="N256" s="11">
        <f t="shared" ca="1" si="4"/>
        <v>46112</v>
      </c>
      <c r="S256"/>
      <c r="V256"/>
      <c r="W256"/>
      <c r="Y256"/>
      <c r="Z256"/>
      <c r="AA256"/>
    </row>
    <row r="257" spans="14:27" hidden="1" x14ac:dyDescent="0.35">
      <c r="N257" s="11">
        <f t="shared" ca="1" si="4"/>
        <v>46112</v>
      </c>
      <c r="S257"/>
      <c r="V257"/>
      <c r="W257"/>
      <c r="Y257"/>
      <c r="Z257"/>
      <c r="AA257"/>
    </row>
    <row r="258" spans="14:27" hidden="1" x14ac:dyDescent="0.35">
      <c r="N258" s="11">
        <f t="shared" ca="1" si="4"/>
        <v>46112</v>
      </c>
      <c r="S258"/>
      <c r="V258"/>
      <c r="W258"/>
      <c r="Y258"/>
      <c r="Z258"/>
      <c r="AA258"/>
    </row>
    <row r="259" spans="14:27" hidden="1" x14ac:dyDescent="0.35">
      <c r="N259" s="11">
        <f t="shared" ca="1" si="4"/>
        <v>46112</v>
      </c>
      <c r="S259"/>
      <c r="V259"/>
      <c r="W259"/>
      <c r="Y259"/>
      <c r="Z259"/>
      <c r="AA259"/>
    </row>
    <row r="260" spans="14:27" hidden="1" x14ac:dyDescent="0.35">
      <c r="N260" s="11">
        <f t="shared" ca="1" si="4"/>
        <v>46112</v>
      </c>
      <c r="S260"/>
      <c r="V260"/>
      <c r="W260"/>
      <c r="Y260"/>
      <c r="Z260"/>
      <c r="AA260"/>
    </row>
    <row r="261" spans="14:27" hidden="1" x14ac:dyDescent="0.35">
      <c r="N261" s="11">
        <f t="shared" ca="1" si="4"/>
        <v>46112</v>
      </c>
      <c r="S261"/>
      <c r="V261"/>
      <c r="W261"/>
      <c r="Y261"/>
      <c r="Z261"/>
      <c r="AA261"/>
    </row>
    <row r="262" spans="14:27" hidden="1" x14ac:dyDescent="0.35">
      <c r="N262" s="11">
        <f t="shared" ca="1" si="4"/>
        <v>46112</v>
      </c>
      <c r="S262"/>
      <c r="V262"/>
      <c r="W262"/>
      <c r="Y262"/>
      <c r="Z262"/>
      <c r="AA262"/>
    </row>
    <row r="263" spans="14:27" hidden="1" x14ac:dyDescent="0.35">
      <c r="N263" s="11">
        <f t="shared" ref="N263:N326" ca="1" si="5">DATEDIF(H263,TODAY(),"d")</f>
        <v>46112</v>
      </c>
      <c r="S263"/>
      <c r="V263"/>
      <c r="W263"/>
      <c r="Y263"/>
      <c r="Z263"/>
      <c r="AA263"/>
    </row>
    <row r="264" spans="14:27" hidden="1" x14ac:dyDescent="0.35">
      <c r="N264" s="11">
        <f t="shared" ca="1" si="5"/>
        <v>46112</v>
      </c>
      <c r="S264"/>
      <c r="V264"/>
      <c r="W264"/>
      <c r="Y264"/>
      <c r="Z264"/>
      <c r="AA264"/>
    </row>
    <row r="265" spans="14:27" hidden="1" x14ac:dyDescent="0.35">
      <c r="N265" s="11">
        <f t="shared" ca="1" si="5"/>
        <v>46112</v>
      </c>
      <c r="S265"/>
      <c r="V265"/>
      <c r="W265"/>
      <c r="Y265"/>
      <c r="Z265"/>
      <c r="AA265"/>
    </row>
    <row r="266" spans="14:27" hidden="1" x14ac:dyDescent="0.35">
      <c r="N266" s="11">
        <f t="shared" ca="1" si="5"/>
        <v>46112</v>
      </c>
      <c r="S266"/>
      <c r="V266"/>
      <c r="W266"/>
      <c r="Y266"/>
      <c r="Z266"/>
      <c r="AA266"/>
    </row>
    <row r="267" spans="14:27" hidden="1" x14ac:dyDescent="0.35">
      <c r="N267" s="11">
        <f t="shared" ca="1" si="5"/>
        <v>46112</v>
      </c>
      <c r="S267"/>
      <c r="V267"/>
      <c r="W267"/>
      <c r="Y267"/>
      <c r="Z267"/>
      <c r="AA267"/>
    </row>
    <row r="268" spans="14:27" hidden="1" x14ac:dyDescent="0.35">
      <c r="N268" s="11">
        <f t="shared" ca="1" si="5"/>
        <v>46112</v>
      </c>
      <c r="S268"/>
      <c r="V268"/>
      <c r="W268"/>
      <c r="Y268"/>
      <c r="Z268"/>
      <c r="AA268"/>
    </row>
    <row r="269" spans="14:27" hidden="1" x14ac:dyDescent="0.35">
      <c r="N269" s="11">
        <f t="shared" ca="1" si="5"/>
        <v>46112</v>
      </c>
      <c r="S269"/>
      <c r="V269"/>
      <c r="W269"/>
      <c r="Y269"/>
      <c r="Z269"/>
      <c r="AA269"/>
    </row>
    <row r="270" spans="14:27" hidden="1" x14ac:dyDescent="0.35">
      <c r="N270" s="11">
        <f t="shared" ca="1" si="5"/>
        <v>46112</v>
      </c>
      <c r="S270"/>
      <c r="V270"/>
      <c r="W270"/>
      <c r="Y270"/>
      <c r="Z270"/>
      <c r="AA270"/>
    </row>
    <row r="271" spans="14:27" hidden="1" x14ac:dyDescent="0.35">
      <c r="N271" s="11">
        <f t="shared" ca="1" si="5"/>
        <v>46112</v>
      </c>
      <c r="S271"/>
      <c r="V271"/>
      <c r="W271"/>
      <c r="Y271"/>
      <c r="Z271"/>
      <c r="AA271"/>
    </row>
    <row r="272" spans="14:27" hidden="1" x14ac:dyDescent="0.35">
      <c r="N272" s="11">
        <f t="shared" ca="1" si="5"/>
        <v>46112</v>
      </c>
      <c r="S272"/>
      <c r="V272"/>
      <c r="W272"/>
      <c r="Y272"/>
      <c r="Z272"/>
      <c r="AA272"/>
    </row>
    <row r="273" spans="14:27" hidden="1" x14ac:dyDescent="0.35">
      <c r="N273" s="11">
        <f t="shared" ca="1" si="5"/>
        <v>46112</v>
      </c>
      <c r="S273"/>
      <c r="V273"/>
      <c r="W273"/>
      <c r="Y273"/>
      <c r="Z273"/>
      <c r="AA273"/>
    </row>
    <row r="274" spans="14:27" hidden="1" x14ac:dyDescent="0.35">
      <c r="N274" s="11">
        <f t="shared" ca="1" si="5"/>
        <v>46112</v>
      </c>
      <c r="S274"/>
      <c r="V274"/>
      <c r="W274"/>
      <c r="Y274"/>
      <c r="Z274"/>
      <c r="AA274"/>
    </row>
    <row r="275" spans="14:27" hidden="1" x14ac:dyDescent="0.35">
      <c r="N275" s="11">
        <f t="shared" ca="1" si="5"/>
        <v>46112</v>
      </c>
      <c r="S275"/>
      <c r="V275"/>
      <c r="W275"/>
      <c r="Y275"/>
      <c r="Z275"/>
      <c r="AA275"/>
    </row>
    <row r="276" spans="14:27" hidden="1" x14ac:dyDescent="0.35">
      <c r="N276" s="11">
        <f t="shared" ca="1" si="5"/>
        <v>46112</v>
      </c>
      <c r="S276"/>
      <c r="V276"/>
      <c r="W276"/>
      <c r="Y276"/>
      <c r="Z276"/>
      <c r="AA276"/>
    </row>
    <row r="277" spans="14:27" hidden="1" x14ac:dyDescent="0.35">
      <c r="N277" s="11">
        <f t="shared" ca="1" si="5"/>
        <v>46112</v>
      </c>
      <c r="S277"/>
      <c r="V277"/>
      <c r="W277"/>
      <c r="Y277"/>
      <c r="Z277"/>
      <c r="AA277"/>
    </row>
    <row r="278" spans="14:27" hidden="1" x14ac:dyDescent="0.35">
      <c r="N278" s="11">
        <f t="shared" ca="1" si="5"/>
        <v>46112</v>
      </c>
      <c r="S278"/>
      <c r="V278"/>
      <c r="W278"/>
      <c r="Y278"/>
      <c r="Z278"/>
      <c r="AA278"/>
    </row>
    <row r="279" spans="14:27" hidden="1" x14ac:dyDescent="0.35">
      <c r="N279" s="11">
        <f t="shared" ca="1" si="5"/>
        <v>46112</v>
      </c>
      <c r="S279"/>
      <c r="V279"/>
      <c r="W279"/>
      <c r="Y279"/>
      <c r="Z279"/>
      <c r="AA279"/>
    </row>
    <row r="280" spans="14:27" hidden="1" x14ac:dyDescent="0.35">
      <c r="N280" s="11">
        <f t="shared" ca="1" si="5"/>
        <v>46112</v>
      </c>
      <c r="S280"/>
      <c r="V280"/>
      <c r="W280"/>
      <c r="Y280"/>
      <c r="Z280"/>
      <c r="AA280"/>
    </row>
    <row r="281" spans="14:27" hidden="1" x14ac:dyDescent="0.35">
      <c r="N281" s="11">
        <f t="shared" ca="1" si="5"/>
        <v>46112</v>
      </c>
      <c r="S281"/>
      <c r="V281"/>
      <c r="W281"/>
      <c r="Y281"/>
      <c r="Z281"/>
      <c r="AA281"/>
    </row>
    <row r="282" spans="14:27" hidden="1" x14ac:dyDescent="0.35">
      <c r="N282" s="11">
        <f t="shared" ca="1" si="5"/>
        <v>46112</v>
      </c>
      <c r="S282"/>
      <c r="V282"/>
      <c r="W282"/>
      <c r="Y282"/>
      <c r="Z282"/>
      <c r="AA282"/>
    </row>
    <row r="283" spans="14:27" hidden="1" x14ac:dyDescent="0.35">
      <c r="N283" s="11">
        <f t="shared" ca="1" si="5"/>
        <v>46112</v>
      </c>
      <c r="S283"/>
      <c r="V283"/>
      <c r="W283"/>
      <c r="Y283"/>
      <c r="Z283"/>
      <c r="AA283"/>
    </row>
    <row r="284" spans="14:27" hidden="1" x14ac:dyDescent="0.35">
      <c r="N284" s="11">
        <f t="shared" ca="1" si="5"/>
        <v>46112</v>
      </c>
      <c r="S284"/>
      <c r="V284"/>
      <c r="W284"/>
      <c r="Y284"/>
      <c r="Z284"/>
      <c r="AA284"/>
    </row>
    <row r="285" spans="14:27" hidden="1" x14ac:dyDescent="0.35">
      <c r="N285" s="11">
        <f t="shared" ca="1" si="5"/>
        <v>46112</v>
      </c>
      <c r="S285"/>
      <c r="V285"/>
      <c r="W285"/>
      <c r="Y285"/>
      <c r="Z285"/>
      <c r="AA285"/>
    </row>
    <row r="286" spans="14:27" hidden="1" x14ac:dyDescent="0.35">
      <c r="N286" s="11">
        <f t="shared" ca="1" si="5"/>
        <v>46112</v>
      </c>
      <c r="S286"/>
      <c r="V286"/>
      <c r="W286"/>
      <c r="Y286"/>
      <c r="Z286"/>
      <c r="AA286"/>
    </row>
    <row r="287" spans="14:27" hidden="1" x14ac:dyDescent="0.35">
      <c r="N287" s="11">
        <f t="shared" ca="1" si="5"/>
        <v>46112</v>
      </c>
      <c r="S287"/>
      <c r="V287"/>
      <c r="W287"/>
      <c r="Y287"/>
      <c r="Z287"/>
      <c r="AA287"/>
    </row>
    <row r="288" spans="14:27" hidden="1" x14ac:dyDescent="0.35">
      <c r="N288" s="11">
        <f t="shared" ca="1" si="5"/>
        <v>46112</v>
      </c>
      <c r="S288"/>
      <c r="V288"/>
      <c r="W288"/>
      <c r="Y288"/>
      <c r="Z288"/>
      <c r="AA288"/>
    </row>
    <row r="289" spans="14:27" hidden="1" x14ac:dyDescent="0.35">
      <c r="N289" s="11">
        <f t="shared" ca="1" si="5"/>
        <v>46112</v>
      </c>
      <c r="S289"/>
      <c r="V289"/>
      <c r="W289"/>
      <c r="Y289"/>
      <c r="Z289"/>
      <c r="AA289"/>
    </row>
    <row r="290" spans="14:27" hidden="1" x14ac:dyDescent="0.35">
      <c r="N290" s="11">
        <f t="shared" ca="1" si="5"/>
        <v>46112</v>
      </c>
      <c r="S290"/>
      <c r="V290"/>
      <c r="W290"/>
      <c r="Y290"/>
      <c r="Z290"/>
      <c r="AA290"/>
    </row>
    <row r="291" spans="14:27" hidden="1" x14ac:dyDescent="0.35">
      <c r="N291" s="11">
        <f t="shared" ca="1" si="5"/>
        <v>46112</v>
      </c>
      <c r="S291"/>
      <c r="V291"/>
      <c r="W291"/>
      <c r="Y291"/>
      <c r="Z291"/>
      <c r="AA291"/>
    </row>
    <row r="292" spans="14:27" hidden="1" x14ac:dyDescent="0.35">
      <c r="N292" s="11">
        <f t="shared" ca="1" si="5"/>
        <v>46112</v>
      </c>
      <c r="S292"/>
      <c r="V292"/>
      <c r="W292"/>
      <c r="Y292"/>
      <c r="Z292"/>
      <c r="AA292"/>
    </row>
    <row r="293" spans="14:27" hidden="1" x14ac:dyDescent="0.35">
      <c r="N293" s="11">
        <f t="shared" ca="1" si="5"/>
        <v>46112</v>
      </c>
      <c r="S293"/>
      <c r="V293"/>
      <c r="W293"/>
      <c r="Y293"/>
      <c r="Z293"/>
      <c r="AA293"/>
    </row>
    <row r="294" spans="14:27" hidden="1" x14ac:dyDescent="0.35">
      <c r="N294" s="11">
        <f t="shared" ca="1" si="5"/>
        <v>46112</v>
      </c>
      <c r="S294"/>
      <c r="V294"/>
      <c r="W294"/>
      <c r="Y294"/>
      <c r="Z294"/>
      <c r="AA294"/>
    </row>
    <row r="295" spans="14:27" hidden="1" x14ac:dyDescent="0.35">
      <c r="N295" s="11">
        <f t="shared" ca="1" si="5"/>
        <v>46112</v>
      </c>
      <c r="S295"/>
      <c r="V295"/>
      <c r="W295"/>
      <c r="Y295"/>
      <c r="Z295"/>
      <c r="AA295"/>
    </row>
    <row r="296" spans="14:27" hidden="1" x14ac:dyDescent="0.35">
      <c r="N296" s="11">
        <f t="shared" ca="1" si="5"/>
        <v>46112</v>
      </c>
      <c r="S296"/>
      <c r="V296"/>
      <c r="W296"/>
      <c r="Y296"/>
      <c r="Z296"/>
      <c r="AA296"/>
    </row>
    <row r="297" spans="14:27" hidden="1" x14ac:dyDescent="0.35">
      <c r="N297" s="11">
        <f t="shared" ca="1" si="5"/>
        <v>46112</v>
      </c>
      <c r="S297"/>
      <c r="V297"/>
      <c r="W297"/>
      <c r="Y297"/>
      <c r="Z297"/>
      <c r="AA297"/>
    </row>
    <row r="298" spans="14:27" hidden="1" x14ac:dyDescent="0.35">
      <c r="N298" s="11">
        <f t="shared" ca="1" si="5"/>
        <v>46112</v>
      </c>
      <c r="S298"/>
      <c r="V298"/>
      <c r="W298"/>
      <c r="Y298"/>
      <c r="Z298"/>
      <c r="AA298"/>
    </row>
    <row r="299" spans="14:27" hidden="1" x14ac:dyDescent="0.35">
      <c r="N299" s="11">
        <f t="shared" ca="1" si="5"/>
        <v>46112</v>
      </c>
      <c r="S299"/>
      <c r="V299"/>
      <c r="W299"/>
      <c r="Y299"/>
      <c r="Z299"/>
      <c r="AA299"/>
    </row>
    <row r="300" spans="14:27" hidden="1" x14ac:dyDescent="0.35">
      <c r="N300" s="11">
        <f t="shared" ca="1" si="5"/>
        <v>46112</v>
      </c>
      <c r="S300"/>
      <c r="V300"/>
      <c r="W300"/>
      <c r="Y300"/>
      <c r="Z300"/>
      <c r="AA300"/>
    </row>
    <row r="301" spans="14:27" hidden="1" x14ac:dyDescent="0.35">
      <c r="N301" s="11">
        <f t="shared" ca="1" si="5"/>
        <v>46112</v>
      </c>
      <c r="S301"/>
      <c r="V301"/>
      <c r="W301"/>
      <c r="Y301"/>
      <c r="Z301"/>
      <c r="AA301"/>
    </row>
    <row r="302" spans="14:27" hidden="1" x14ac:dyDescent="0.35">
      <c r="N302" s="11">
        <f t="shared" ca="1" si="5"/>
        <v>46112</v>
      </c>
      <c r="S302"/>
      <c r="V302"/>
      <c r="W302"/>
      <c r="Y302"/>
      <c r="Z302"/>
      <c r="AA302"/>
    </row>
    <row r="303" spans="14:27" hidden="1" x14ac:dyDescent="0.35">
      <c r="N303" s="11">
        <f t="shared" ca="1" si="5"/>
        <v>46112</v>
      </c>
      <c r="S303"/>
      <c r="V303"/>
      <c r="W303"/>
      <c r="Y303"/>
      <c r="Z303"/>
      <c r="AA303"/>
    </row>
    <row r="304" spans="14:27" hidden="1" x14ac:dyDescent="0.35">
      <c r="N304" s="11">
        <f t="shared" ca="1" si="5"/>
        <v>46112</v>
      </c>
      <c r="S304"/>
      <c r="V304"/>
      <c r="W304"/>
      <c r="Y304"/>
      <c r="Z304"/>
      <c r="AA304"/>
    </row>
    <row r="305" spans="14:27" hidden="1" x14ac:dyDescent="0.35">
      <c r="N305" s="11">
        <f t="shared" ca="1" si="5"/>
        <v>46112</v>
      </c>
      <c r="S305"/>
      <c r="V305"/>
      <c r="W305"/>
      <c r="Y305"/>
      <c r="Z305"/>
      <c r="AA305"/>
    </row>
    <row r="306" spans="14:27" hidden="1" x14ac:dyDescent="0.35">
      <c r="N306" s="11">
        <f t="shared" ca="1" si="5"/>
        <v>46112</v>
      </c>
      <c r="S306"/>
      <c r="V306"/>
      <c r="W306"/>
      <c r="Y306"/>
      <c r="Z306"/>
      <c r="AA306"/>
    </row>
    <row r="307" spans="14:27" hidden="1" x14ac:dyDescent="0.35">
      <c r="N307" s="11">
        <f t="shared" ca="1" si="5"/>
        <v>46112</v>
      </c>
      <c r="S307"/>
      <c r="V307"/>
      <c r="W307"/>
      <c r="Y307"/>
      <c r="Z307"/>
      <c r="AA307"/>
    </row>
    <row r="308" spans="14:27" hidden="1" x14ac:dyDescent="0.35">
      <c r="N308" s="11">
        <f t="shared" ca="1" si="5"/>
        <v>46112</v>
      </c>
      <c r="S308"/>
      <c r="V308"/>
      <c r="W308"/>
      <c r="Y308"/>
      <c r="Z308"/>
      <c r="AA308"/>
    </row>
    <row r="309" spans="14:27" hidden="1" x14ac:dyDescent="0.35">
      <c r="N309" s="11">
        <f t="shared" ca="1" si="5"/>
        <v>46112</v>
      </c>
      <c r="S309"/>
      <c r="V309"/>
      <c r="W309"/>
      <c r="Y309"/>
      <c r="Z309"/>
      <c r="AA309"/>
    </row>
    <row r="310" spans="14:27" hidden="1" x14ac:dyDescent="0.35">
      <c r="N310" s="11">
        <f t="shared" ca="1" si="5"/>
        <v>46112</v>
      </c>
      <c r="S310"/>
      <c r="V310"/>
      <c r="W310"/>
      <c r="Y310"/>
      <c r="Z310"/>
      <c r="AA310"/>
    </row>
    <row r="311" spans="14:27" hidden="1" x14ac:dyDescent="0.35">
      <c r="N311" s="11">
        <f t="shared" ca="1" si="5"/>
        <v>46112</v>
      </c>
      <c r="S311"/>
      <c r="V311"/>
      <c r="W311"/>
      <c r="Y311"/>
      <c r="Z311"/>
      <c r="AA311"/>
    </row>
    <row r="312" spans="14:27" hidden="1" x14ac:dyDescent="0.35">
      <c r="N312" s="11">
        <f t="shared" ca="1" si="5"/>
        <v>46112</v>
      </c>
      <c r="S312"/>
      <c r="V312"/>
      <c r="W312"/>
      <c r="Y312"/>
      <c r="Z312"/>
      <c r="AA312"/>
    </row>
    <row r="313" spans="14:27" hidden="1" x14ac:dyDescent="0.35">
      <c r="N313" s="11">
        <f t="shared" ca="1" si="5"/>
        <v>46112</v>
      </c>
      <c r="S313"/>
      <c r="V313"/>
      <c r="W313"/>
      <c r="Y313"/>
      <c r="Z313"/>
      <c r="AA313"/>
    </row>
    <row r="314" spans="14:27" hidden="1" x14ac:dyDescent="0.35">
      <c r="N314" s="11">
        <f t="shared" ca="1" si="5"/>
        <v>46112</v>
      </c>
      <c r="S314"/>
      <c r="V314"/>
      <c r="W314"/>
      <c r="Y314"/>
      <c r="Z314"/>
      <c r="AA314"/>
    </row>
    <row r="315" spans="14:27" hidden="1" x14ac:dyDescent="0.35">
      <c r="N315" s="11">
        <f t="shared" ca="1" si="5"/>
        <v>46112</v>
      </c>
      <c r="S315"/>
      <c r="V315"/>
      <c r="W315"/>
      <c r="Y315"/>
      <c r="Z315"/>
      <c r="AA315"/>
    </row>
    <row r="316" spans="14:27" hidden="1" x14ac:dyDescent="0.35">
      <c r="N316" s="11">
        <f t="shared" ca="1" si="5"/>
        <v>46112</v>
      </c>
      <c r="S316"/>
      <c r="V316"/>
      <c r="W316"/>
      <c r="Y316"/>
      <c r="Z316"/>
      <c r="AA316"/>
    </row>
    <row r="317" spans="14:27" hidden="1" x14ac:dyDescent="0.35">
      <c r="N317" s="11">
        <f t="shared" ca="1" si="5"/>
        <v>46112</v>
      </c>
      <c r="S317"/>
      <c r="V317"/>
      <c r="W317"/>
      <c r="Y317"/>
      <c r="Z317"/>
      <c r="AA317"/>
    </row>
    <row r="318" spans="14:27" hidden="1" x14ac:dyDescent="0.35">
      <c r="N318" s="11">
        <f t="shared" ca="1" si="5"/>
        <v>46112</v>
      </c>
      <c r="S318"/>
      <c r="V318"/>
      <c r="W318"/>
      <c r="Y318"/>
      <c r="Z318"/>
      <c r="AA318"/>
    </row>
    <row r="319" spans="14:27" hidden="1" x14ac:dyDescent="0.35">
      <c r="N319" s="11">
        <f t="shared" ca="1" si="5"/>
        <v>46112</v>
      </c>
      <c r="S319"/>
      <c r="V319"/>
      <c r="W319"/>
      <c r="Y319"/>
      <c r="Z319"/>
      <c r="AA319"/>
    </row>
    <row r="320" spans="14:27" hidden="1" x14ac:dyDescent="0.35">
      <c r="N320" s="11">
        <f t="shared" ca="1" si="5"/>
        <v>46112</v>
      </c>
      <c r="S320"/>
      <c r="V320"/>
      <c r="W320"/>
      <c r="Y320"/>
      <c r="Z320"/>
      <c r="AA320"/>
    </row>
    <row r="321" spans="14:27" hidden="1" x14ac:dyDescent="0.35">
      <c r="N321" s="11">
        <f t="shared" ca="1" si="5"/>
        <v>46112</v>
      </c>
      <c r="S321"/>
      <c r="V321"/>
      <c r="W321"/>
      <c r="Y321"/>
      <c r="Z321"/>
      <c r="AA321"/>
    </row>
    <row r="322" spans="14:27" hidden="1" x14ac:dyDescent="0.35">
      <c r="N322" s="11">
        <f t="shared" ca="1" si="5"/>
        <v>46112</v>
      </c>
      <c r="S322"/>
      <c r="V322"/>
      <c r="W322"/>
      <c r="Y322"/>
      <c r="Z322"/>
      <c r="AA322"/>
    </row>
    <row r="323" spans="14:27" hidden="1" x14ac:dyDescent="0.35">
      <c r="N323" s="11">
        <f t="shared" ca="1" si="5"/>
        <v>46112</v>
      </c>
      <c r="S323"/>
      <c r="V323"/>
      <c r="W323"/>
      <c r="Y323"/>
      <c r="Z323"/>
      <c r="AA323"/>
    </row>
    <row r="324" spans="14:27" hidden="1" x14ac:dyDescent="0.35">
      <c r="N324" s="11">
        <f t="shared" ca="1" si="5"/>
        <v>46112</v>
      </c>
      <c r="S324"/>
      <c r="V324"/>
      <c r="W324"/>
      <c r="Y324"/>
      <c r="Z324"/>
      <c r="AA324"/>
    </row>
    <row r="325" spans="14:27" hidden="1" x14ac:dyDescent="0.35">
      <c r="N325" s="11">
        <f t="shared" ca="1" si="5"/>
        <v>46112</v>
      </c>
      <c r="S325"/>
      <c r="V325"/>
      <c r="W325"/>
      <c r="Y325"/>
      <c r="Z325"/>
      <c r="AA325"/>
    </row>
    <row r="326" spans="14:27" hidden="1" x14ac:dyDescent="0.35">
      <c r="N326" s="11">
        <f t="shared" ca="1" si="5"/>
        <v>46112</v>
      </c>
      <c r="S326"/>
      <c r="V326"/>
      <c r="W326"/>
      <c r="Y326"/>
      <c r="Z326"/>
      <c r="AA326"/>
    </row>
    <row r="327" spans="14:27" hidden="1" x14ac:dyDescent="0.35">
      <c r="N327" s="11">
        <f t="shared" ref="N327:N390" ca="1" si="6">DATEDIF(H327,TODAY(),"d")</f>
        <v>46112</v>
      </c>
      <c r="S327"/>
      <c r="V327"/>
      <c r="W327"/>
      <c r="Y327"/>
      <c r="Z327"/>
      <c r="AA327"/>
    </row>
    <row r="328" spans="14:27" hidden="1" x14ac:dyDescent="0.35">
      <c r="N328" s="11">
        <f t="shared" ca="1" si="6"/>
        <v>46112</v>
      </c>
      <c r="S328"/>
      <c r="V328"/>
      <c r="W328"/>
      <c r="Y328"/>
      <c r="Z328"/>
      <c r="AA328"/>
    </row>
    <row r="329" spans="14:27" hidden="1" x14ac:dyDescent="0.35">
      <c r="N329" s="11">
        <f t="shared" ca="1" si="6"/>
        <v>46112</v>
      </c>
      <c r="S329"/>
      <c r="V329"/>
      <c r="W329"/>
      <c r="Y329"/>
      <c r="Z329"/>
      <c r="AA329"/>
    </row>
    <row r="330" spans="14:27" hidden="1" x14ac:dyDescent="0.35">
      <c r="N330" s="11">
        <f t="shared" ca="1" si="6"/>
        <v>46112</v>
      </c>
      <c r="S330"/>
      <c r="V330"/>
      <c r="W330"/>
      <c r="Y330"/>
      <c r="Z330"/>
      <c r="AA330"/>
    </row>
    <row r="331" spans="14:27" hidden="1" x14ac:dyDescent="0.35">
      <c r="N331" s="11">
        <f t="shared" ca="1" si="6"/>
        <v>46112</v>
      </c>
      <c r="S331"/>
      <c r="V331"/>
      <c r="W331"/>
      <c r="Y331"/>
      <c r="Z331"/>
      <c r="AA331"/>
    </row>
    <row r="332" spans="14:27" hidden="1" x14ac:dyDescent="0.35">
      <c r="N332" s="11">
        <f t="shared" ca="1" si="6"/>
        <v>46112</v>
      </c>
      <c r="S332"/>
      <c r="V332"/>
      <c r="W332"/>
      <c r="Y332"/>
      <c r="Z332"/>
      <c r="AA332"/>
    </row>
    <row r="333" spans="14:27" hidden="1" x14ac:dyDescent="0.35">
      <c r="N333" s="11">
        <f t="shared" ca="1" si="6"/>
        <v>46112</v>
      </c>
      <c r="S333"/>
      <c r="V333"/>
      <c r="W333"/>
      <c r="Y333"/>
      <c r="Z333"/>
      <c r="AA333"/>
    </row>
    <row r="334" spans="14:27" hidden="1" x14ac:dyDescent="0.35">
      <c r="N334" s="11">
        <f t="shared" ca="1" si="6"/>
        <v>46112</v>
      </c>
      <c r="S334"/>
      <c r="V334"/>
      <c r="W334"/>
      <c r="Y334"/>
      <c r="Z334"/>
      <c r="AA334"/>
    </row>
    <row r="335" spans="14:27" hidden="1" x14ac:dyDescent="0.35">
      <c r="N335" s="11">
        <f t="shared" ca="1" si="6"/>
        <v>46112</v>
      </c>
      <c r="S335"/>
      <c r="V335"/>
      <c r="W335"/>
      <c r="Y335"/>
      <c r="Z335"/>
      <c r="AA335"/>
    </row>
    <row r="336" spans="14:27" hidden="1" x14ac:dyDescent="0.35">
      <c r="N336" s="11">
        <f t="shared" ca="1" si="6"/>
        <v>46112</v>
      </c>
      <c r="S336"/>
      <c r="V336"/>
      <c r="W336"/>
      <c r="Y336"/>
      <c r="Z336"/>
      <c r="AA336"/>
    </row>
    <row r="337" spans="14:27" hidden="1" x14ac:dyDescent="0.35">
      <c r="N337" s="11">
        <f t="shared" ca="1" si="6"/>
        <v>46112</v>
      </c>
      <c r="S337"/>
      <c r="V337"/>
      <c r="W337"/>
      <c r="Y337"/>
      <c r="Z337"/>
      <c r="AA337"/>
    </row>
    <row r="338" spans="14:27" hidden="1" x14ac:dyDescent="0.35">
      <c r="N338" s="11">
        <f t="shared" ca="1" si="6"/>
        <v>46112</v>
      </c>
      <c r="S338"/>
      <c r="V338"/>
      <c r="W338"/>
      <c r="Y338"/>
      <c r="Z338"/>
      <c r="AA338"/>
    </row>
    <row r="339" spans="14:27" hidden="1" x14ac:dyDescent="0.35">
      <c r="N339" s="11">
        <f t="shared" ca="1" si="6"/>
        <v>46112</v>
      </c>
      <c r="S339"/>
      <c r="V339"/>
      <c r="W339"/>
      <c r="Y339"/>
      <c r="Z339"/>
      <c r="AA339"/>
    </row>
    <row r="340" spans="14:27" hidden="1" x14ac:dyDescent="0.35">
      <c r="N340" s="11">
        <f t="shared" ca="1" si="6"/>
        <v>46112</v>
      </c>
      <c r="S340"/>
      <c r="V340"/>
      <c r="W340"/>
      <c r="Y340"/>
      <c r="Z340"/>
      <c r="AA340"/>
    </row>
    <row r="341" spans="14:27" hidden="1" x14ac:dyDescent="0.35">
      <c r="N341" s="11">
        <f t="shared" ca="1" si="6"/>
        <v>46112</v>
      </c>
      <c r="S341"/>
      <c r="V341"/>
      <c r="W341"/>
      <c r="Y341"/>
      <c r="Z341"/>
      <c r="AA341"/>
    </row>
    <row r="342" spans="14:27" hidden="1" x14ac:dyDescent="0.35">
      <c r="N342" s="11">
        <f t="shared" ca="1" si="6"/>
        <v>46112</v>
      </c>
      <c r="S342"/>
      <c r="V342"/>
      <c r="W342"/>
      <c r="Y342"/>
      <c r="Z342"/>
      <c r="AA342"/>
    </row>
    <row r="343" spans="14:27" hidden="1" x14ac:dyDescent="0.35">
      <c r="N343" s="11">
        <f t="shared" ca="1" si="6"/>
        <v>46112</v>
      </c>
      <c r="S343"/>
      <c r="V343"/>
      <c r="W343"/>
      <c r="Y343"/>
      <c r="Z343"/>
      <c r="AA343"/>
    </row>
    <row r="344" spans="14:27" hidden="1" x14ac:dyDescent="0.35">
      <c r="N344" s="11">
        <f t="shared" ca="1" si="6"/>
        <v>46112</v>
      </c>
      <c r="S344"/>
      <c r="V344"/>
      <c r="W344"/>
      <c r="Y344"/>
      <c r="Z344"/>
      <c r="AA344"/>
    </row>
    <row r="345" spans="14:27" hidden="1" x14ac:dyDescent="0.35">
      <c r="N345" s="11">
        <f t="shared" ca="1" si="6"/>
        <v>46112</v>
      </c>
      <c r="S345"/>
      <c r="V345"/>
      <c r="W345"/>
      <c r="Y345"/>
      <c r="Z345"/>
      <c r="AA345"/>
    </row>
    <row r="346" spans="14:27" hidden="1" x14ac:dyDescent="0.35">
      <c r="N346" s="11">
        <f t="shared" ca="1" si="6"/>
        <v>46112</v>
      </c>
      <c r="S346"/>
      <c r="V346"/>
      <c r="W346"/>
      <c r="Y346"/>
      <c r="Z346"/>
      <c r="AA346"/>
    </row>
    <row r="347" spans="14:27" hidden="1" x14ac:dyDescent="0.35">
      <c r="N347" s="11">
        <f t="shared" ca="1" si="6"/>
        <v>46112</v>
      </c>
      <c r="S347"/>
      <c r="V347"/>
      <c r="W347"/>
      <c r="Y347"/>
      <c r="Z347"/>
      <c r="AA347"/>
    </row>
    <row r="348" spans="14:27" hidden="1" x14ac:dyDescent="0.35">
      <c r="N348" s="11">
        <f t="shared" ca="1" si="6"/>
        <v>46112</v>
      </c>
      <c r="S348"/>
      <c r="V348"/>
      <c r="W348"/>
      <c r="Y348"/>
      <c r="Z348"/>
      <c r="AA348"/>
    </row>
    <row r="349" spans="14:27" hidden="1" x14ac:dyDescent="0.35">
      <c r="N349" s="11">
        <f t="shared" ca="1" si="6"/>
        <v>46112</v>
      </c>
      <c r="S349"/>
      <c r="V349"/>
      <c r="W349"/>
      <c r="Y349"/>
      <c r="Z349"/>
      <c r="AA349"/>
    </row>
    <row r="350" spans="14:27" hidden="1" x14ac:dyDescent="0.35">
      <c r="N350" s="11">
        <f t="shared" ca="1" si="6"/>
        <v>46112</v>
      </c>
      <c r="S350"/>
      <c r="V350"/>
      <c r="W350"/>
      <c r="Y350"/>
      <c r="Z350"/>
      <c r="AA350"/>
    </row>
    <row r="351" spans="14:27" hidden="1" x14ac:dyDescent="0.35">
      <c r="N351" s="11">
        <f t="shared" ca="1" si="6"/>
        <v>46112</v>
      </c>
      <c r="S351"/>
      <c r="V351"/>
      <c r="W351"/>
      <c r="Y351"/>
      <c r="Z351"/>
      <c r="AA351"/>
    </row>
    <row r="352" spans="14:27" hidden="1" x14ac:dyDescent="0.35">
      <c r="N352" s="11">
        <f t="shared" ca="1" si="6"/>
        <v>46112</v>
      </c>
      <c r="S352"/>
      <c r="V352"/>
      <c r="W352"/>
      <c r="Y352"/>
      <c r="Z352"/>
      <c r="AA352"/>
    </row>
    <row r="353" spans="14:27" hidden="1" x14ac:dyDescent="0.35">
      <c r="N353" s="11">
        <f t="shared" ca="1" si="6"/>
        <v>46112</v>
      </c>
      <c r="S353"/>
      <c r="V353"/>
      <c r="W353"/>
      <c r="Y353"/>
      <c r="Z353"/>
      <c r="AA353"/>
    </row>
    <row r="354" spans="14:27" hidden="1" x14ac:dyDescent="0.35">
      <c r="N354" s="11">
        <f t="shared" ca="1" si="6"/>
        <v>46112</v>
      </c>
      <c r="S354"/>
      <c r="V354"/>
      <c r="W354"/>
      <c r="Y354"/>
      <c r="Z354"/>
      <c r="AA354"/>
    </row>
    <row r="355" spans="14:27" hidden="1" x14ac:dyDescent="0.35">
      <c r="N355" s="11">
        <f t="shared" ca="1" si="6"/>
        <v>46112</v>
      </c>
      <c r="S355"/>
      <c r="V355"/>
      <c r="W355"/>
      <c r="Y355"/>
      <c r="Z355"/>
      <c r="AA355"/>
    </row>
    <row r="356" spans="14:27" hidden="1" x14ac:dyDescent="0.35">
      <c r="N356" s="11">
        <f t="shared" ca="1" si="6"/>
        <v>46112</v>
      </c>
      <c r="S356"/>
      <c r="V356"/>
      <c r="W356"/>
      <c r="Y356"/>
      <c r="Z356"/>
      <c r="AA356"/>
    </row>
    <row r="357" spans="14:27" hidden="1" x14ac:dyDescent="0.35">
      <c r="N357" s="11">
        <f t="shared" ca="1" si="6"/>
        <v>46112</v>
      </c>
      <c r="S357"/>
      <c r="V357"/>
      <c r="W357"/>
      <c r="Y357"/>
      <c r="Z357"/>
      <c r="AA357"/>
    </row>
    <row r="358" spans="14:27" hidden="1" x14ac:dyDescent="0.35">
      <c r="N358" s="11">
        <f t="shared" ca="1" si="6"/>
        <v>46112</v>
      </c>
      <c r="S358"/>
      <c r="V358"/>
      <c r="W358"/>
      <c r="Y358"/>
      <c r="Z358"/>
      <c r="AA358"/>
    </row>
    <row r="359" spans="14:27" hidden="1" x14ac:dyDescent="0.35">
      <c r="N359" s="11">
        <f t="shared" ca="1" si="6"/>
        <v>46112</v>
      </c>
      <c r="S359"/>
      <c r="V359"/>
      <c r="W359"/>
      <c r="Y359"/>
      <c r="Z359"/>
      <c r="AA359"/>
    </row>
    <row r="360" spans="14:27" hidden="1" x14ac:dyDescent="0.35">
      <c r="N360" s="11">
        <f t="shared" ca="1" si="6"/>
        <v>46112</v>
      </c>
      <c r="S360"/>
      <c r="V360"/>
      <c r="W360"/>
      <c r="Y360"/>
      <c r="Z360"/>
      <c r="AA360"/>
    </row>
    <row r="361" spans="14:27" hidden="1" x14ac:dyDescent="0.35">
      <c r="N361" s="11">
        <f t="shared" ca="1" si="6"/>
        <v>46112</v>
      </c>
      <c r="S361"/>
      <c r="V361"/>
      <c r="W361"/>
      <c r="Y361"/>
      <c r="Z361"/>
      <c r="AA361"/>
    </row>
    <row r="362" spans="14:27" hidden="1" x14ac:dyDescent="0.35">
      <c r="N362" s="11">
        <f t="shared" ca="1" si="6"/>
        <v>46112</v>
      </c>
      <c r="S362"/>
      <c r="V362"/>
      <c r="W362"/>
      <c r="Y362"/>
      <c r="Z362"/>
      <c r="AA362"/>
    </row>
    <row r="363" spans="14:27" hidden="1" x14ac:dyDescent="0.35">
      <c r="N363" s="11">
        <f t="shared" ca="1" si="6"/>
        <v>46112</v>
      </c>
      <c r="S363"/>
      <c r="V363"/>
      <c r="W363"/>
      <c r="Y363"/>
      <c r="Z363"/>
      <c r="AA363"/>
    </row>
    <row r="364" spans="14:27" hidden="1" x14ac:dyDescent="0.35">
      <c r="N364" s="11">
        <f t="shared" ca="1" si="6"/>
        <v>46112</v>
      </c>
      <c r="S364"/>
      <c r="V364"/>
      <c r="W364"/>
      <c r="Y364"/>
      <c r="Z364"/>
      <c r="AA364"/>
    </row>
    <row r="365" spans="14:27" hidden="1" x14ac:dyDescent="0.35">
      <c r="N365" s="11">
        <f t="shared" ca="1" si="6"/>
        <v>46112</v>
      </c>
      <c r="S365"/>
      <c r="V365"/>
      <c r="W365"/>
      <c r="Y365"/>
      <c r="Z365"/>
      <c r="AA365"/>
    </row>
    <row r="366" spans="14:27" hidden="1" x14ac:dyDescent="0.35">
      <c r="N366" s="11">
        <f t="shared" ca="1" si="6"/>
        <v>46112</v>
      </c>
      <c r="S366"/>
      <c r="V366"/>
      <c r="W366"/>
      <c r="Y366"/>
      <c r="Z366"/>
      <c r="AA366"/>
    </row>
    <row r="367" spans="14:27" hidden="1" x14ac:dyDescent="0.35">
      <c r="N367" s="11">
        <f t="shared" ca="1" si="6"/>
        <v>46112</v>
      </c>
      <c r="S367"/>
      <c r="V367"/>
      <c r="W367"/>
      <c r="Y367"/>
      <c r="Z367"/>
      <c r="AA367"/>
    </row>
    <row r="368" spans="14:27" hidden="1" x14ac:dyDescent="0.35">
      <c r="N368" s="11">
        <f t="shared" ca="1" si="6"/>
        <v>46112</v>
      </c>
      <c r="S368"/>
      <c r="V368"/>
      <c r="W368"/>
      <c r="Y368"/>
      <c r="Z368"/>
      <c r="AA368"/>
    </row>
    <row r="369" spans="14:27" hidden="1" x14ac:dyDescent="0.35">
      <c r="N369" s="11">
        <f t="shared" ca="1" si="6"/>
        <v>46112</v>
      </c>
      <c r="S369"/>
      <c r="V369"/>
      <c r="W369"/>
      <c r="Y369"/>
      <c r="Z369"/>
      <c r="AA369"/>
    </row>
    <row r="370" spans="14:27" hidden="1" x14ac:dyDescent="0.35">
      <c r="N370" s="11">
        <f t="shared" ca="1" si="6"/>
        <v>46112</v>
      </c>
      <c r="S370"/>
      <c r="V370"/>
      <c r="W370"/>
      <c r="Y370"/>
      <c r="Z370"/>
      <c r="AA370"/>
    </row>
    <row r="371" spans="14:27" hidden="1" x14ac:dyDescent="0.35">
      <c r="N371" s="11">
        <f t="shared" ca="1" si="6"/>
        <v>46112</v>
      </c>
      <c r="S371"/>
      <c r="V371"/>
      <c r="W371"/>
      <c r="Y371"/>
      <c r="Z371"/>
      <c r="AA371"/>
    </row>
    <row r="372" spans="14:27" hidden="1" x14ac:dyDescent="0.35">
      <c r="N372" s="11">
        <f t="shared" ca="1" si="6"/>
        <v>46112</v>
      </c>
      <c r="S372"/>
      <c r="V372"/>
      <c r="W372"/>
      <c r="Y372"/>
      <c r="Z372"/>
      <c r="AA372"/>
    </row>
    <row r="373" spans="14:27" hidden="1" x14ac:dyDescent="0.35">
      <c r="N373" s="11">
        <f t="shared" ca="1" si="6"/>
        <v>46112</v>
      </c>
      <c r="S373"/>
      <c r="V373"/>
      <c r="W373"/>
      <c r="Y373"/>
      <c r="Z373"/>
      <c r="AA373"/>
    </row>
    <row r="374" spans="14:27" hidden="1" x14ac:dyDescent="0.35">
      <c r="N374" s="11">
        <f t="shared" ca="1" si="6"/>
        <v>46112</v>
      </c>
      <c r="S374"/>
      <c r="V374"/>
      <c r="W374"/>
      <c r="Y374"/>
      <c r="Z374"/>
      <c r="AA374"/>
    </row>
    <row r="375" spans="14:27" hidden="1" x14ac:dyDescent="0.35">
      <c r="N375" s="11">
        <f t="shared" ca="1" si="6"/>
        <v>46112</v>
      </c>
      <c r="S375"/>
      <c r="V375"/>
      <c r="W375"/>
      <c r="Y375"/>
      <c r="Z375"/>
      <c r="AA375"/>
    </row>
    <row r="376" spans="14:27" hidden="1" x14ac:dyDescent="0.35">
      <c r="N376" s="11">
        <f t="shared" ca="1" si="6"/>
        <v>46112</v>
      </c>
      <c r="S376"/>
      <c r="V376"/>
      <c r="W376"/>
      <c r="Y376"/>
      <c r="Z376"/>
      <c r="AA376"/>
    </row>
    <row r="377" spans="14:27" hidden="1" x14ac:dyDescent="0.35">
      <c r="N377" s="11">
        <f t="shared" ca="1" si="6"/>
        <v>46112</v>
      </c>
      <c r="S377"/>
      <c r="V377"/>
      <c r="W377"/>
      <c r="Y377"/>
      <c r="Z377"/>
      <c r="AA377"/>
    </row>
    <row r="378" spans="14:27" hidden="1" x14ac:dyDescent="0.35">
      <c r="N378" s="11">
        <f t="shared" ca="1" si="6"/>
        <v>46112</v>
      </c>
      <c r="S378"/>
      <c r="V378"/>
      <c r="W378"/>
      <c r="Y378"/>
      <c r="Z378"/>
      <c r="AA378"/>
    </row>
    <row r="379" spans="14:27" hidden="1" x14ac:dyDescent="0.35">
      <c r="N379" s="11">
        <f t="shared" ca="1" si="6"/>
        <v>46112</v>
      </c>
      <c r="S379"/>
      <c r="V379"/>
      <c r="W379"/>
      <c r="Y379"/>
      <c r="Z379"/>
      <c r="AA379"/>
    </row>
    <row r="380" spans="14:27" hidden="1" x14ac:dyDescent="0.35">
      <c r="N380" s="11">
        <f t="shared" ca="1" si="6"/>
        <v>46112</v>
      </c>
      <c r="S380"/>
      <c r="V380"/>
      <c r="W380"/>
      <c r="Y380"/>
      <c r="Z380"/>
      <c r="AA380"/>
    </row>
    <row r="381" spans="14:27" hidden="1" x14ac:dyDescent="0.35">
      <c r="N381" s="11">
        <f t="shared" ca="1" si="6"/>
        <v>46112</v>
      </c>
      <c r="S381"/>
      <c r="V381"/>
      <c r="W381"/>
      <c r="Y381"/>
      <c r="Z381"/>
      <c r="AA381"/>
    </row>
    <row r="382" spans="14:27" hidden="1" x14ac:dyDescent="0.35">
      <c r="N382" s="11">
        <f t="shared" ca="1" si="6"/>
        <v>46112</v>
      </c>
      <c r="S382"/>
      <c r="V382"/>
      <c r="W382"/>
      <c r="Y382"/>
      <c r="Z382"/>
      <c r="AA382"/>
    </row>
    <row r="383" spans="14:27" hidden="1" x14ac:dyDescent="0.35">
      <c r="N383" s="11">
        <f t="shared" ca="1" si="6"/>
        <v>46112</v>
      </c>
      <c r="S383"/>
      <c r="V383"/>
      <c r="W383"/>
      <c r="Y383"/>
      <c r="Z383"/>
      <c r="AA383"/>
    </row>
    <row r="384" spans="14:27" hidden="1" x14ac:dyDescent="0.35">
      <c r="N384" s="11">
        <f t="shared" ca="1" si="6"/>
        <v>46112</v>
      </c>
      <c r="S384"/>
      <c r="V384"/>
      <c r="W384"/>
      <c r="Y384"/>
      <c r="Z384"/>
      <c r="AA384"/>
    </row>
    <row r="385" spans="14:27" hidden="1" x14ac:dyDescent="0.35">
      <c r="N385" s="11">
        <f t="shared" ca="1" si="6"/>
        <v>46112</v>
      </c>
      <c r="S385"/>
      <c r="V385"/>
      <c r="W385"/>
      <c r="Y385"/>
      <c r="Z385"/>
      <c r="AA385"/>
    </row>
    <row r="386" spans="14:27" hidden="1" x14ac:dyDescent="0.35">
      <c r="N386" s="11">
        <f t="shared" ca="1" si="6"/>
        <v>46112</v>
      </c>
      <c r="S386"/>
      <c r="V386"/>
      <c r="W386"/>
      <c r="Y386"/>
      <c r="Z386"/>
      <c r="AA386"/>
    </row>
    <row r="387" spans="14:27" hidden="1" x14ac:dyDescent="0.35">
      <c r="N387" s="11">
        <f t="shared" ca="1" si="6"/>
        <v>46112</v>
      </c>
      <c r="S387"/>
      <c r="V387"/>
      <c r="W387"/>
      <c r="Y387"/>
      <c r="Z387"/>
      <c r="AA387"/>
    </row>
    <row r="388" spans="14:27" hidden="1" x14ac:dyDescent="0.35">
      <c r="N388" s="11">
        <f t="shared" ca="1" si="6"/>
        <v>46112</v>
      </c>
      <c r="S388"/>
      <c r="V388"/>
      <c r="W388"/>
      <c r="Y388"/>
      <c r="Z388"/>
      <c r="AA388"/>
    </row>
    <row r="389" spans="14:27" hidden="1" x14ac:dyDescent="0.35">
      <c r="N389" s="11">
        <f t="shared" ca="1" si="6"/>
        <v>46112</v>
      </c>
      <c r="S389"/>
      <c r="V389"/>
      <c r="W389"/>
      <c r="Y389"/>
      <c r="Z389"/>
      <c r="AA389"/>
    </row>
    <row r="390" spans="14:27" hidden="1" x14ac:dyDescent="0.35">
      <c r="N390" s="11">
        <f t="shared" ca="1" si="6"/>
        <v>46112</v>
      </c>
      <c r="S390"/>
      <c r="V390"/>
      <c r="W390"/>
      <c r="Y390"/>
      <c r="Z390"/>
      <c r="AA390"/>
    </row>
    <row r="391" spans="14:27" hidden="1" x14ac:dyDescent="0.35">
      <c r="N391" s="11">
        <f t="shared" ref="N391:N454" ca="1" si="7">DATEDIF(H391,TODAY(),"d")</f>
        <v>46112</v>
      </c>
      <c r="S391"/>
      <c r="V391"/>
      <c r="W391"/>
      <c r="Y391"/>
      <c r="Z391"/>
      <c r="AA391"/>
    </row>
    <row r="392" spans="14:27" hidden="1" x14ac:dyDescent="0.35">
      <c r="N392" s="11">
        <f t="shared" ca="1" si="7"/>
        <v>46112</v>
      </c>
      <c r="S392"/>
      <c r="V392"/>
      <c r="W392"/>
      <c r="Y392"/>
      <c r="Z392"/>
      <c r="AA392"/>
    </row>
    <row r="393" spans="14:27" hidden="1" x14ac:dyDescent="0.35">
      <c r="N393" s="11">
        <f t="shared" ca="1" si="7"/>
        <v>46112</v>
      </c>
      <c r="S393"/>
      <c r="V393"/>
      <c r="W393"/>
      <c r="Y393"/>
      <c r="Z393"/>
      <c r="AA393"/>
    </row>
    <row r="394" spans="14:27" hidden="1" x14ac:dyDescent="0.35">
      <c r="N394" s="11">
        <f t="shared" ca="1" si="7"/>
        <v>46112</v>
      </c>
      <c r="S394"/>
      <c r="V394"/>
      <c r="W394"/>
      <c r="Y394"/>
      <c r="Z394"/>
      <c r="AA394"/>
    </row>
    <row r="395" spans="14:27" hidden="1" x14ac:dyDescent="0.35">
      <c r="N395" s="11">
        <f t="shared" ca="1" si="7"/>
        <v>46112</v>
      </c>
      <c r="S395"/>
      <c r="V395"/>
      <c r="W395"/>
      <c r="Y395"/>
      <c r="Z395"/>
      <c r="AA395"/>
    </row>
    <row r="396" spans="14:27" hidden="1" x14ac:dyDescent="0.35">
      <c r="N396" s="11">
        <f t="shared" ca="1" si="7"/>
        <v>46112</v>
      </c>
      <c r="S396"/>
      <c r="V396"/>
      <c r="W396"/>
      <c r="Y396"/>
      <c r="Z396"/>
      <c r="AA396"/>
    </row>
    <row r="397" spans="14:27" hidden="1" x14ac:dyDescent="0.35">
      <c r="N397" s="11">
        <f t="shared" ca="1" si="7"/>
        <v>46112</v>
      </c>
      <c r="S397"/>
      <c r="V397"/>
      <c r="W397"/>
      <c r="Y397"/>
      <c r="Z397"/>
      <c r="AA397"/>
    </row>
    <row r="398" spans="14:27" hidden="1" x14ac:dyDescent="0.35">
      <c r="N398" s="11">
        <f t="shared" ca="1" si="7"/>
        <v>46112</v>
      </c>
      <c r="S398"/>
      <c r="V398"/>
      <c r="W398"/>
      <c r="Y398"/>
      <c r="Z398"/>
      <c r="AA398"/>
    </row>
    <row r="399" spans="14:27" hidden="1" x14ac:dyDescent="0.35">
      <c r="N399" s="11">
        <f t="shared" ca="1" si="7"/>
        <v>46112</v>
      </c>
      <c r="S399"/>
      <c r="V399"/>
      <c r="W399"/>
      <c r="Y399"/>
      <c r="Z399"/>
      <c r="AA399"/>
    </row>
    <row r="400" spans="14:27" hidden="1" x14ac:dyDescent="0.35">
      <c r="N400" s="11">
        <f t="shared" ca="1" si="7"/>
        <v>46112</v>
      </c>
      <c r="S400"/>
      <c r="V400"/>
      <c r="W400"/>
      <c r="Y400"/>
      <c r="Z400"/>
      <c r="AA400"/>
    </row>
    <row r="401" spans="14:27" hidden="1" x14ac:dyDescent="0.35">
      <c r="N401" s="11">
        <f t="shared" ca="1" si="7"/>
        <v>46112</v>
      </c>
      <c r="S401"/>
      <c r="V401"/>
      <c r="W401"/>
      <c r="Y401"/>
      <c r="Z401"/>
      <c r="AA401"/>
    </row>
    <row r="402" spans="14:27" hidden="1" x14ac:dyDescent="0.35">
      <c r="N402" s="11">
        <f t="shared" ca="1" si="7"/>
        <v>46112</v>
      </c>
      <c r="S402"/>
      <c r="V402"/>
      <c r="W402"/>
      <c r="Y402"/>
      <c r="Z402"/>
      <c r="AA402"/>
    </row>
    <row r="403" spans="14:27" hidden="1" x14ac:dyDescent="0.35">
      <c r="N403" s="11">
        <f t="shared" ca="1" si="7"/>
        <v>46112</v>
      </c>
      <c r="S403"/>
      <c r="V403"/>
      <c r="W403"/>
      <c r="Y403"/>
      <c r="Z403"/>
      <c r="AA403"/>
    </row>
    <row r="404" spans="14:27" hidden="1" x14ac:dyDescent="0.35">
      <c r="N404" s="11">
        <f t="shared" ca="1" si="7"/>
        <v>46112</v>
      </c>
      <c r="S404"/>
      <c r="V404"/>
      <c r="W404"/>
      <c r="Y404"/>
      <c r="Z404"/>
      <c r="AA404"/>
    </row>
    <row r="405" spans="14:27" hidden="1" x14ac:dyDescent="0.35">
      <c r="N405" s="11">
        <f t="shared" ca="1" si="7"/>
        <v>46112</v>
      </c>
      <c r="S405"/>
      <c r="V405"/>
      <c r="W405"/>
      <c r="Y405"/>
      <c r="Z405"/>
      <c r="AA405"/>
    </row>
    <row r="406" spans="14:27" hidden="1" x14ac:dyDescent="0.35">
      <c r="N406" s="11">
        <f t="shared" ca="1" si="7"/>
        <v>46112</v>
      </c>
      <c r="S406"/>
      <c r="V406"/>
      <c r="W406"/>
      <c r="Y406"/>
      <c r="Z406"/>
      <c r="AA406"/>
    </row>
    <row r="407" spans="14:27" hidden="1" x14ac:dyDescent="0.35">
      <c r="N407" s="11">
        <f t="shared" ca="1" si="7"/>
        <v>46112</v>
      </c>
      <c r="S407"/>
      <c r="V407"/>
      <c r="W407"/>
      <c r="Y407"/>
      <c r="Z407"/>
      <c r="AA407"/>
    </row>
    <row r="408" spans="14:27" hidden="1" x14ac:dyDescent="0.35">
      <c r="N408" s="11">
        <f t="shared" ca="1" si="7"/>
        <v>46112</v>
      </c>
      <c r="S408"/>
      <c r="V408"/>
      <c r="W408"/>
      <c r="Y408"/>
      <c r="Z408"/>
      <c r="AA408"/>
    </row>
    <row r="409" spans="14:27" hidden="1" x14ac:dyDescent="0.35">
      <c r="N409" s="11">
        <f t="shared" ca="1" si="7"/>
        <v>46112</v>
      </c>
      <c r="S409"/>
      <c r="V409"/>
      <c r="W409"/>
      <c r="Y409"/>
      <c r="Z409"/>
      <c r="AA409"/>
    </row>
    <row r="410" spans="14:27" hidden="1" x14ac:dyDescent="0.35">
      <c r="N410" s="11">
        <f t="shared" ca="1" si="7"/>
        <v>46112</v>
      </c>
      <c r="S410"/>
      <c r="V410"/>
      <c r="W410"/>
      <c r="Y410"/>
      <c r="Z410"/>
      <c r="AA410"/>
    </row>
    <row r="411" spans="14:27" hidden="1" x14ac:dyDescent="0.35">
      <c r="N411" s="11">
        <f t="shared" ca="1" si="7"/>
        <v>46112</v>
      </c>
      <c r="S411"/>
      <c r="V411"/>
      <c r="W411"/>
      <c r="Y411"/>
      <c r="Z411"/>
      <c r="AA411"/>
    </row>
    <row r="412" spans="14:27" hidden="1" x14ac:dyDescent="0.35">
      <c r="N412" s="11">
        <f t="shared" ca="1" si="7"/>
        <v>46112</v>
      </c>
      <c r="S412"/>
      <c r="V412"/>
      <c r="W412"/>
      <c r="Y412"/>
      <c r="Z412"/>
      <c r="AA412"/>
    </row>
    <row r="413" spans="14:27" hidden="1" x14ac:dyDescent="0.35">
      <c r="N413" s="11">
        <f t="shared" ca="1" si="7"/>
        <v>46112</v>
      </c>
      <c r="S413"/>
      <c r="V413"/>
      <c r="W413"/>
      <c r="Y413"/>
      <c r="Z413"/>
      <c r="AA413"/>
    </row>
    <row r="414" spans="14:27" hidden="1" x14ac:dyDescent="0.35">
      <c r="N414" s="11">
        <f t="shared" ca="1" si="7"/>
        <v>46112</v>
      </c>
      <c r="S414"/>
      <c r="V414"/>
      <c r="W414"/>
      <c r="Y414"/>
      <c r="Z414"/>
      <c r="AA414"/>
    </row>
    <row r="415" spans="14:27" hidden="1" x14ac:dyDescent="0.35">
      <c r="N415" s="11">
        <f t="shared" ca="1" si="7"/>
        <v>46112</v>
      </c>
      <c r="S415"/>
      <c r="V415"/>
      <c r="W415"/>
      <c r="Y415"/>
      <c r="Z415"/>
      <c r="AA415"/>
    </row>
    <row r="416" spans="14:27" hidden="1" x14ac:dyDescent="0.35">
      <c r="N416" s="11">
        <f t="shared" ca="1" si="7"/>
        <v>46112</v>
      </c>
      <c r="S416"/>
      <c r="V416"/>
      <c r="W416"/>
      <c r="Y416"/>
      <c r="Z416"/>
      <c r="AA416"/>
    </row>
    <row r="417" spans="14:27" hidden="1" x14ac:dyDescent="0.35">
      <c r="N417" s="11">
        <f t="shared" ca="1" si="7"/>
        <v>46112</v>
      </c>
      <c r="S417"/>
      <c r="V417"/>
      <c r="W417"/>
      <c r="Y417"/>
      <c r="Z417"/>
      <c r="AA417"/>
    </row>
    <row r="418" spans="14:27" hidden="1" x14ac:dyDescent="0.35">
      <c r="N418" s="11">
        <f t="shared" ca="1" si="7"/>
        <v>46112</v>
      </c>
      <c r="S418"/>
      <c r="V418"/>
      <c r="W418"/>
      <c r="Y418"/>
      <c r="Z418"/>
      <c r="AA418"/>
    </row>
    <row r="419" spans="14:27" hidden="1" x14ac:dyDescent="0.35">
      <c r="N419" s="11">
        <f t="shared" ca="1" si="7"/>
        <v>46112</v>
      </c>
      <c r="S419"/>
      <c r="V419"/>
      <c r="W419"/>
      <c r="Y419"/>
      <c r="Z419"/>
      <c r="AA419"/>
    </row>
    <row r="420" spans="14:27" hidden="1" x14ac:dyDescent="0.35">
      <c r="N420" s="11">
        <f t="shared" ca="1" si="7"/>
        <v>46112</v>
      </c>
      <c r="S420"/>
      <c r="V420"/>
      <c r="W420"/>
      <c r="Y420"/>
      <c r="Z420"/>
      <c r="AA420"/>
    </row>
    <row r="421" spans="14:27" hidden="1" x14ac:dyDescent="0.35">
      <c r="N421" s="11">
        <f t="shared" ca="1" si="7"/>
        <v>46112</v>
      </c>
      <c r="S421"/>
      <c r="V421"/>
      <c r="W421"/>
      <c r="Y421"/>
      <c r="Z421"/>
      <c r="AA421"/>
    </row>
    <row r="422" spans="14:27" hidden="1" x14ac:dyDescent="0.35">
      <c r="N422" s="11">
        <f t="shared" ca="1" si="7"/>
        <v>46112</v>
      </c>
      <c r="S422"/>
      <c r="V422"/>
      <c r="W422"/>
      <c r="Y422"/>
      <c r="Z422"/>
      <c r="AA422"/>
    </row>
    <row r="423" spans="14:27" hidden="1" x14ac:dyDescent="0.35">
      <c r="N423" s="11">
        <f t="shared" ca="1" si="7"/>
        <v>46112</v>
      </c>
      <c r="S423"/>
      <c r="V423"/>
      <c r="W423"/>
      <c r="Y423"/>
      <c r="Z423"/>
      <c r="AA423"/>
    </row>
    <row r="424" spans="14:27" hidden="1" x14ac:dyDescent="0.35">
      <c r="N424" s="11">
        <f t="shared" ca="1" si="7"/>
        <v>46112</v>
      </c>
      <c r="S424"/>
      <c r="V424"/>
      <c r="W424"/>
      <c r="Y424"/>
      <c r="Z424"/>
      <c r="AA424"/>
    </row>
    <row r="425" spans="14:27" hidden="1" x14ac:dyDescent="0.35">
      <c r="N425" s="11">
        <f t="shared" ca="1" si="7"/>
        <v>46112</v>
      </c>
      <c r="S425"/>
      <c r="V425"/>
      <c r="W425"/>
      <c r="Y425"/>
      <c r="Z425"/>
      <c r="AA425"/>
    </row>
    <row r="426" spans="14:27" hidden="1" x14ac:dyDescent="0.35">
      <c r="N426" s="11">
        <f t="shared" ca="1" si="7"/>
        <v>46112</v>
      </c>
      <c r="S426"/>
      <c r="V426"/>
      <c r="W426"/>
      <c r="Y426"/>
      <c r="Z426"/>
      <c r="AA426"/>
    </row>
    <row r="427" spans="14:27" hidden="1" x14ac:dyDescent="0.35">
      <c r="N427" s="11">
        <f t="shared" ca="1" si="7"/>
        <v>46112</v>
      </c>
      <c r="S427"/>
      <c r="V427"/>
      <c r="W427"/>
      <c r="Y427"/>
      <c r="Z427"/>
      <c r="AA427"/>
    </row>
    <row r="428" spans="14:27" hidden="1" x14ac:dyDescent="0.35">
      <c r="N428" s="11">
        <f t="shared" ca="1" si="7"/>
        <v>46112</v>
      </c>
      <c r="S428"/>
      <c r="V428"/>
      <c r="W428"/>
      <c r="Y428"/>
      <c r="Z428"/>
      <c r="AA428"/>
    </row>
    <row r="429" spans="14:27" hidden="1" x14ac:dyDescent="0.35">
      <c r="N429" s="11">
        <f t="shared" ca="1" si="7"/>
        <v>46112</v>
      </c>
      <c r="S429"/>
      <c r="V429"/>
      <c r="W429"/>
      <c r="Y429"/>
      <c r="Z429"/>
      <c r="AA429"/>
    </row>
    <row r="430" spans="14:27" hidden="1" x14ac:dyDescent="0.35">
      <c r="N430" s="11">
        <f t="shared" ca="1" si="7"/>
        <v>46112</v>
      </c>
      <c r="S430"/>
      <c r="V430"/>
      <c r="W430"/>
      <c r="Y430"/>
      <c r="Z430"/>
      <c r="AA430"/>
    </row>
    <row r="431" spans="14:27" hidden="1" x14ac:dyDescent="0.35">
      <c r="N431" s="11">
        <f t="shared" ca="1" si="7"/>
        <v>46112</v>
      </c>
      <c r="S431"/>
      <c r="V431"/>
      <c r="W431"/>
      <c r="Y431"/>
      <c r="Z431"/>
      <c r="AA431"/>
    </row>
    <row r="432" spans="14:27" hidden="1" x14ac:dyDescent="0.35">
      <c r="N432" s="11">
        <f t="shared" ca="1" si="7"/>
        <v>46112</v>
      </c>
      <c r="S432"/>
      <c r="V432"/>
      <c r="W432"/>
      <c r="Y432"/>
      <c r="Z432"/>
      <c r="AA432"/>
    </row>
    <row r="433" spans="14:27" hidden="1" x14ac:dyDescent="0.35">
      <c r="N433" s="11">
        <f t="shared" ca="1" si="7"/>
        <v>46112</v>
      </c>
      <c r="S433"/>
      <c r="V433"/>
      <c r="W433"/>
      <c r="Y433"/>
      <c r="Z433"/>
      <c r="AA433"/>
    </row>
    <row r="434" spans="14:27" hidden="1" x14ac:dyDescent="0.35">
      <c r="N434" s="11">
        <f t="shared" ca="1" si="7"/>
        <v>46112</v>
      </c>
      <c r="S434"/>
      <c r="V434"/>
      <c r="W434"/>
      <c r="Y434"/>
      <c r="Z434"/>
      <c r="AA434"/>
    </row>
    <row r="435" spans="14:27" hidden="1" x14ac:dyDescent="0.35">
      <c r="N435" s="11">
        <f t="shared" ca="1" si="7"/>
        <v>46112</v>
      </c>
      <c r="S435"/>
      <c r="V435"/>
      <c r="W435"/>
      <c r="Y435"/>
      <c r="Z435"/>
      <c r="AA435"/>
    </row>
    <row r="436" spans="14:27" hidden="1" x14ac:dyDescent="0.35">
      <c r="N436" s="11">
        <f t="shared" ca="1" si="7"/>
        <v>46112</v>
      </c>
      <c r="S436"/>
      <c r="V436"/>
      <c r="W436"/>
      <c r="Y436"/>
      <c r="Z436"/>
      <c r="AA436"/>
    </row>
    <row r="437" spans="14:27" hidden="1" x14ac:dyDescent="0.35">
      <c r="N437" s="11">
        <f t="shared" ca="1" si="7"/>
        <v>46112</v>
      </c>
      <c r="S437"/>
      <c r="V437"/>
      <c r="W437"/>
      <c r="Y437"/>
      <c r="Z437"/>
      <c r="AA437"/>
    </row>
    <row r="438" spans="14:27" hidden="1" x14ac:dyDescent="0.35">
      <c r="N438" s="11">
        <f t="shared" ca="1" si="7"/>
        <v>46112</v>
      </c>
      <c r="S438"/>
      <c r="V438"/>
      <c r="W438"/>
      <c r="Y438"/>
      <c r="Z438"/>
      <c r="AA438"/>
    </row>
    <row r="439" spans="14:27" hidden="1" x14ac:dyDescent="0.35">
      <c r="N439" s="11">
        <f t="shared" ca="1" si="7"/>
        <v>46112</v>
      </c>
      <c r="S439"/>
      <c r="V439"/>
      <c r="W439"/>
      <c r="Y439"/>
      <c r="Z439"/>
      <c r="AA439"/>
    </row>
    <row r="440" spans="14:27" hidden="1" x14ac:dyDescent="0.35">
      <c r="N440" s="11">
        <f t="shared" ca="1" si="7"/>
        <v>46112</v>
      </c>
      <c r="S440"/>
      <c r="V440"/>
      <c r="W440"/>
      <c r="Y440"/>
      <c r="Z440"/>
      <c r="AA440"/>
    </row>
    <row r="441" spans="14:27" hidden="1" x14ac:dyDescent="0.35">
      <c r="N441" s="11">
        <f t="shared" ca="1" si="7"/>
        <v>46112</v>
      </c>
      <c r="S441"/>
      <c r="V441"/>
      <c r="W441"/>
      <c r="Y441"/>
      <c r="Z441"/>
      <c r="AA441"/>
    </row>
    <row r="442" spans="14:27" hidden="1" x14ac:dyDescent="0.35">
      <c r="N442" s="11">
        <f t="shared" ca="1" si="7"/>
        <v>46112</v>
      </c>
      <c r="S442"/>
      <c r="V442"/>
      <c r="W442"/>
      <c r="Y442"/>
      <c r="Z442"/>
      <c r="AA442"/>
    </row>
    <row r="443" spans="14:27" hidden="1" x14ac:dyDescent="0.35">
      <c r="N443" s="11">
        <f t="shared" ca="1" si="7"/>
        <v>46112</v>
      </c>
      <c r="S443"/>
      <c r="V443"/>
      <c r="W443"/>
      <c r="Y443"/>
      <c r="Z443"/>
      <c r="AA443"/>
    </row>
    <row r="444" spans="14:27" hidden="1" x14ac:dyDescent="0.35">
      <c r="N444" s="11">
        <f t="shared" ca="1" si="7"/>
        <v>46112</v>
      </c>
      <c r="S444"/>
      <c r="V444"/>
      <c r="W444"/>
      <c r="Y444"/>
      <c r="Z444"/>
      <c r="AA444"/>
    </row>
    <row r="445" spans="14:27" hidden="1" x14ac:dyDescent="0.35">
      <c r="N445" s="11">
        <f t="shared" ca="1" si="7"/>
        <v>46112</v>
      </c>
      <c r="S445"/>
      <c r="V445"/>
      <c r="W445"/>
      <c r="Y445"/>
      <c r="Z445"/>
      <c r="AA445"/>
    </row>
    <row r="446" spans="14:27" hidden="1" x14ac:dyDescent="0.35">
      <c r="N446" s="11">
        <f t="shared" ca="1" si="7"/>
        <v>46112</v>
      </c>
      <c r="S446"/>
      <c r="V446"/>
      <c r="W446"/>
      <c r="Y446"/>
      <c r="Z446"/>
      <c r="AA446"/>
    </row>
    <row r="447" spans="14:27" hidden="1" x14ac:dyDescent="0.35">
      <c r="N447" s="11">
        <f t="shared" ca="1" si="7"/>
        <v>46112</v>
      </c>
      <c r="S447"/>
      <c r="V447"/>
      <c r="W447"/>
      <c r="Y447"/>
      <c r="Z447"/>
      <c r="AA447"/>
    </row>
    <row r="448" spans="14:27" hidden="1" x14ac:dyDescent="0.35">
      <c r="N448" s="11">
        <f t="shared" ca="1" si="7"/>
        <v>46112</v>
      </c>
      <c r="S448"/>
      <c r="V448"/>
      <c r="W448"/>
      <c r="Y448"/>
      <c r="Z448"/>
      <c r="AA448"/>
    </row>
    <row r="449" spans="14:27" hidden="1" x14ac:dyDescent="0.35">
      <c r="N449" s="11">
        <f t="shared" ca="1" si="7"/>
        <v>46112</v>
      </c>
      <c r="S449"/>
      <c r="V449"/>
      <c r="W449"/>
      <c r="Y449"/>
      <c r="Z449"/>
      <c r="AA449"/>
    </row>
    <row r="450" spans="14:27" hidden="1" x14ac:dyDescent="0.35">
      <c r="N450" s="11">
        <f t="shared" ca="1" si="7"/>
        <v>46112</v>
      </c>
      <c r="S450"/>
      <c r="V450"/>
      <c r="W450"/>
      <c r="Y450"/>
      <c r="Z450"/>
      <c r="AA450"/>
    </row>
    <row r="451" spans="14:27" hidden="1" x14ac:dyDescent="0.35">
      <c r="N451" s="11">
        <f t="shared" ca="1" si="7"/>
        <v>46112</v>
      </c>
      <c r="S451"/>
      <c r="V451"/>
      <c r="W451"/>
      <c r="Y451"/>
      <c r="Z451"/>
      <c r="AA451"/>
    </row>
    <row r="452" spans="14:27" hidden="1" x14ac:dyDescent="0.35">
      <c r="N452" s="11">
        <f t="shared" ca="1" si="7"/>
        <v>46112</v>
      </c>
      <c r="S452"/>
      <c r="V452"/>
      <c r="W452"/>
      <c r="Y452"/>
      <c r="Z452"/>
      <c r="AA452"/>
    </row>
    <row r="453" spans="14:27" hidden="1" x14ac:dyDescent="0.35">
      <c r="N453" s="11">
        <f t="shared" ca="1" si="7"/>
        <v>46112</v>
      </c>
      <c r="S453"/>
      <c r="V453"/>
      <c r="W453"/>
      <c r="Y453"/>
      <c r="Z453"/>
      <c r="AA453"/>
    </row>
    <row r="454" spans="14:27" hidden="1" x14ac:dyDescent="0.35">
      <c r="N454" s="11">
        <f t="shared" ca="1" si="7"/>
        <v>46112</v>
      </c>
      <c r="S454"/>
      <c r="V454"/>
      <c r="W454"/>
      <c r="Y454"/>
      <c r="Z454"/>
      <c r="AA454"/>
    </row>
    <row r="455" spans="14:27" hidden="1" x14ac:dyDescent="0.35">
      <c r="N455" s="11">
        <f t="shared" ref="N455:N476" ca="1" si="8">DATEDIF(H455,TODAY(),"d")</f>
        <v>46112</v>
      </c>
      <c r="S455"/>
      <c r="V455"/>
      <c r="W455"/>
      <c r="Y455"/>
      <c r="Z455"/>
      <c r="AA455"/>
    </row>
    <row r="456" spans="14:27" hidden="1" x14ac:dyDescent="0.35">
      <c r="N456" s="11">
        <f t="shared" ca="1" si="8"/>
        <v>46112</v>
      </c>
      <c r="S456"/>
      <c r="V456"/>
      <c r="W456"/>
      <c r="Y456"/>
      <c r="Z456"/>
      <c r="AA456"/>
    </row>
    <row r="457" spans="14:27" hidden="1" x14ac:dyDescent="0.35">
      <c r="N457" s="11">
        <f t="shared" ca="1" si="8"/>
        <v>46112</v>
      </c>
      <c r="S457"/>
      <c r="V457"/>
      <c r="W457"/>
      <c r="Y457"/>
      <c r="Z457"/>
      <c r="AA457"/>
    </row>
    <row r="458" spans="14:27" hidden="1" x14ac:dyDescent="0.35">
      <c r="N458" s="11">
        <f t="shared" ca="1" si="8"/>
        <v>46112</v>
      </c>
      <c r="S458"/>
      <c r="V458"/>
      <c r="W458"/>
      <c r="Y458"/>
      <c r="Z458"/>
      <c r="AA458"/>
    </row>
    <row r="459" spans="14:27" hidden="1" x14ac:dyDescent="0.35">
      <c r="N459" s="11">
        <f t="shared" ca="1" si="8"/>
        <v>46112</v>
      </c>
      <c r="S459"/>
      <c r="V459"/>
      <c r="W459"/>
      <c r="Y459"/>
      <c r="Z459"/>
      <c r="AA459"/>
    </row>
    <row r="460" spans="14:27" hidden="1" x14ac:dyDescent="0.35">
      <c r="N460" s="11">
        <f t="shared" ca="1" si="8"/>
        <v>46112</v>
      </c>
      <c r="S460"/>
      <c r="V460"/>
      <c r="W460"/>
      <c r="Y460"/>
      <c r="Z460"/>
      <c r="AA460"/>
    </row>
    <row r="461" spans="14:27" hidden="1" x14ac:dyDescent="0.35">
      <c r="N461" s="11">
        <f t="shared" ca="1" si="8"/>
        <v>46112</v>
      </c>
      <c r="S461"/>
      <c r="V461"/>
      <c r="W461"/>
      <c r="Y461"/>
      <c r="Z461"/>
      <c r="AA461"/>
    </row>
    <row r="462" spans="14:27" hidden="1" x14ac:dyDescent="0.35">
      <c r="N462" s="11">
        <f t="shared" ca="1" si="8"/>
        <v>46112</v>
      </c>
      <c r="S462"/>
      <c r="V462"/>
      <c r="W462"/>
      <c r="Y462"/>
      <c r="Z462"/>
      <c r="AA462"/>
    </row>
    <row r="463" spans="14:27" hidden="1" x14ac:dyDescent="0.35">
      <c r="N463" s="11">
        <f t="shared" ca="1" si="8"/>
        <v>46112</v>
      </c>
      <c r="S463"/>
      <c r="V463"/>
      <c r="W463"/>
      <c r="Y463"/>
      <c r="Z463"/>
      <c r="AA463"/>
    </row>
    <row r="464" spans="14:27" hidden="1" x14ac:dyDescent="0.35">
      <c r="N464" s="11">
        <f t="shared" ca="1" si="8"/>
        <v>46112</v>
      </c>
      <c r="S464"/>
      <c r="V464"/>
      <c r="W464"/>
      <c r="Y464"/>
      <c r="Z464"/>
      <c r="AA464"/>
    </row>
    <row r="465" spans="1:28" hidden="1" x14ac:dyDescent="0.35">
      <c r="N465" s="11">
        <f t="shared" ca="1" si="8"/>
        <v>46112</v>
      </c>
      <c r="S465"/>
      <c r="V465"/>
      <c r="W465"/>
      <c r="Y465"/>
      <c r="Z465"/>
      <c r="AA465"/>
    </row>
    <row r="466" spans="1:28" hidden="1" x14ac:dyDescent="0.35">
      <c r="N466" s="11">
        <f t="shared" ca="1" si="8"/>
        <v>46112</v>
      </c>
      <c r="S466"/>
      <c r="V466"/>
      <c r="W466"/>
      <c r="Y466"/>
      <c r="Z466"/>
      <c r="AA466"/>
    </row>
    <row r="467" spans="1:28" hidden="1" x14ac:dyDescent="0.35">
      <c r="N467" s="11">
        <f t="shared" ca="1" si="8"/>
        <v>46112</v>
      </c>
      <c r="S467"/>
      <c r="V467"/>
      <c r="W467"/>
      <c r="Y467"/>
      <c r="Z467"/>
      <c r="AA467"/>
    </row>
    <row r="468" spans="1:28" hidden="1" x14ac:dyDescent="0.35">
      <c r="N468" s="11">
        <f t="shared" ca="1" si="8"/>
        <v>46112</v>
      </c>
      <c r="S468"/>
      <c r="V468"/>
      <c r="W468"/>
      <c r="Y468"/>
      <c r="Z468"/>
      <c r="AA468"/>
    </row>
    <row r="469" spans="1:28" hidden="1" x14ac:dyDescent="0.35">
      <c r="N469" s="11">
        <f t="shared" ca="1" si="8"/>
        <v>46112</v>
      </c>
      <c r="S469"/>
      <c r="V469"/>
      <c r="W469"/>
      <c r="Y469"/>
      <c r="Z469"/>
      <c r="AA469"/>
    </row>
    <row r="470" spans="1:28" hidden="1" x14ac:dyDescent="0.35">
      <c r="N470" s="11">
        <f t="shared" ca="1" si="8"/>
        <v>46112</v>
      </c>
      <c r="S470"/>
      <c r="V470"/>
      <c r="W470"/>
      <c r="Y470"/>
      <c r="Z470"/>
      <c r="AA470"/>
    </row>
    <row r="471" spans="1:28" hidden="1" x14ac:dyDescent="0.35">
      <c r="N471" s="11">
        <f t="shared" ca="1" si="8"/>
        <v>46112</v>
      </c>
      <c r="S471"/>
      <c r="V471"/>
      <c r="W471"/>
      <c r="Y471"/>
      <c r="Z471"/>
      <c r="AA471"/>
    </row>
    <row r="472" spans="1:28" hidden="1" x14ac:dyDescent="0.35">
      <c r="N472" s="11">
        <f t="shared" ca="1" si="8"/>
        <v>46112</v>
      </c>
      <c r="S472"/>
      <c r="V472"/>
      <c r="W472"/>
      <c r="Y472"/>
      <c r="Z472"/>
      <c r="AA472"/>
    </row>
    <row r="473" spans="1:28" hidden="1" x14ac:dyDescent="0.35">
      <c r="N473" s="11">
        <f t="shared" ca="1" si="8"/>
        <v>46112</v>
      </c>
      <c r="S473"/>
      <c r="V473"/>
      <c r="W473"/>
      <c r="Y473"/>
      <c r="Z473"/>
      <c r="AA473"/>
    </row>
    <row r="474" spans="1:28" hidden="1" x14ac:dyDescent="0.35">
      <c r="N474" s="11">
        <f t="shared" ca="1" si="8"/>
        <v>46112</v>
      </c>
      <c r="S474"/>
      <c r="V474"/>
      <c r="W474"/>
      <c r="Y474"/>
      <c r="Z474"/>
      <c r="AA474"/>
    </row>
    <row r="475" spans="1:28" hidden="1" x14ac:dyDescent="0.35">
      <c r="N475" s="11">
        <f t="shared" ca="1" si="8"/>
        <v>46112</v>
      </c>
      <c r="S475"/>
      <c r="V475"/>
      <c r="W475"/>
      <c r="Y475"/>
      <c r="Z475"/>
      <c r="AA475"/>
    </row>
    <row r="476" spans="1:28" hidden="1" x14ac:dyDescent="0.35">
      <c r="N476" s="11">
        <f t="shared" ca="1" si="8"/>
        <v>46112</v>
      </c>
      <c r="S476"/>
      <c r="V476"/>
      <c r="W476"/>
      <c r="Y476"/>
      <c r="Z476"/>
      <c r="AA476"/>
    </row>
    <row r="477" spans="1:28" ht="87" hidden="1" x14ac:dyDescent="0.35">
      <c r="A477" s="6">
        <v>48</v>
      </c>
      <c r="B477" s="7"/>
      <c r="C477" s="7"/>
      <c r="D477" s="7" t="s">
        <v>444</v>
      </c>
      <c r="E477" s="7" t="s">
        <v>601</v>
      </c>
      <c r="F477" s="7" t="s">
        <v>446</v>
      </c>
      <c r="G477" s="8" t="s">
        <v>599</v>
      </c>
      <c r="H477" s="7" t="s">
        <v>600</v>
      </c>
      <c r="I477" s="7" t="s">
        <v>100</v>
      </c>
      <c r="J477" s="9" t="s">
        <v>7</v>
      </c>
      <c r="K477" s="9"/>
      <c r="L477" s="9"/>
      <c r="M477" s="9"/>
      <c r="N477" s="11"/>
      <c r="O477" s="129"/>
      <c r="P477" s="129"/>
      <c r="Q477" s="130"/>
      <c r="R477" s="104" t="s">
        <v>642</v>
      </c>
      <c r="S477"/>
      <c r="V477"/>
      <c r="W477"/>
      <c r="Y477"/>
      <c r="Z477"/>
      <c r="AA477"/>
    </row>
    <row r="478" spans="1:28" ht="118" customHeight="1" x14ac:dyDescent="0.35">
      <c r="A478" s="6">
        <v>49</v>
      </c>
      <c r="B478" s="39"/>
      <c r="C478" s="39"/>
      <c r="D478" s="196" t="s">
        <v>611</v>
      </c>
      <c r="E478" s="196" t="s">
        <v>610</v>
      </c>
      <c r="F478" s="196">
        <v>719</v>
      </c>
      <c r="G478" s="39"/>
      <c r="H478" s="9">
        <v>45865</v>
      </c>
      <c r="I478" s="7" t="s">
        <v>100</v>
      </c>
      <c r="J478" s="39" t="s">
        <v>507</v>
      </c>
      <c r="K478" s="13"/>
      <c r="L478" s="13"/>
      <c r="M478" s="13"/>
      <c r="N478" s="13"/>
      <c r="O478" s="196"/>
      <c r="P478" s="13"/>
      <c r="Q478" s="89"/>
      <c r="R478" s="260" t="s">
        <v>626</v>
      </c>
      <c r="S478" s="254" t="s">
        <v>750</v>
      </c>
      <c r="T478" s="254" t="s">
        <v>750</v>
      </c>
      <c r="U478" s="243" t="s">
        <v>804</v>
      </c>
      <c r="V478" s="25" t="s">
        <v>806</v>
      </c>
      <c r="W478" s="53" t="s">
        <v>845</v>
      </c>
      <c r="X478" s="53" t="s">
        <v>887</v>
      </c>
      <c r="Y478" s="53" t="s">
        <v>902</v>
      </c>
      <c r="Z478" s="53" t="s">
        <v>951</v>
      </c>
      <c r="AA478" s="53"/>
      <c r="AB478" s="123"/>
    </row>
    <row r="479" spans="1:28" ht="101.5" x14ac:dyDescent="0.35">
      <c r="A479" s="6">
        <v>50</v>
      </c>
      <c r="B479" s="39"/>
      <c r="C479" s="39"/>
      <c r="D479" s="196" t="s">
        <v>611</v>
      </c>
      <c r="E479" s="196" t="s">
        <v>610</v>
      </c>
      <c r="F479" s="196">
        <v>701</v>
      </c>
      <c r="G479" s="39"/>
      <c r="H479" s="9">
        <v>45865</v>
      </c>
      <c r="I479" s="7" t="s">
        <v>100</v>
      </c>
      <c r="J479" s="39" t="s">
        <v>507</v>
      </c>
      <c r="K479" s="13"/>
      <c r="L479" s="13"/>
      <c r="M479" s="13"/>
      <c r="N479" s="13"/>
      <c r="O479" s="196"/>
      <c r="P479" s="13"/>
      <c r="Q479" s="89"/>
      <c r="R479" s="261"/>
      <c r="S479" s="255"/>
      <c r="T479" s="255"/>
      <c r="U479" s="244"/>
      <c r="V479" s="25" t="s">
        <v>806</v>
      </c>
      <c r="W479" s="53" t="s">
        <v>845</v>
      </c>
      <c r="X479" s="53" t="s">
        <v>887</v>
      </c>
      <c r="Y479" s="53" t="s">
        <v>902</v>
      </c>
      <c r="Z479" s="53" t="s">
        <v>951</v>
      </c>
      <c r="AA479" s="53"/>
      <c r="AB479" s="123"/>
    </row>
    <row r="480" spans="1:28" ht="101.5" x14ac:dyDescent="0.35">
      <c r="A480" s="6">
        <v>51</v>
      </c>
      <c r="B480" s="39"/>
      <c r="C480" s="39"/>
      <c r="D480" s="196" t="s">
        <v>611</v>
      </c>
      <c r="E480" s="196" t="s">
        <v>610</v>
      </c>
      <c r="F480" s="196">
        <v>712</v>
      </c>
      <c r="G480" s="39"/>
      <c r="H480" s="9">
        <v>45865</v>
      </c>
      <c r="I480" s="7" t="s">
        <v>100</v>
      </c>
      <c r="J480" s="39" t="s">
        <v>507</v>
      </c>
      <c r="K480" s="13"/>
      <c r="L480" s="13"/>
      <c r="M480" s="13"/>
      <c r="N480" s="13"/>
      <c r="O480" s="196"/>
      <c r="P480" s="13"/>
      <c r="Q480" s="89"/>
      <c r="R480" s="261"/>
      <c r="S480" s="255"/>
      <c r="T480" s="255"/>
      <c r="U480" s="244"/>
      <c r="V480" s="25" t="s">
        <v>806</v>
      </c>
      <c r="W480" s="53" t="s">
        <v>845</v>
      </c>
      <c r="X480" s="53" t="s">
        <v>887</v>
      </c>
      <c r="Y480" s="53" t="s">
        <v>902</v>
      </c>
      <c r="Z480" s="53" t="s">
        <v>951</v>
      </c>
      <c r="AA480" s="53"/>
      <c r="AB480" s="123"/>
    </row>
    <row r="481" spans="1:28" ht="101.5" x14ac:dyDescent="0.35">
      <c r="A481" s="6">
        <v>52</v>
      </c>
      <c r="B481" s="39"/>
      <c r="C481" s="39"/>
      <c r="D481" s="196" t="s">
        <v>611</v>
      </c>
      <c r="E481" s="196" t="s">
        <v>610</v>
      </c>
      <c r="F481" s="196">
        <v>720</v>
      </c>
      <c r="G481" s="39"/>
      <c r="H481" s="9">
        <v>45865</v>
      </c>
      <c r="I481" s="7" t="s">
        <v>100</v>
      </c>
      <c r="J481" s="39" t="s">
        <v>507</v>
      </c>
      <c r="K481" s="13"/>
      <c r="L481" s="13"/>
      <c r="M481" s="13"/>
      <c r="N481" s="13"/>
      <c r="O481" s="196"/>
      <c r="P481" s="13"/>
      <c r="Q481" s="89"/>
      <c r="R481" s="261"/>
      <c r="S481" s="255"/>
      <c r="T481" s="255"/>
      <c r="U481" s="244"/>
      <c r="V481" s="25" t="s">
        <v>806</v>
      </c>
      <c r="W481" s="53" t="s">
        <v>845</v>
      </c>
      <c r="X481" s="53" t="s">
        <v>887</v>
      </c>
      <c r="Y481" s="53" t="s">
        <v>902</v>
      </c>
      <c r="Z481" s="53" t="s">
        <v>951</v>
      </c>
      <c r="AA481" s="53"/>
      <c r="AB481" s="123"/>
    </row>
    <row r="482" spans="1:28" ht="101.5" x14ac:dyDescent="0.35">
      <c r="A482" s="6">
        <v>53</v>
      </c>
      <c r="B482" s="39"/>
      <c r="C482" s="39"/>
      <c r="D482" s="196" t="s">
        <v>611</v>
      </c>
      <c r="E482" s="196" t="s">
        <v>612</v>
      </c>
      <c r="F482" s="196" t="s">
        <v>34</v>
      </c>
      <c r="G482" s="39"/>
      <c r="H482" s="9">
        <v>45865</v>
      </c>
      <c r="I482" s="7" t="s">
        <v>100</v>
      </c>
      <c r="J482" s="39" t="s">
        <v>507</v>
      </c>
      <c r="K482" s="13"/>
      <c r="L482" s="13"/>
      <c r="M482" s="13"/>
      <c r="N482" s="13"/>
      <c r="O482" s="196"/>
      <c r="P482" s="13"/>
      <c r="Q482" s="89"/>
      <c r="R482" s="261"/>
      <c r="S482" s="255"/>
      <c r="T482" s="255"/>
      <c r="U482" s="244"/>
      <c r="V482" s="25" t="s">
        <v>806</v>
      </c>
      <c r="W482" s="53" t="s">
        <v>845</v>
      </c>
      <c r="X482" s="53" t="s">
        <v>887</v>
      </c>
      <c r="Y482" s="53" t="s">
        <v>902</v>
      </c>
      <c r="Z482" s="53" t="s">
        <v>951</v>
      </c>
      <c r="AA482" s="53"/>
      <c r="AB482" s="123"/>
    </row>
    <row r="483" spans="1:28" ht="101.5" x14ac:dyDescent="0.35">
      <c r="A483" s="6">
        <v>54</v>
      </c>
      <c r="B483" s="39"/>
      <c r="C483" s="39"/>
      <c r="D483" s="196" t="s">
        <v>611</v>
      </c>
      <c r="E483" s="196" t="s">
        <v>613</v>
      </c>
      <c r="F483" s="196" t="s">
        <v>34</v>
      </c>
      <c r="G483" s="39"/>
      <c r="H483" s="9">
        <v>45865</v>
      </c>
      <c r="I483" s="7" t="s">
        <v>100</v>
      </c>
      <c r="J483" s="39" t="s">
        <v>507</v>
      </c>
      <c r="K483" s="13"/>
      <c r="L483" s="13"/>
      <c r="M483" s="13"/>
      <c r="N483" s="13"/>
      <c r="O483" s="196"/>
      <c r="P483" s="13"/>
      <c r="Q483" s="89"/>
      <c r="R483" s="261"/>
      <c r="S483" s="255"/>
      <c r="T483" s="255"/>
      <c r="U483" s="244"/>
      <c r="V483" s="25" t="s">
        <v>806</v>
      </c>
      <c r="W483" s="53" t="s">
        <v>845</v>
      </c>
      <c r="X483" s="53" t="s">
        <v>887</v>
      </c>
      <c r="Y483" s="53" t="s">
        <v>902</v>
      </c>
      <c r="Z483" s="53" t="s">
        <v>951</v>
      </c>
      <c r="AA483" s="53"/>
      <c r="AB483" s="123"/>
    </row>
    <row r="484" spans="1:28" ht="101.5" x14ac:dyDescent="0.35">
      <c r="A484" s="6">
        <v>55</v>
      </c>
      <c r="B484" s="39"/>
      <c r="C484" s="39"/>
      <c r="D484" s="196" t="s">
        <v>614</v>
      </c>
      <c r="E484" s="196" t="s">
        <v>615</v>
      </c>
      <c r="F484" s="196" t="s">
        <v>34</v>
      </c>
      <c r="G484" s="39"/>
      <c r="H484" s="9">
        <v>45865</v>
      </c>
      <c r="I484" s="7" t="s">
        <v>100</v>
      </c>
      <c r="J484" s="39" t="s">
        <v>507</v>
      </c>
      <c r="K484" s="13"/>
      <c r="L484" s="13"/>
      <c r="M484" s="13"/>
      <c r="N484" s="13"/>
      <c r="O484" s="196"/>
      <c r="P484" s="13"/>
      <c r="Q484" s="89"/>
      <c r="R484" s="262"/>
      <c r="S484" s="256"/>
      <c r="T484" s="256"/>
      <c r="U484" s="245"/>
      <c r="V484" s="25" t="s">
        <v>806</v>
      </c>
      <c r="W484" s="53" t="s">
        <v>845</v>
      </c>
      <c r="X484" s="53" t="s">
        <v>887</v>
      </c>
      <c r="Y484" s="53" t="s">
        <v>902</v>
      </c>
      <c r="Z484" s="53" t="s">
        <v>951</v>
      </c>
      <c r="AA484" s="53"/>
      <c r="AB484" s="123"/>
    </row>
    <row r="485" spans="1:28" ht="58" x14ac:dyDescent="0.35">
      <c r="A485" s="29">
        <v>56</v>
      </c>
      <c r="B485" s="39"/>
      <c r="C485" s="39"/>
      <c r="D485" s="7" t="s">
        <v>645</v>
      </c>
      <c r="E485" s="7" t="s">
        <v>646</v>
      </c>
      <c r="F485" s="7">
        <v>24480047</v>
      </c>
      <c r="G485" s="7" t="s">
        <v>647</v>
      </c>
      <c r="H485" s="175"/>
      <c r="N485" s="13"/>
      <c r="O485" s="176"/>
      <c r="R485" s="88" t="s">
        <v>608</v>
      </c>
      <c r="S485" s="53" t="s">
        <v>751</v>
      </c>
      <c r="T485" s="53" t="s">
        <v>751</v>
      </c>
      <c r="U485" s="124"/>
      <c r="V485" s="25"/>
      <c r="W485" s="183" t="s">
        <v>860</v>
      </c>
      <c r="X485" s="187" t="s">
        <v>860</v>
      </c>
      <c r="Y485" s="53" t="s">
        <v>897</v>
      </c>
      <c r="Z485" s="70" t="s">
        <v>952</v>
      </c>
      <c r="AA485" s="70"/>
      <c r="AB485" s="123"/>
    </row>
    <row r="486" spans="1:28" ht="58" x14ac:dyDescent="0.35">
      <c r="A486" s="29">
        <v>57</v>
      </c>
      <c r="B486" s="39"/>
      <c r="C486" s="39"/>
      <c r="D486" s="7" t="s">
        <v>645</v>
      </c>
      <c r="E486" s="7" t="s">
        <v>648</v>
      </c>
      <c r="F486" s="11">
        <v>9072049003944</v>
      </c>
      <c r="G486" s="7" t="s">
        <v>647</v>
      </c>
      <c r="H486" s="175"/>
      <c r="N486" s="13"/>
      <c r="O486" s="176"/>
      <c r="R486" s="88" t="s">
        <v>608</v>
      </c>
      <c r="S486" s="53" t="s">
        <v>751</v>
      </c>
      <c r="T486" s="53" t="s">
        <v>751</v>
      </c>
      <c r="U486" s="124"/>
      <c r="V486" s="25"/>
      <c r="W486" s="183" t="s">
        <v>531</v>
      </c>
      <c r="X486" s="187" t="s">
        <v>860</v>
      </c>
      <c r="Y486" s="53" t="s">
        <v>897</v>
      </c>
      <c r="Z486" s="70" t="s">
        <v>952</v>
      </c>
      <c r="AA486" s="70"/>
      <c r="AB486" s="123"/>
    </row>
    <row r="487" spans="1:28" ht="58" x14ac:dyDescent="0.35">
      <c r="A487" s="29">
        <f>A486+1</f>
        <v>58</v>
      </c>
      <c r="B487" s="39"/>
      <c r="C487" s="39"/>
      <c r="D487" s="7" t="s">
        <v>645</v>
      </c>
      <c r="E487" s="7" t="s">
        <v>648</v>
      </c>
      <c r="F487" s="11">
        <v>9072049003679</v>
      </c>
      <c r="G487" s="7" t="s">
        <v>647</v>
      </c>
      <c r="H487" s="175"/>
      <c r="N487" s="13"/>
      <c r="O487" s="176"/>
      <c r="R487" s="88" t="s">
        <v>608</v>
      </c>
      <c r="S487" s="53" t="s">
        <v>751</v>
      </c>
      <c r="T487" s="53" t="s">
        <v>751</v>
      </c>
      <c r="U487" s="124"/>
      <c r="V487" s="25"/>
      <c r="W487" s="183" t="s">
        <v>531</v>
      </c>
      <c r="X487" s="187" t="s">
        <v>860</v>
      </c>
      <c r="Y487" s="53" t="s">
        <v>897</v>
      </c>
      <c r="Z487" s="70" t="s">
        <v>952</v>
      </c>
      <c r="AA487" s="70"/>
      <c r="AB487" s="123"/>
    </row>
    <row r="488" spans="1:28" ht="58" x14ac:dyDescent="0.35">
      <c r="A488" s="29">
        <f t="shared" ref="A488:A551" si="9">A487+1</f>
        <v>59</v>
      </c>
      <c r="B488" s="39"/>
      <c r="C488" s="39"/>
      <c r="D488" s="7" t="s">
        <v>645</v>
      </c>
      <c r="E488" s="7" t="s">
        <v>648</v>
      </c>
      <c r="F488" s="11">
        <v>9072048000285</v>
      </c>
      <c r="G488" s="7" t="s">
        <v>647</v>
      </c>
      <c r="H488" s="175"/>
      <c r="N488" s="13"/>
      <c r="O488" s="176"/>
      <c r="R488" s="88" t="s">
        <v>608</v>
      </c>
      <c r="S488" s="53" t="s">
        <v>751</v>
      </c>
      <c r="T488" s="53" t="s">
        <v>751</v>
      </c>
      <c r="U488" s="124"/>
      <c r="V488" s="25"/>
      <c r="W488" s="183" t="s">
        <v>860</v>
      </c>
      <c r="X488" s="187" t="s">
        <v>860</v>
      </c>
      <c r="Y488" s="53" t="s">
        <v>897</v>
      </c>
      <c r="Z488" s="70" t="s">
        <v>952</v>
      </c>
      <c r="AA488" s="70"/>
      <c r="AB488" s="123"/>
    </row>
    <row r="489" spans="1:28" ht="116" x14ac:dyDescent="0.35">
      <c r="A489" s="29">
        <f t="shared" si="9"/>
        <v>60</v>
      </c>
      <c r="B489" s="39"/>
      <c r="C489" s="39"/>
      <c r="D489" s="7" t="s">
        <v>649</v>
      </c>
      <c r="E489" s="7" t="s">
        <v>650</v>
      </c>
      <c r="F489" s="8" t="s">
        <v>651</v>
      </c>
      <c r="G489" s="7" t="s">
        <v>647</v>
      </c>
      <c r="H489" s="175"/>
      <c r="N489" s="13"/>
      <c r="O489" s="176"/>
      <c r="R489" s="88" t="s">
        <v>608</v>
      </c>
      <c r="S489" s="53" t="s">
        <v>751</v>
      </c>
      <c r="T489" s="53" t="s">
        <v>751</v>
      </c>
      <c r="U489" s="124"/>
      <c r="V489" s="70" t="s">
        <v>813</v>
      </c>
      <c r="W489" s="183" t="s">
        <v>846</v>
      </c>
      <c r="X489" s="187" t="s">
        <v>846</v>
      </c>
      <c r="Y489" s="203" t="s">
        <v>903</v>
      </c>
      <c r="Z489" s="203"/>
      <c r="AA489" s="203"/>
      <c r="AB489" s="123"/>
    </row>
    <row r="490" spans="1:28" ht="116" x14ac:dyDescent="0.35">
      <c r="A490" s="29">
        <f t="shared" si="9"/>
        <v>61</v>
      </c>
      <c r="B490" s="39"/>
      <c r="C490" s="39"/>
      <c r="D490" s="7" t="s">
        <v>649</v>
      </c>
      <c r="E490" s="7" t="s">
        <v>650</v>
      </c>
      <c r="F490" s="8" t="s">
        <v>652</v>
      </c>
      <c r="G490" s="7" t="s">
        <v>647</v>
      </c>
      <c r="H490" s="175"/>
      <c r="N490" s="13"/>
      <c r="O490" s="176"/>
      <c r="R490" s="88" t="s">
        <v>608</v>
      </c>
      <c r="S490" s="53" t="s">
        <v>751</v>
      </c>
      <c r="T490" s="53" t="s">
        <v>751</v>
      </c>
      <c r="U490" s="124"/>
      <c r="V490" s="70" t="s">
        <v>813</v>
      </c>
      <c r="W490" s="183" t="s">
        <v>847</v>
      </c>
      <c r="X490" s="187" t="s">
        <v>847</v>
      </c>
      <c r="Y490" s="203" t="s">
        <v>903</v>
      </c>
      <c r="Z490" s="203"/>
      <c r="AA490" s="203"/>
      <c r="AB490" s="123"/>
    </row>
    <row r="491" spans="1:28" ht="94" customHeight="1" x14ac:dyDescent="0.35">
      <c r="A491" s="29">
        <f t="shared" si="9"/>
        <v>62</v>
      </c>
      <c r="B491" s="39"/>
      <c r="C491" s="39"/>
      <c r="D491" s="7" t="s">
        <v>653</v>
      </c>
      <c r="E491" s="7" t="s">
        <v>654</v>
      </c>
      <c r="F491" s="7" t="s">
        <v>655</v>
      </c>
      <c r="G491" s="7" t="s">
        <v>647</v>
      </c>
      <c r="H491" s="175"/>
      <c r="N491" s="13"/>
      <c r="O491" s="176"/>
      <c r="R491" s="88" t="s">
        <v>608</v>
      </c>
      <c r="S491" s="53" t="s">
        <v>751</v>
      </c>
      <c r="T491" s="53" t="s">
        <v>751</v>
      </c>
      <c r="U491" s="124"/>
      <c r="V491" s="7" t="s">
        <v>818</v>
      </c>
      <c r="W491" s="53" t="s">
        <v>848</v>
      </c>
      <c r="X491" s="53" t="s">
        <v>848</v>
      </c>
      <c r="Y491" s="53" t="s">
        <v>904</v>
      </c>
      <c r="Z491" s="53"/>
      <c r="AA491" s="70" t="s">
        <v>958</v>
      </c>
      <c r="AB491" s="191"/>
    </row>
    <row r="492" spans="1:28" ht="58" x14ac:dyDescent="0.35">
      <c r="A492" s="29">
        <f t="shared" si="9"/>
        <v>63</v>
      </c>
      <c r="B492" s="39"/>
      <c r="C492" s="39"/>
      <c r="D492" s="7" t="s">
        <v>656</v>
      </c>
      <c r="E492" s="7" t="s">
        <v>660</v>
      </c>
      <c r="F492" s="7" t="s">
        <v>663</v>
      </c>
      <c r="G492" s="7" t="s">
        <v>647</v>
      </c>
      <c r="H492" s="175"/>
      <c r="N492" s="13"/>
      <c r="O492" s="176"/>
      <c r="R492" s="88" t="s">
        <v>608</v>
      </c>
      <c r="S492" s="23" t="s">
        <v>752</v>
      </c>
      <c r="T492" s="23" t="s">
        <v>752</v>
      </c>
      <c r="U492" s="177"/>
      <c r="V492" s="25"/>
      <c r="W492" s="23" t="str">
        <f t="shared" ref="W492:X493" si="10">T492</f>
        <v>ТОМРЭЛ ???</v>
      </c>
      <c r="X492" s="23">
        <f t="shared" si="10"/>
        <v>0</v>
      </c>
      <c r="Y492" s="23" t="s">
        <v>905</v>
      </c>
      <c r="Z492" s="23"/>
      <c r="AA492" s="26" t="s">
        <v>537</v>
      </c>
      <c r="AB492" s="123"/>
    </row>
    <row r="493" spans="1:28" ht="58" x14ac:dyDescent="0.35">
      <c r="A493" s="29">
        <f t="shared" si="9"/>
        <v>64</v>
      </c>
      <c r="B493" s="39"/>
      <c r="C493" s="39"/>
      <c r="D493" s="7" t="s">
        <v>657</v>
      </c>
      <c r="E493" s="7" t="s">
        <v>660</v>
      </c>
      <c r="F493" s="7" t="s">
        <v>664</v>
      </c>
      <c r="G493" s="7" t="s">
        <v>647</v>
      </c>
      <c r="H493" s="175"/>
      <c r="N493" s="13"/>
      <c r="O493" s="176"/>
      <c r="R493" s="88" t="s">
        <v>608</v>
      </c>
      <c r="S493" s="23" t="s">
        <v>752</v>
      </c>
      <c r="T493" s="23" t="s">
        <v>752</v>
      </c>
      <c r="U493" s="177"/>
      <c r="V493" s="25"/>
      <c r="W493" s="23" t="str">
        <f t="shared" si="10"/>
        <v>ТОМРЭЛ ???</v>
      </c>
      <c r="X493" s="23">
        <f t="shared" si="10"/>
        <v>0</v>
      </c>
      <c r="Y493" s="23" t="s">
        <v>905</v>
      </c>
      <c r="Z493" s="23"/>
      <c r="AA493" s="26" t="s">
        <v>537</v>
      </c>
      <c r="AB493" s="123"/>
    </row>
    <row r="494" spans="1:28" ht="58" x14ac:dyDescent="0.35">
      <c r="A494" s="29">
        <f t="shared" si="9"/>
        <v>65</v>
      </c>
      <c r="B494" s="39"/>
      <c r="C494" s="39"/>
      <c r="D494" s="7" t="s">
        <v>25</v>
      </c>
      <c r="E494" s="7" t="s">
        <v>660</v>
      </c>
      <c r="F494" s="7" t="s">
        <v>662</v>
      </c>
      <c r="G494" s="7" t="s">
        <v>647</v>
      </c>
      <c r="H494" s="175"/>
      <c r="N494" s="13"/>
      <c r="O494" s="176"/>
      <c r="R494" s="88" t="s">
        <v>608</v>
      </c>
      <c r="S494" s="23" t="s">
        <v>752</v>
      </c>
      <c r="T494" s="23" t="s">
        <v>752</v>
      </c>
      <c r="U494" s="177"/>
      <c r="V494" s="25" t="s">
        <v>799</v>
      </c>
      <c r="W494" s="184" t="s">
        <v>842</v>
      </c>
      <c r="X494" s="187" t="s">
        <v>842</v>
      </c>
      <c r="Y494" s="203" t="s">
        <v>894</v>
      </c>
      <c r="Z494" s="203"/>
      <c r="AA494" s="203"/>
      <c r="AB494" s="123"/>
    </row>
    <row r="495" spans="1:28" ht="58" x14ac:dyDescent="0.35">
      <c r="A495" s="29">
        <f t="shared" si="9"/>
        <v>66</v>
      </c>
      <c r="B495" s="39"/>
      <c r="C495" s="39"/>
      <c r="D495" s="7" t="s">
        <v>25</v>
      </c>
      <c r="E495" s="7" t="s">
        <v>660</v>
      </c>
      <c r="F495" s="7" t="s">
        <v>661</v>
      </c>
      <c r="G495" s="7" t="s">
        <v>647</v>
      </c>
      <c r="H495" s="175"/>
      <c r="N495" s="13"/>
      <c r="O495" s="176"/>
      <c r="R495" s="88" t="s">
        <v>608</v>
      </c>
      <c r="S495" s="23" t="s">
        <v>752</v>
      </c>
      <c r="T495" s="23" t="s">
        <v>752</v>
      </c>
      <c r="U495" s="177"/>
      <c r="V495" s="25" t="s">
        <v>799</v>
      </c>
      <c r="W495" s="184" t="s">
        <v>842</v>
      </c>
      <c r="X495" s="187" t="s">
        <v>842</v>
      </c>
      <c r="Y495" s="203" t="s">
        <v>894</v>
      </c>
      <c r="Z495" s="203"/>
      <c r="AA495" s="203"/>
      <c r="AB495" s="123"/>
    </row>
    <row r="496" spans="1:28" ht="58" x14ac:dyDescent="0.35">
      <c r="A496" s="29">
        <f t="shared" si="9"/>
        <v>67</v>
      </c>
      <c r="B496" s="39"/>
      <c r="C496" s="39"/>
      <c r="D496" s="7" t="s">
        <v>658</v>
      </c>
      <c r="E496" s="7" t="s">
        <v>659</v>
      </c>
      <c r="F496" s="7"/>
      <c r="G496" s="7" t="s">
        <v>647</v>
      </c>
      <c r="H496" s="175"/>
      <c r="N496" s="13"/>
      <c r="O496" s="176"/>
      <c r="R496" s="88"/>
      <c r="S496" s="53" t="s">
        <v>751</v>
      </c>
      <c r="T496" s="53" t="s">
        <v>751</v>
      </c>
      <c r="U496" s="124" t="s">
        <v>772</v>
      </c>
      <c r="V496" s="124" t="s">
        <v>805</v>
      </c>
      <c r="W496" s="183" t="s">
        <v>823</v>
      </c>
      <c r="X496" s="187" t="s">
        <v>882</v>
      </c>
      <c r="Y496" s="53" t="s">
        <v>906</v>
      </c>
      <c r="Z496" s="53" t="s">
        <v>953</v>
      </c>
      <c r="AA496" s="70" t="s">
        <v>959</v>
      </c>
      <c r="AB496" s="123"/>
    </row>
    <row r="497" spans="1:28" ht="159.5" x14ac:dyDescent="0.35">
      <c r="A497" s="29">
        <f t="shared" si="9"/>
        <v>68</v>
      </c>
      <c r="D497" s="186" t="s">
        <v>837</v>
      </c>
      <c r="E497" s="186" t="s">
        <v>838</v>
      </c>
      <c r="F497" s="186" t="s">
        <v>925</v>
      </c>
      <c r="O497" s="186"/>
      <c r="R497" s="88" t="s">
        <v>608</v>
      </c>
      <c r="S497" s="25"/>
      <c r="T497" s="25"/>
      <c r="U497" s="25"/>
      <c r="V497" s="25"/>
      <c r="W497" s="25"/>
      <c r="X497" s="187" t="s">
        <v>880</v>
      </c>
      <c r="Y497" s="53" t="s">
        <v>907</v>
      </c>
      <c r="Z497" s="53" t="s">
        <v>954</v>
      </c>
      <c r="AA497" s="70" t="s">
        <v>960</v>
      </c>
      <c r="AB497" s="123"/>
    </row>
    <row r="498" spans="1:28" ht="43.5" x14ac:dyDescent="0.35">
      <c r="A498" s="29">
        <f t="shared" si="9"/>
        <v>69</v>
      </c>
      <c r="D498" s="186" t="s">
        <v>839</v>
      </c>
      <c r="E498" s="186" t="s">
        <v>861</v>
      </c>
      <c r="F498" s="186" t="s">
        <v>840</v>
      </c>
      <c r="O498" s="186"/>
      <c r="R498" s="88" t="s">
        <v>608</v>
      </c>
      <c r="S498" s="25"/>
      <c r="T498" s="25"/>
      <c r="U498" s="25"/>
      <c r="V498" s="25"/>
      <c r="W498" s="25"/>
      <c r="X498" s="90"/>
      <c r="Y498" s="192" t="s">
        <v>941</v>
      </c>
      <c r="Z498" s="192"/>
      <c r="AA498" s="192"/>
      <c r="AB498" s="123" t="s">
        <v>889</v>
      </c>
    </row>
    <row r="499" spans="1:28" ht="43.5" x14ac:dyDescent="0.35">
      <c r="A499" s="29">
        <f t="shared" si="9"/>
        <v>70</v>
      </c>
      <c r="D499" s="186" t="s">
        <v>839</v>
      </c>
      <c r="E499" s="186" t="s">
        <v>861</v>
      </c>
      <c r="F499" s="186" t="s">
        <v>841</v>
      </c>
      <c r="O499" s="186"/>
      <c r="R499" s="88" t="s">
        <v>608</v>
      </c>
      <c r="S499" s="25"/>
      <c r="T499" s="25"/>
      <c r="U499" s="25"/>
      <c r="V499" s="25"/>
      <c r="W499" s="25"/>
      <c r="X499" s="90"/>
      <c r="Y499" s="192" t="s">
        <v>942</v>
      </c>
      <c r="Z499" s="192"/>
      <c r="AA499" s="192"/>
      <c r="AB499" s="123" t="s">
        <v>889</v>
      </c>
    </row>
    <row r="500" spans="1:28" ht="58" x14ac:dyDescent="0.35">
      <c r="A500" s="29">
        <f t="shared" si="9"/>
        <v>71</v>
      </c>
      <c r="D500" s="186" t="s">
        <v>862</v>
      </c>
      <c r="E500" s="186" t="s">
        <v>863</v>
      </c>
      <c r="F500" s="186">
        <v>15609</v>
      </c>
      <c r="O500" s="186"/>
      <c r="R500" s="88" t="s">
        <v>608</v>
      </c>
      <c r="S500" s="25"/>
      <c r="T500" s="25"/>
      <c r="U500" s="25"/>
      <c r="V500" s="25"/>
      <c r="W500" s="25"/>
      <c r="X500" s="25"/>
      <c r="Y500" s="53" t="s">
        <v>908</v>
      </c>
      <c r="Z500" s="53"/>
      <c r="AA500" s="53"/>
      <c r="AB500" s="123" t="s">
        <v>889</v>
      </c>
    </row>
    <row r="501" spans="1:28" ht="43.5" x14ac:dyDescent="0.35">
      <c r="A501" s="29">
        <f t="shared" si="9"/>
        <v>72</v>
      </c>
      <c r="D501" s="193" t="s">
        <v>910</v>
      </c>
      <c r="E501" s="193" t="s">
        <v>866</v>
      </c>
      <c r="F501" s="193">
        <v>382018</v>
      </c>
      <c r="O501" s="193"/>
      <c r="R501" s="88" t="s">
        <v>608</v>
      </c>
      <c r="S501" s="25"/>
      <c r="T501" s="25"/>
      <c r="U501" s="25"/>
      <c r="V501" s="25"/>
      <c r="W501" s="25"/>
      <c r="X501" s="25"/>
      <c r="Y501" s="193" t="s">
        <v>909</v>
      </c>
      <c r="Z501" s="237"/>
      <c r="AA501" s="239"/>
      <c r="AB501" s="123"/>
    </row>
    <row r="502" spans="1:28" ht="43.5" x14ac:dyDescent="0.35">
      <c r="A502" s="29">
        <f t="shared" si="9"/>
        <v>73</v>
      </c>
      <c r="D502" s="193" t="s">
        <v>910</v>
      </c>
      <c r="E502" s="193" t="s">
        <v>866</v>
      </c>
      <c r="F502" s="193">
        <v>392018</v>
      </c>
      <c r="O502" s="193"/>
      <c r="R502" s="88" t="s">
        <v>608</v>
      </c>
      <c r="S502" s="25"/>
      <c r="T502" s="25"/>
      <c r="U502" s="25"/>
      <c r="V502" s="25"/>
      <c r="W502" s="25"/>
      <c r="X502" s="25"/>
      <c r="Y502" s="193" t="s">
        <v>909</v>
      </c>
      <c r="Z502" s="237"/>
      <c r="AA502" s="239"/>
      <c r="AB502" s="123"/>
    </row>
    <row r="503" spans="1:28" ht="43.5" x14ac:dyDescent="0.35">
      <c r="A503" s="29">
        <f t="shared" si="9"/>
        <v>74</v>
      </c>
      <c r="D503" s="193" t="s">
        <v>910</v>
      </c>
      <c r="E503" s="193" t="s">
        <v>866</v>
      </c>
      <c r="F503" s="193">
        <v>792015</v>
      </c>
      <c r="O503" s="193"/>
      <c r="R503" s="88" t="s">
        <v>608</v>
      </c>
      <c r="S503" s="25"/>
      <c r="T503" s="25"/>
      <c r="U503" s="25"/>
      <c r="V503" s="25"/>
      <c r="W503" s="25"/>
      <c r="X503" s="25"/>
      <c r="Y503" s="193" t="s">
        <v>909</v>
      </c>
      <c r="Z503" s="237"/>
      <c r="AA503" s="239"/>
      <c r="AB503" s="123"/>
    </row>
    <row r="504" spans="1:28" ht="43.5" x14ac:dyDescent="0.35">
      <c r="A504" s="29">
        <f t="shared" si="9"/>
        <v>75</v>
      </c>
      <c r="D504" s="193" t="s">
        <v>910</v>
      </c>
      <c r="E504" s="186" t="s">
        <v>866</v>
      </c>
      <c r="F504" s="186">
        <v>762015</v>
      </c>
      <c r="O504" s="186"/>
      <c r="R504" s="88" t="s">
        <v>608</v>
      </c>
      <c r="S504" s="25"/>
      <c r="T504" s="25"/>
      <c r="U504" s="25"/>
      <c r="V504" s="25"/>
      <c r="W504" s="25"/>
      <c r="X504" s="25"/>
      <c r="Y504" s="193" t="s">
        <v>909</v>
      </c>
      <c r="Z504" s="237"/>
      <c r="AA504" s="239"/>
      <c r="AB504" s="123"/>
    </row>
    <row r="505" spans="1:28" ht="72.5" x14ac:dyDescent="0.35">
      <c r="A505" s="29">
        <f t="shared" si="9"/>
        <v>76</v>
      </c>
      <c r="D505" s="186" t="s">
        <v>864</v>
      </c>
      <c r="E505" s="186" t="s">
        <v>867</v>
      </c>
      <c r="F505" s="186">
        <v>105915</v>
      </c>
      <c r="O505" s="186"/>
      <c r="R505" s="88" t="s">
        <v>608</v>
      </c>
      <c r="S505" s="25"/>
      <c r="T505" s="25"/>
      <c r="U505" s="25"/>
      <c r="V505" s="25"/>
      <c r="W505" s="25"/>
      <c r="X505" s="25" t="s">
        <v>883</v>
      </c>
      <c r="Y505" s="53" t="s">
        <v>890</v>
      </c>
      <c r="Z505" s="53"/>
      <c r="AA505" s="53"/>
      <c r="AB505" s="123" t="s">
        <v>889</v>
      </c>
    </row>
    <row r="506" spans="1:28" ht="72.5" x14ac:dyDescent="0.35">
      <c r="A506" s="29">
        <f t="shared" si="9"/>
        <v>77</v>
      </c>
      <c r="D506" s="186" t="s">
        <v>864</v>
      </c>
      <c r="E506" s="186" t="s">
        <v>867</v>
      </c>
      <c r="F506" s="186">
        <v>105918</v>
      </c>
      <c r="O506" s="186"/>
      <c r="R506" s="88" t="s">
        <v>608</v>
      </c>
      <c r="S506" s="25"/>
      <c r="T506" s="25"/>
      <c r="U506" s="25"/>
      <c r="V506" s="25"/>
      <c r="W506" s="25"/>
      <c r="X506" s="25" t="s">
        <v>883</v>
      </c>
      <c r="Y506" s="53" t="s">
        <v>890</v>
      </c>
      <c r="Z506" s="53"/>
      <c r="AA506" s="53"/>
      <c r="AB506" s="123" t="s">
        <v>889</v>
      </c>
    </row>
    <row r="507" spans="1:28" ht="72.5" x14ac:dyDescent="0.35">
      <c r="A507" s="29">
        <f t="shared" si="9"/>
        <v>78</v>
      </c>
      <c r="D507" s="186" t="s">
        <v>865</v>
      </c>
      <c r="E507" s="186" t="s">
        <v>868</v>
      </c>
      <c r="F507" s="186">
        <v>27768</v>
      </c>
      <c r="O507" s="186"/>
      <c r="R507" s="88" t="s">
        <v>608</v>
      </c>
      <c r="S507" s="25"/>
      <c r="T507" s="25"/>
      <c r="U507" s="25"/>
      <c r="V507" s="25"/>
      <c r="W507" s="25"/>
      <c r="X507" s="25"/>
      <c r="Y507" s="196" t="s">
        <v>943</v>
      </c>
      <c r="Z507" s="237"/>
      <c r="AA507" s="239"/>
      <c r="AB507" s="123" t="s">
        <v>889</v>
      </c>
    </row>
    <row r="508" spans="1:28" x14ac:dyDescent="0.35">
      <c r="A508" s="29">
        <f t="shared" si="9"/>
        <v>79</v>
      </c>
      <c r="D508" s="186" t="s">
        <v>870</v>
      </c>
      <c r="E508" s="186" t="s">
        <v>869</v>
      </c>
      <c r="F508" s="186"/>
      <c r="O508" s="186"/>
      <c r="R508" s="88" t="s">
        <v>608</v>
      </c>
      <c r="S508" s="25"/>
      <c r="T508" s="25"/>
      <c r="U508" s="25"/>
      <c r="V508" s="25"/>
      <c r="W508" s="25"/>
      <c r="X508" s="25"/>
      <c r="Y508" s="25" t="s">
        <v>944</v>
      </c>
      <c r="Z508" s="25"/>
      <c r="AA508" s="25"/>
      <c r="AB508" s="123"/>
    </row>
    <row r="509" spans="1:28" x14ac:dyDescent="0.35">
      <c r="A509" s="29">
        <f t="shared" si="9"/>
        <v>80</v>
      </c>
      <c r="D509" s="186" t="s">
        <v>871</v>
      </c>
      <c r="E509" s="186"/>
      <c r="F509" s="186"/>
      <c r="O509" s="186"/>
      <c r="R509" s="88" t="s">
        <v>608</v>
      </c>
      <c r="S509" s="25"/>
      <c r="T509" s="25"/>
      <c r="U509" s="25"/>
      <c r="V509" s="25"/>
      <c r="W509" s="25"/>
      <c r="X509" s="25" t="s">
        <v>884</v>
      </c>
      <c r="Y509" s="25" t="s">
        <v>884</v>
      </c>
      <c r="Z509" s="25"/>
      <c r="AA509" s="25"/>
      <c r="AB509" s="123" t="s">
        <v>889</v>
      </c>
    </row>
    <row r="510" spans="1:28" ht="29" x14ac:dyDescent="0.35">
      <c r="A510" s="29">
        <f t="shared" si="9"/>
        <v>81</v>
      </c>
      <c r="D510" s="186" t="s">
        <v>872</v>
      </c>
      <c r="E510" s="186"/>
      <c r="F510" s="186"/>
      <c r="O510" s="186"/>
      <c r="R510" s="88" t="s">
        <v>608</v>
      </c>
      <c r="S510" s="25"/>
      <c r="T510" s="25"/>
      <c r="U510" s="25"/>
      <c r="V510" s="25"/>
      <c r="W510" s="25"/>
      <c r="X510" s="25"/>
      <c r="Y510" s="25"/>
      <c r="Z510" s="25"/>
      <c r="AA510" s="25"/>
      <c r="AB510" s="123"/>
    </row>
    <row r="511" spans="1:28" ht="29" x14ac:dyDescent="0.35">
      <c r="A511" s="29">
        <f t="shared" si="9"/>
        <v>82</v>
      </c>
      <c r="D511" s="186" t="s">
        <v>873</v>
      </c>
      <c r="E511" s="186"/>
      <c r="F511" s="186"/>
      <c r="O511" s="186"/>
      <c r="R511" s="88" t="s">
        <v>608</v>
      </c>
      <c r="S511" s="25"/>
      <c r="T511" s="25"/>
      <c r="U511" s="25"/>
      <c r="V511" s="25"/>
      <c r="W511" s="25"/>
      <c r="X511" s="25"/>
      <c r="Y511" s="25"/>
      <c r="Z511" s="25"/>
      <c r="AA511" s="25"/>
      <c r="AB511" s="123"/>
    </row>
    <row r="512" spans="1:28" ht="29" x14ac:dyDescent="0.35">
      <c r="A512" s="29">
        <f t="shared" si="9"/>
        <v>83</v>
      </c>
      <c r="D512" s="186" t="s">
        <v>874</v>
      </c>
      <c r="E512" s="186"/>
      <c r="F512" s="186"/>
      <c r="O512" s="186"/>
      <c r="R512" s="88" t="s">
        <v>608</v>
      </c>
      <c r="S512" s="25"/>
      <c r="T512" s="25"/>
      <c r="U512" s="25"/>
      <c r="V512" s="25"/>
      <c r="W512" s="25"/>
      <c r="X512" s="25"/>
      <c r="Y512" s="196" t="s">
        <v>928</v>
      </c>
      <c r="Z512" s="237" t="s">
        <v>955</v>
      </c>
      <c r="AA512" s="239"/>
      <c r="AB512" s="123"/>
    </row>
    <row r="513" spans="1:28" ht="43.5" x14ac:dyDescent="0.35">
      <c r="A513" s="29">
        <f t="shared" si="9"/>
        <v>84</v>
      </c>
      <c r="D513" s="193" t="s">
        <v>911</v>
      </c>
      <c r="E513" s="193" t="s">
        <v>914</v>
      </c>
      <c r="F513" s="193">
        <v>19895</v>
      </c>
      <c r="O513" s="193"/>
      <c r="R513" s="203" t="s">
        <v>917</v>
      </c>
      <c r="S513" s="25"/>
      <c r="T513" s="188"/>
      <c r="U513" s="188"/>
      <c r="V513" s="25"/>
      <c r="W513" s="25"/>
      <c r="X513" s="25"/>
      <c r="Y513" s="25"/>
      <c r="Z513" s="25" t="s">
        <v>949</v>
      </c>
      <c r="AA513" s="25" t="s">
        <v>957</v>
      </c>
      <c r="AB513" s="123"/>
    </row>
    <row r="514" spans="1:28" ht="43.5" x14ac:dyDescent="0.35">
      <c r="A514" s="29">
        <f t="shared" si="9"/>
        <v>85</v>
      </c>
      <c r="D514" s="193" t="s">
        <v>911</v>
      </c>
      <c r="E514" s="193" t="s">
        <v>914</v>
      </c>
      <c r="F514" s="193">
        <v>19894</v>
      </c>
      <c r="O514" s="193"/>
      <c r="R514" s="203" t="s">
        <v>917</v>
      </c>
      <c r="S514" s="25"/>
      <c r="T514" s="188"/>
      <c r="U514" s="188"/>
      <c r="V514" s="25"/>
      <c r="W514" s="25"/>
      <c r="X514" s="25"/>
      <c r="Y514" s="25"/>
      <c r="Z514" s="25" t="s">
        <v>949</v>
      </c>
      <c r="AA514" s="25" t="s">
        <v>957</v>
      </c>
      <c r="AB514" s="123"/>
    </row>
    <row r="515" spans="1:28" ht="43.5" x14ac:dyDescent="0.35">
      <c r="A515" s="29">
        <f t="shared" si="9"/>
        <v>86</v>
      </c>
      <c r="D515" s="193" t="s">
        <v>912</v>
      </c>
      <c r="E515" s="193" t="s">
        <v>916</v>
      </c>
      <c r="F515" s="193">
        <v>3</v>
      </c>
      <c r="O515" s="193"/>
      <c r="R515" s="203" t="s">
        <v>917</v>
      </c>
      <c r="S515" s="25"/>
      <c r="T515" s="188"/>
      <c r="U515" s="188"/>
      <c r="V515" s="25"/>
      <c r="W515" s="25"/>
      <c r="X515" s="25"/>
      <c r="Y515" s="25"/>
      <c r="Z515" s="25" t="s">
        <v>949</v>
      </c>
      <c r="AA515" s="25" t="s">
        <v>957</v>
      </c>
      <c r="AB515" s="123"/>
    </row>
    <row r="516" spans="1:28" ht="43.5" x14ac:dyDescent="0.35">
      <c r="A516" s="29">
        <f t="shared" si="9"/>
        <v>87</v>
      </c>
      <c r="D516" s="193" t="s">
        <v>913</v>
      </c>
      <c r="E516" s="193" t="s">
        <v>915</v>
      </c>
      <c r="F516" s="193">
        <v>32770</v>
      </c>
      <c r="O516" s="193"/>
      <c r="R516" s="203" t="s">
        <v>917</v>
      </c>
      <c r="S516" s="25"/>
      <c r="T516" s="188"/>
      <c r="U516" s="188"/>
      <c r="V516" s="25"/>
      <c r="W516" s="25"/>
      <c r="X516" s="25"/>
      <c r="Y516" s="25"/>
      <c r="Z516" s="25" t="s">
        <v>949</v>
      </c>
      <c r="AA516" s="25" t="s">
        <v>957</v>
      </c>
      <c r="AB516" s="123"/>
    </row>
    <row r="517" spans="1:28" ht="43.5" x14ac:dyDescent="0.35">
      <c r="A517" s="29">
        <f t="shared" si="9"/>
        <v>88</v>
      </c>
      <c r="D517" s="193" t="s">
        <v>913</v>
      </c>
      <c r="E517" s="193" t="s">
        <v>915</v>
      </c>
      <c r="F517" s="193">
        <v>32771</v>
      </c>
      <c r="O517" s="193"/>
      <c r="R517" s="203" t="s">
        <v>917</v>
      </c>
      <c r="S517" s="25"/>
      <c r="T517" s="188"/>
      <c r="U517" s="188"/>
      <c r="V517" s="25"/>
      <c r="W517" s="25"/>
      <c r="X517" s="25"/>
      <c r="Y517" s="25"/>
      <c r="Z517" s="25" t="s">
        <v>949</v>
      </c>
      <c r="AA517" s="25" t="s">
        <v>957</v>
      </c>
      <c r="AB517" s="123"/>
    </row>
    <row r="518" spans="1:28" ht="43.5" x14ac:dyDescent="0.35">
      <c r="A518" s="29">
        <f t="shared" si="9"/>
        <v>89</v>
      </c>
      <c r="D518" s="193" t="s">
        <v>913</v>
      </c>
      <c r="E518" s="193" t="s">
        <v>915</v>
      </c>
      <c r="F518" s="193">
        <v>17772</v>
      </c>
      <c r="O518" s="193"/>
      <c r="R518" s="203" t="s">
        <v>917</v>
      </c>
      <c r="S518" s="25"/>
      <c r="T518" s="188"/>
      <c r="U518" s="188"/>
      <c r="V518" s="25"/>
      <c r="W518" s="25"/>
      <c r="X518" s="25"/>
      <c r="Y518" s="25"/>
      <c r="Z518" s="25" t="s">
        <v>949</v>
      </c>
      <c r="AA518" s="25" t="s">
        <v>957</v>
      </c>
      <c r="AB518" s="123"/>
    </row>
    <row r="519" spans="1:28" ht="43.5" x14ac:dyDescent="0.35">
      <c r="A519" s="29">
        <f t="shared" si="9"/>
        <v>90</v>
      </c>
      <c r="D519" s="193" t="s">
        <v>920</v>
      </c>
      <c r="E519" s="193" t="s">
        <v>918</v>
      </c>
      <c r="F519" s="193">
        <v>151197</v>
      </c>
      <c r="O519" s="193"/>
      <c r="R519" s="25" t="s">
        <v>919</v>
      </c>
      <c r="S519" s="25"/>
      <c r="T519" s="188"/>
      <c r="U519" s="188"/>
      <c r="V519" s="25"/>
      <c r="W519" s="25"/>
      <c r="X519" s="25"/>
      <c r="Y519" s="25" t="s">
        <v>923</v>
      </c>
      <c r="Z519" s="25"/>
      <c r="AA519" s="25"/>
      <c r="AB519" s="123" t="s">
        <v>889</v>
      </c>
    </row>
    <row r="520" spans="1:28" ht="43.5" x14ac:dyDescent="0.35">
      <c r="A520" s="29">
        <f t="shared" si="9"/>
        <v>91</v>
      </c>
      <c r="D520" s="193" t="s">
        <v>920</v>
      </c>
      <c r="E520" s="193" t="s">
        <v>918</v>
      </c>
      <c r="F520" s="193">
        <v>149341</v>
      </c>
      <c r="O520" s="193"/>
      <c r="R520" s="25" t="s">
        <v>919</v>
      </c>
      <c r="S520" s="25"/>
      <c r="T520" s="188"/>
      <c r="U520" s="188"/>
      <c r="V520" s="25"/>
      <c r="W520" s="25"/>
      <c r="X520" s="25"/>
      <c r="Y520" s="25" t="s">
        <v>923</v>
      </c>
      <c r="Z520" s="25"/>
      <c r="AA520" s="25"/>
      <c r="AB520" s="123" t="s">
        <v>889</v>
      </c>
    </row>
    <row r="521" spans="1:28" ht="29" x14ac:dyDescent="0.35">
      <c r="A521" s="29">
        <f t="shared" si="9"/>
        <v>92</v>
      </c>
      <c r="D521" s="193" t="s">
        <v>921</v>
      </c>
      <c r="E521" s="193" t="s">
        <v>922</v>
      </c>
      <c r="F521" s="193">
        <v>351</v>
      </c>
      <c r="O521" s="193"/>
      <c r="R521" s="25" t="s">
        <v>919</v>
      </c>
      <c r="S521" s="25"/>
      <c r="T521" s="188"/>
      <c r="U521" s="188"/>
      <c r="V521" s="25"/>
      <c r="W521" s="25"/>
      <c r="X521" s="25"/>
      <c r="Y521" s="193" t="s">
        <v>924</v>
      </c>
      <c r="Z521" s="237"/>
      <c r="AA521" s="239"/>
      <c r="AB521" s="123" t="s">
        <v>889</v>
      </c>
    </row>
    <row r="522" spans="1:28" x14ac:dyDescent="0.35">
      <c r="A522" s="29">
        <f t="shared" si="9"/>
        <v>93</v>
      </c>
      <c r="D522" s="193" t="s">
        <v>862</v>
      </c>
      <c r="E522" s="193" t="s">
        <v>961</v>
      </c>
      <c r="F522" s="193" t="s">
        <v>962</v>
      </c>
      <c r="O522" s="193"/>
      <c r="R522" s="25" t="s">
        <v>990</v>
      </c>
      <c r="S522" s="25"/>
      <c r="T522" s="188"/>
      <c r="U522" s="188"/>
      <c r="V522" s="25"/>
      <c r="W522" s="25"/>
      <c r="X522" s="25"/>
      <c r="Y522" s="25"/>
      <c r="Z522" s="25"/>
      <c r="AA522" s="25" t="s">
        <v>991</v>
      </c>
      <c r="AB522" s="123"/>
    </row>
    <row r="523" spans="1:28" x14ac:dyDescent="0.35">
      <c r="A523" s="29">
        <f t="shared" si="9"/>
        <v>94</v>
      </c>
      <c r="D523" s="242" t="s">
        <v>862</v>
      </c>
      <c r="E523" s="242" t="s">
        <v>961</v>
      </c>
      <c r="F523" s="239" t="s">
        <v>963</v>
      </c>
      <c r="O523" s="239"/>
      <c r="R523" s="25" t="s">
        <v>990</v>
      </c>
      <c r="S523" s="25"/>
      <c r="T523" s="188"/>
      <c r="U523" s="188"/>
      <c r="V523" s="25"/>
      <c r="W523" s="25"/>
      <c r="X523" s="25"/>
      <c r="Y523" s="25"/>
      <c r="Z523" s="25"/>
      <c r="AA523" s="25" t="s">
        <v>991</v>
      </c>
      <c r="AB523" s="123"/>
    </row>
    <row r="524" spans="1:28" x14ac:dyDescent="0.35">
      <c r="A524" s="29">
        <f t="shared" si="9"/>
        <v>95</v>
      </c>
      <c r="D524" s="242" t="s">
        <v>862</v>
      </c>
      <c r="E524" s="242" t="s">
        <v>961</v>
      </c>
      <c r="F524" s="239" t="s">
        <v>964</v>
      </c>
      <c r="O524" s="239"/>
      <c r="R524" s="25" t="s">
        <v>990</v>
      </c>
      <c r="S524" s="25"/>
      <c r="T524" s="188"/>
      <c r="U524" s="188"/>
      <c r="V524" s="25"/>
      <c r="W524" s="25"/>
      <c r="X524" s="25"/>
      <c r="Y524" s="25"/>
      <c r="Z524" s="25"/>
      <c r="AA524" s="25" t="s">
        <v>991</v>
      </c>
      <c r="AB524" s="123"/>
    </row>
    <row r="525" spans="1:28" x14ac:dyDescent="0.35">
      <c r="A525" s="29">
        <f t="shared" si="9"/>
        <v>96</v>
      </c>
      <c r="D525" s="242" t="s">
        <v>862</v>
      </c>
      <c r="E525" s="242" t="s">
        <v>961</v>
      </c>
      <c r="F525" s="239" t="s">
        <v>965</v>
      </c>
      <c r="O525" s="239"/>
      <c r="R525" s="25" t="s">
        <v>990</v>
      </c>
      <c r="S525" s="25"/>
      <c r="T525" s="188"/>
      <c r="U525" s="188"/>
      <c r="V525" s="25"/>
      <c r="W525" s="25"/>
      <c r="X525" s="25"/>
      <c r="Y525" s="25"/>
      <c r="Z525" s="25"/>
      <c r="AA525" s="25" t="s">
        <v>991</v>
      </c>
      <c r="AB525" s="123"/>
    </row>
    <row r="526" spans="1:28" x14ac:dyDescent="0.35">
      <c r="A526" s="29">
        <f t="shared" si="9"/>
        <v>97</v>
      </c>
      <c r="D526" s="242" t="s">
        <v>862</v>
      </c>
      <c r="E526" s="242" t="s">
        <v>961</v>
      </c>
      <c r="F526" s="239" t="s">
        <v>966</v>
      </c>
      <c r="O526" s="239"/>
      <c r="R526" s="25" t="s">
        <v>990</v>
      </c>
      <c r="S526" s="25"/>
      <c r="T526" s="188"/>
      <c r="U526" s="188"/>
      <c r="V526" s="25"/>
      <c r="W526" s="25"/>
      <c r="X526" s="25"/>
      <c r="Y526" s="25"/>
      <c r="Z526" s="25"/>
      <c r="AA526" s="25" t="s">
        <v>991</v>
      </c>
      <c r="AB526" s="123"/>
    </row>
    <row r="527" spans="1:28" x14ac:dyDescent="0.35">
      <c r="A527" s="29">
        <f t="shared" si="9"/>
        <v>98</v>
      </c>
      <c r="D527" s="242" t="s">
        <v>862</v>
      </c>
      <c r="E527" s="242" t="s">
        <v>961</v>
      </c>
      <c r="F527" s="239" t="s">
        <v>967</v>
      </c>
      <c r="O527" s="239"/>
      <c r="R527" s="25" t="s">
        <v>990</v>
      </c>
      <c r="S527" s="25"/>
      <c r="T527" s="188"/>
      <c r="U527" s="188"/>
      <c r="V527" s="25"/>
      <c r="W527" s="25"/>
      <c r="X527" s="25"/>
      <c r="Y527" s="25"/>
      <c r="Z527" s="25"/>
      <c r="AA527" s="25" t="s">
        <v>991</v>
      </c>
      <c r="AB527" s="123"/>
    </row>
    <row r="528" spans="1:28" x14ac:dyDescent="0.35">
      <c r="A528" s="29">
        <f t="shared" si="9"/>
        <v>99</v>
      </c>
      <c r="D528" s="242" t="s">
        <v>862</v>
      </c>
      <c r="E528" s="242" t="s">
        <v>961</v>
      </c>
      <c r="F528" s="239" t="s">
        <v>968</v>
      </c>
      <c r="O528" s="239"/>
      <c r="R528" s="25" t="s">
        <v>990</v>
      </c>
      <c r="S528" s="25"/>
      <c r="T528" s="188"/>
      <c r="U528" s="188"/>
      <c r="V528" s="25"/>
      <c r="W528" s="25"/>
      <c r="X528" s="25"/>
      <c r="Y528" s="25"/>
      <c r="Z528" s="25"/>
      <c r="AA528" s="25" t="s">
        <v>991</v>
      </c>
      <c r="AB528" s="123"/>
    </row>
    <row r="529" spans="1:28" x14ac:dyDescent="0.35">
      <c r="A529" s="29">
        <f t="shared" si="9"/>
        <v>100</v>
      </c>
      <c r="D529" s="242" t="s">
        <v>862</v>
      </c>
      <c r="E529" s="242" t="s">
        <v>961</v>
      </c>
      <c r="F529" s="239" t="s">
        <v>969</v>
      </c>
      <c r="O529" s="239"/>
      <c r="R529" s="25" t="s">
        <v>990</v>
      </c>
      <c r="S529" s="25"/>
      <c r="T529" s="188"/>
      <c r="U529" s="188"/>
      <c r="V529" s="25"/>
      <c r="W529" s="25"/>
      <c r="X529" s="25"/>
      <c r="Y529" s="25"/>
      <c r="Z529" s="25"/>
      <c r="AA529" s="25" t="s">
        <v>991</v>
      </c>
      <c r="AB529" s="123"/>
    </row>
    <row r="530" spans="1:28" x14ac:dyDescent="0.35">
      <c r="A530" s="29">
        <f t="shared" si="9"/>
        <v>101</v>
      </c>
      <c r="D530" s="242" t="s">
        <v>862</v>
      </c>
      <c r="E530" s="242" t="s">
        <v>961</v>
      </c>
      <c r="F530" s="239" t="s">
        <v>970</v>
      </c>
      <c r="O530" s="239"/>
      <c r="R530" s="25" t="s">
        <v>990</v>
      </c>
      <c r="S530" s="25"/>
      <c r="T530" s="188"/>
      <c r="U530" s="188"/>
      <c r="V530" s="25"/>
      <c r="W530" s="25"/>
      <c r="X530" s="25"/>
      <c r="Y530" s="25"/>
      <c r="Z530" s="25"/>
      <c r="AA530" s="25" t="s">
        <v>991</v>
      </c>
    </row>
    <row r="531" spans="1:28" x14ac:dyDescent="0.35">
      <c r="A531" s="29">
        <f t="shared" si="9"/>
        <v>102</v>
      </c>
      <c r="D531" s="242" t="s">
        <v>862</v>
      </c>
      <c r="E531" s="242" t="s">
        <v>961</v>
      </c>
      <c r="F531" s="239" t="s">
        <v>971</v>
      </c>
      <c r="O531" s="239"/>
      <c r="R531" s="25" t="s">
        <v>990</v>
      </c>
      <c r="S531" s="25"/>
      <c r="T531" s="188"/>
      <c r="U531" s="188"/>
      <c r="V531" s="25"/>
      <c r="W531" s="25"/>
      <c r="X531" s="25"/>
      <c r="Y531" s="25"/>
      <c r="Z531" s="25"/>
      <c r="AA531" s="25" t="s">
        <v>991</v>
      </c>
    </row>
    <row r="532" spans="1:28" x14ac:dyDescent="0.35">
      <c r="A532" s="29">
        <f t="shared" si="9"/>
        <v>103</v>
      </c>
      <c r="D532" s="242" t="s">
        <v>862</v>
      </c>
      <c r="E532" s="242" t="s">
        <v>961</v>
      </c>
      <c r="F532" s="239" t="s">
        <v>972</v>
      </c>
      <c r="O532" s="239"/>
      <c r="R532" s="25" t="s">
        <v>990</v>
      </c>
      <c r="S532" s="25"/>
      <c r="T532" s="188"/>
      <c r="U532" s="188"/>
      <c r="V532" s="25"/>
      <c r="W532" s="25"/>
      <c r="X532" s="25"/>
      <c r="Y532" s="25"/>
      <c r="Z532" s="25"/>
      <c r="AA532" s="25" t="s">
        <v>991</v>
      </c>
    </row>
    <row r="533" spans="1:28" ht="29" x14ac:dyDescent="0.35">
      <c r="A533" s="29">
        <f t="shared" si="9"/>
        <v>104</v>
      </c>
      <c r="D533" s="239" t="s">
        <v>973</v>
      </c>
      <c r="E533" s="242" t="s">
        <v>986</v>
      </c>
      <c r="F533" s="242" t="s">
        <v>977</v>
      </c>
      <c r="O533" s="239"/>
      <c r="R533" s="25" t="s">
        <v>990</v>
      </c>
      <c r="S533" s="25"/>
      <c r="T533" s="188"/>
      <c r="U533" s="188"/>
      <c r="V533" s="25"/>
      <c r="W533" s="25"/>
      <c r="X533" s="25"/>
      <c r="Y533" s="25"/>
      <c r="Z533" s="25"/>
      <c r="AA533" s="25" t="s">
        <v>992</v>
      </c>
    </row>
    <row r="534" spans="1:28" ht="29" x14ac:dyDescent="0.35">
      <c r="A534" s="29">
        <f t="shared" si="9"/>
        <v>105</v>
      </c>
      <c r="D534" s="239" t="s">
        <v>974</v>
      </c>
      <c r="E534" s="242" t="s">
        <v>987</v>
      </c>
      <c r="F534" s="242" t="s">
        <v>978</v>
      </c>
      <c r="O534" s="239"/>
      <c r="R534" s="25" t="s">
        <v>990</v>
      </c>
      <c r="S534" s="25"/>
      <c r="T534" s="188"/>
      <c r="U534" s="188"/>
      <c r="V534" s="25"/>
      <c r="W534" s="25"/>
      <c r="X534" s="25"/>
      <c r="Y534" s="25"/>
      <c r="Z534" s="25"/>
      <c r="AA534" s="25" t="s">
        <v>123</v>
      </c>
    </row>
    <row r="535" spans="1:28" x14ac:dyDescent="0.35">
      <c r="A535" s="29">
        <f t="shared" si="9"/>
        <v>106</v>
      </c>
      <c r="D535" s="239" t="s">
        <v>975</v>
      </c>
      <c r="E535" s="242" t="s">
        <v>988</v>
      </c>
      <c r="F535" s="242">
        <v>2033883862</v>
      </c>
      <c r="O535" s="239"/>
      <c r="R535" s="25" t="s">
        <v>990</v>
      </c>
      <c r="S535" s="25"/>
      <c r="T535" s="188"/>
      <c r="U535" s="188"/>
      <c r="V535" s="25"/>
      <c r="W535" s="25"/>
      <c r="X535" s="25"/>
      <c r="Y535" s="25"/>
      <c r="Z535" s="25"/>
      <c r="AA535" s="25" t="s">
        <v>123</v>
      </c>
    </row>
    <row r="536" spans="1:28" x14ac:dyDescent="0.35">
      <c r="A536" s="29">
        <f t="shared" si="9"/>
        <v>107</v>
      </c>
      <c r="D536" s="239" t="s">
        <v>976</v>
      </c>
      <c r="E536" s="242" t="s">
        <v>989</v>
      </c>
      <c r="F536" s="8" t="s">
        <v>979</v>
      </c>
      <c r="O536" s="239"/>
      <c r="R536" s="25" t="s">
        <v>990</v>
      </c>
      <c r="S536" s="25"/>
      <c r="T536" s="188"/>
      <c r="U536" s="188"/>
      <c r="V536" s="25"/>
      <c r="W536" s="25"/>
      <c r="X536" s="25"/>
      <c r="Y536" s="25"/>
      <c r="Z536" s="25"/>
      <c r="AA536" s="25" t="s">
        <v>123</v>
      </c>
    </row>
    <row r="537" spans="1:28" x14ac:dyDescent="0.35">
      <c r="A537" s="29">
        <f t="shared" si="9"/>
        <v>108</v>
      </c>
      <c r="D537" s="242" t="s">
        <v>976</v>
      </c>
      <c r="E537" s="242" t="s">
        <v>989</v>
      </c>
      <c r="F537" s="8" t="s">
        <v>980</v>
      </c>
      <c r="O537" s="239"/>
      <c r="R537" s="25" t="s">
        <v>990</v>
      </c>
      <c r="S537" s="25"/>
      <c r="T537" s="188"/>
      <c r="U537" s="188"/>
      <c r="V537" s="25"/>
      <c r="W537" s="25"/>
      <c r="X537" s="25"/>
      <c r="Y537" s="25"/>
      <c r="Z537" s="25"/>
      <c r="AA537" s="25" t="s">
        <v>123</v>
      </c>
    </row>
    <row r="538" spans="1:28" x14ac:dyDescent="0.35">
      <c r="A538" s="29">
        <f t="shared" si="9"/>
        <v>109</v>
      </c>
      <c r="D538" s="242" t="s">
        <v>976</v>
      </c>
      <c r="E538" s="242" t="s">
        <v>989</v>
      </c>
      <c r="F538" s="8" t="s">
        <v>981</v>
      </c>
      <c r="O538" s="239"/>
      <c r="R538" s="25" t="s">
        <v>990</v>
      </c>
      <c r="S538" s="25"/>
      <c r="T538" s="188"/>
      <c r="U538" s="188"/>
      <c r="V538" s="25"/>
      <c r="W538" s="25"/>
      <c r="X538" s="25"/>
      <c r="Y538" s="25"/>
      <c r="Z538" s="25"/>
      <c r="AA538" s="25" t="s">
        <v>123</v>
      </c>
    </row>
    <row r="539" spans="1:28" x14ac:dyDescent="0.35">
      <c r="A539" s="29">
        <f t="shared" si="9"/>
        <v>110</v>
      </c>
      <c r="D539" s="242" t="s">
        <v>976</v>
      </c>
      <c r="E539" s="242" t="s">
        <v>989</v>
      </c>
      <c r="F539" s="8" t="s">
        <v>982</v>
      </c>
      <c r="O539" s="239"/>
      <c r="R539" s="25" t="s">
        <v>990</v>
      </c>
      <c r="S539" s="25"/>
      <c r="T539" s="188"/>
      <c r="U539" s="188"/>
      <c r="V539" s="25"/>
      <c r="W539" s="25"/>
      <c r="X539" s="25"/>
      <c r="Y539" s="25"/>
      <c r="Z539" s="25"/>
      <c r="AA539" s="25" t="s">
        <v>123</v>
      </c>
    </row>
    <row r="540" spans="1:28" x14ac:dyDescent="0.35">
      <c r="A540" s="29">
        <f t="shared" si="9"/>
        <v>111</v>
      </c>
      <c r="D540" s="242" t="s">
        <v>976</v>
      </c>
      <c r="E540" s="242" t="s">
        <v>989</v>
      </c>
      <c r="F540" s="8" t="s">
        <v>983</v>
      </c>
      <c r="O540" s="239"/>
      <c r="R540" s="25" t="s">
        <v>990</v>
      </c>
      <c r="S540" s="25"/>
      <c r="T540" s="188"/>
      <c r="U540" s="188"/>
      <c r="V540" s="25"/>
      <c r="W540" s="25"/>
      <c r="X540" s="25"/>
      <c r="Y540" s="25"/>
      <c r="Z540" s="25"/>
      <c r="AA540" s="25" t="s">
        <v>123</v>
      </c>
    </row>
    <row r="541" spans="1:28" x14ac:dyDescent="0.35">
      <c r="A541" s="29">
        <f t="shared" si="9"/>
        <v>112</v>
      </c>
      <c r="D541" s="242" t="s">
        <v>976</v>
      </c>
      <c r="E541" s="242" t="s">
        <v>989</v>
      </c>
      <c r="F541" s="8" t="s">
        <v>984</v>
      </c>
      <c r="O541" s="239"/>
      <c r="R541" s="25" t="s">
        <v>990</v>
      </c>
      <c r="S541" s="25"/>
      <c r="T541" s="188"/>
      <c r="U541" s="188"/>
      <c r="V541" s="25"/>
      <c r="W541" s="25"/>
      <c r="X541" s="25"/>
      <c r="Y541" s="25"/>
      <c r="Z541" s="25"/>
      <c r="AA541" s="25" t="s">
        <v>123</v>
      </c>
    </row>
    <row r="542" spans="1:28" x14ac:dyDescent="0.35">
      <c r="A542" s="29">
        <f t="shared" si="9"/>
        <v>113</v>
      </c>
      <c r="D542" s="242" t="s">
        <v>976</v>
      </c>
      <c r="E542" s="242" t="s">
        <v>989</v>
      </c>
      <c r="F542" s="8" t="s">
        <v>985</v>
      </c>
      <c r="O542" s="239"/>
      <c r="R542" s="25" t="s">
        <v>990</v>
      </c>
      <c r="S542" s="25"/>
      <c r="T542" s="188"/>
      <c r="U542" s="188"/>
      <c r="V542" s="25"/>
      <c r="W542" s="25"/>
      <c r="X542" s="25"/>
      <c r="Y542" s="25"/>
      <c r="Z542" s="25"/>
      <c r="AA542" s="25" t="s">
        <v>123</v>
      </c>
    </row>
    <row r="543" spans="1:28" x14ac:dyDescent="0.35">
      <c r="A543" s="29">
        <f t="shared" si="9"/>
        <v>114</v>
      </c>
      <c r="D543" s="239"/>
      <c r="E543" s="239"/>
      <c r="F543" s="239"/>
      <c r="O543" s="239"/>
      <c r="R543" s="25"/>
      <c r="S543" s="25"/>
      <c r="T543" s="188"/>
      <c r="U543" s="188"/>
      <c r="V543" s="25"/>
      <c r="W543" s="25"/>
      <c r="X543" s="25"/>
      <c r="Y543" s="25"/>
      <c r="Z543" s="25"/>
      <c r="AA543" s="25"/>
    </row>
    <row r="544" spans="1:28" x14ac:dyDescent="0.35">
      <c r="A544" s="29">
        <f t="shared" si="9"/>
        <v>115</v>
      </c>
      <c r="D544" s="239"/>
      <c r="E544" s="239"/>
      <c r="F544" s="239"/>
      <c r="O544" s="239"/>
      <c r="R544" s="25"/>
      <c r="S544" s="25"/>
      <c r="T544" s="188"/>
      <c r="U544" s="188"/>
      <c r="V544" s="25"/>
      <c r="W544" s="25"/>
      <c r="X544" s="25"/>
      <c r="Y544" s="25"/>
      <c r="Z544" s="25"/>
      <c r="AA544" s="25"/>
    </row>
    <row r="545" spans="1:27" x14ac:dyDescent="0.35">
      <c r="A545" s="29">
        <f t="shared" si="9"/>
        <v>116</v>
      </c>
      <c r="D545" s="239"/>
      <c r="E545" s="239"/>
      <c r="F545" s="239"/>
      <c r="O545" s="239"/>
      <c r="R545" s="25"/>
      <c r="S545" s="25"/>
      <c r="T545" s="188"/>
      <c r="U545" s="188"/>
      <c r="V545" s="25"/>
      <c r="W545" s="25"/>
      <c r="X545" s="25"/>
      <c r="Y545" s="25"/>
      <c r="Z545" s="25"/>
      <c r="AA545" s="25"/>
    </row>
    <row r="546" spans="1:27" x14ac:dyDescent="0.35">
      <c r="A546" s="29">
        <f t="shared" si="9"/>
        <v>117</v>
      </c>
      <c r="D546" s="239"/>
      <c r="E546" s="239"/>
      <c r="F546" s="239"/>
      <c r="O546" s="239"/>
      <c r="R546" s="25"/>
      <c r="S546" s="25"/>
      <c r="T546" s="188"/>
      <c r="U546" s="188"/>
      <c r="V546" s="25"/>
      <c r="W546" s="25"/>
      <c r="X546" s="25"/>
      <c r="Y546" s="25"/>
      <c r="Z546" s="25"/>
      <c r="AA546" s="25"/>
    </row>
    <row r="547" spans="1:27" x14ac:dyDescent="0.35">
      <c r="A547" s="29">
        <f t="shared" si="9"/>
        <v>118</v>
      </c>
      <c r="D547" s="239"/>
      <c r="E547" s="239"/>
      <c r="F547" s="239"/>
      <c r="O547" s="239"/>
      <c r="R547" s="25"/>
      <c r="S547" s="25"/>
      <c r="T547" s="188"/>
      <c r="U547" s="188"/>
      <c r="V547" s="25"/>
      <c r="W547" s="25"/>
      <c r="X547" s="25"/>
      <c r="Y547" s="25"/>
      <c r="Z547" s="25"/>
      <c r="AA547" s="25"/>
    </row>
    <row r="548" spans="1:27" x14ac:dyDescent="0.35">
      <c r="A548" s="29">
        <f t="shared" si="9"/>
        <v>119</v>
      </c>
      <c r="D548" s="239"/>
      <c r="E548" s="239"/>
      <c r="F548" s="239"/>
      <c r="O548" s="239"/>
      <c r="R548" s="25"/>
      <c r="S548" s="25"/>
      <c r="T548" s="188"/>
      <c r="U548" s="188"/>
      <c r="V548" s="25"/>
      <c r="W548" s="25"/>
      <c r="X548" s="25"/>
      <c r="Y548" s="25"/>
      <c r="Z548" s="25"/>
      <c r="AA548" s="25"/>
    </row>
    <row r="549" spans="1:27" x14ac:dyDescent="0.35">
      <c r="A549" s="29">
        <f t="shared" si="9"/>
        <v>120</v>
      </c>
      <c r="D549" s="239"/>
      <c r="E549" s="239"/>
      <c r="F549" s="239"/>
      <c r="O549" s="239"/>
      <c r="R549" s="25"/>
      <c r="S549" s="25"/>
      <c r="T549" s="188"/>
      <c r="U549" s="188"/>
      <c r="V549" s="25"/>
      <c r="W549" s="25"/>
      <c r="X549" s="25"/>
      <c r="Y549" s="25"/>
      <c r="Z549" s="25"/>
      <c r="AA549" s="25"/>
    </row>
    <row r="550" spans="1:27" x14ac:dyDescent="0.35">
      <c r="A550" s="29">
        <f t="shared" si="9"/>
        <v>121</v>
      </c>
      <c r="D550" s="239"/>
      <c r="E550" s="239"/>
      <c r="F550" s="239"/>
      <c r="O550" s="239"/>
      <c r="R550" s="25"/>
      <c r="S550" s="25"/>
      <c r="T550" s="188"/>
      <c r="U550" s="188"/>
      <c r="V550" s="25"/>
      <c r="W550" s="25"/>
      <c r="X550" s="25"/>
      <c r="Y550" s="25"/>
      <c r="Z550" s="25"/>
      <c r="AA550" s="25"/>
    </row>
    <row r="551" spans="1:27" x14ac:dyDescent="0.35">
      <c r="A551" s="29">
        <f t="shared" si="9"/>
        <v>122</v>
      </c>
      <c r="D551" s="239"/>
      <c r="E551" s="239"/>
      <c r="F551" s="239"/>
      <c r="O551" s="239"/>
      <c r="R551" s="25"/>
      <c r="S551" s="25"/>
      <c r="T551" s="188"/>
      <c r="U551" s="188"/>
      <c r="V551" s="25"/>
      <c r="W551" s="25"/>
      <c r="X551" s="25"/>
      <c r="Y551" s="25"/>
      <c r="Z551" s="25"/>
      <c r="AA551" s="25"/>
    </row>
    <row r="552" spans="1:27" x14ac:dyDescent="0.35">
      <c r="A552" s="29">
        <f t="shared" ref="A552:A577" si="11">A551+1</f>
        <v>123</v>
      </c>
      <c r="D552" s="239"/>
      <c r="E552" s="239"/>
      <c r="F552" s="239"/>
      <c r="O552" s="239"/>
      <c r="R552" s="25"/>
      <c r="S552" s="25"/>
      <c r="T552" s="188"/>
      <c r="U552" s="188"/>
      <c r="V552" s="25"/>
      <c r="W552" s="25"/>
      <c r="X552" s="25"/>
      <c r="Y552" s="25"/>
      <c r="Z552" s="25"/>
      <c r="AA552" s="25"/>
    </row>
    <row r="553" spans="1:27" x14ac:dyDescent="0.35">
      <c r="A553" s="29">
        <f t="shared" si="11"/>
        <v>124</v>
      </c>
      <c r="D553" s="239"/>
      <c r="E553" s="239"/>
      <c r="F553" s="239"/>
      <c r="O553" s="239"/>
      <c r="R553" s="25"/>
      <c r="S553" s="25"/>
      <c r="T553" s="188"/>
      <c r="U553" s="188"/>
      <c r="V553" s="25"/>
      <c r="W553" s="25"/>
      <c r="X553" s="25"/>
      <c r="Y553" s="25"/>
      <c r="Z553" s="25"/>
      <c r="AA553" s="25"/>
    </row>
    <row r="554" spans="1:27" x14ac:dyDescent="0.35">
      <c r="A554" s="29">
        <f t="shared" si="11"/>
        <v>125</v>
      </c>
      <c r="D554" s="239"/>
      <c r="E554" s="239"/>
      <c r="F554" s="239"/>
      <c r="O554" s="239"/>
      <c r="R554" s="25"/>
      <c r="S554" s="25"/>
      <c r="T554" s="188"/>
      <c r="U554" s="188"/>
      <c r="V554" s="25"/>
      <c r="W554" s="25"/>
      <c r="X554" s="25"/>
      <c r="Y554" s="25"/>
      <c r="Z554" s="25"/>
      <c r="AA554" s="25"/>
    </row>
    <row r="555" spans="1:27" x14ac:dyDescent="0.35">
      <c r="A555" s="29">
        <f t="shared" si="11"/>
        <v>126</v>
      </c>
      <c r="D555" s="239"/>
      <c r="E555" s="239"/>
      <c r="F555" s="239"/>
      <c r="O555" s="239"/>
      <c r="R555" s="25"/>
      <c r="S555" s="25"/>
      <c r="T555" s="188"/>
      <c r="U555" s="188"/>
      <c r="V555" s="25"/>
      <c r="W555" s="25"/>
      <c r="X555" s="25"/>
      <c r="Y555" s="25"/>
      <c r="Z555" s="25"/>
      <c r="AA555" s="25"/>
    </row>
    <row r="556" spans="1:27" x14ac:dyDescent="0.35">
      <c r="A556" s="29">
        <f t="shared" si="11"/>
        <v>127</v>
      </c>
      <c r="D556" s="239"/>
      <c r="E556" s="239"/>
      <c r="F556" s="239"/>
      <c r="O556" s="239"/>
      <c r="R556" s="25"/>
      <c r="S556" s="25"/>
      <c r="T556" s="188"/>
      <c r="U556" s="188"/>
      <c r="V556" s="25"/>
      <c r="W556" s="25"/>
      <c r="X556" s="25"/>
      <c r="Y556" s="25"/>
      <c r="Z556" s="25"/>
      <c r="AA556" s="25"/>
    </row>
    <row r="557" spans="1:27" x14ac:dyDescent="0.35">
      <c r="A557" s="29">
        <f t="shared" si="11"/>
        <v>128</v>
      </c>
      <c r="D557" s="239"/>
      <c r="E557" s="239"/>
      <c r="F557" s="239"/>
      <c r="O557" s="239"/>
      <c r="R557" s="25"/>
      <c r="S557" s="25"/>
      <c r="T557" s="188"/>
      <c r="U557" s="188"/>
      <c r="V557" s="25"/>
      <c r="W557" s="25"/>
      <c r="X557" s="25"/>
      <c r="Y557" s="25"/>
      <c r="Z557" s="25"/>
      <c r="AA557" s="25"/>
    </row>
    <row r="558" spans="1:27" x14ac:dyDescent="0.35">
      <c r="A558" s="29">
        <f t="shared" si="11"/>
        <v>129</v>
      </c>
      <c r="D558" s="239"/>
      <c r="E558" s="239"/>
      <c r="F558" s="239"/>
      <c r="O558" s="239"/>
      <c r="R558" s="25"/>
      <c r="S558" s="25"/>
      <c r="T558" s="188"/>
      <c r="U558" s="188"/>
      <c r="V558" s="25"/>
      <c r="W558" s="25"/>
      <c r="X558" s="25"/>
      <c r="Y558" s="25"/>
      <c r="Z558" s="25"/>
      <c r="AA558" s="25"/>
    </row>
    <row r="559" spans="1:27" x14ac:dyDescent="0.35">
      <c r="A559" s="29">
        <f t="shared" si="11"/>
        <v>130</v>
      </c>
      <c r="D559" s="239"/>
      <c r="E559" s="239"/>
      <c r="F559" s="239"/>
      <c r="O559" s="239"/>
      <c r="R559" s="25"/>
      <c r="S559" s="25"/>
      <c r="T559" s="188"/>
      <c r="U559" s="188"/>
      <c r="V559" s="25"/>
      <c r="W559" s="25"/>
      <c r="X559" s="25"/>
      <c r="Y559" s="25"/>
      <c r="Z559" s="25"/>
      <c r="AA559" s="25"/>
    </row>
    <row r="560" spans="1:27" x14ac:dyDescent="0.35">
      <c r="A560" s="29">
        <f t="shared" si="11"/>
        <v>131</v>
      </c>
      <c r="D560" s="239"/>
      <c r="E560" s="239"/>
      <c r="F560" s="239"/>
      <c r="O560" s="239"/>
      <c r="R560" s="25"/>
      <c r="S560" s="25"/>
      <c r="T560" s="188"/>
      <c r="U560" s="188"/>
      <c r="V560" s="25"/>
      <c r="W560" s="25"/>
      <c r="X560" s="25"/>
      <c r="Y560" s="25"/>
      <c r="Z560" s="25"/>
      <c r="AA560" s="25"/>
    </row>
    <row r="561" spans="1:27" x14ac:dyDescent="0.35">
      <c r="A561" s="29">
        <f t="shared" si="11"/>
        <v>132</v>
      </c>
      <c r="D561" s="239"/>
      <c r="E561" s="239"/>
      <c r="F561" s="239"/>
      <c r="O561" s="239"/>
      <c r="R561" s="25"/>
      <c r="S561" s="25"/>
      <c r="T561" s="188"/>
      <c r="U561" s="188"/>
      <c r="V561" s="25"/>
      <c r="W561" s="25"/>
      <c r="X561" s="25"/>
      <c r="Y561" s="25"/>
      <c r="Z561" s="25"/>
      <c r="AA561" s="25"/>
    </row>
    <row r="562" spans="1:27" x14ac:dyDescent="0.35">
      <c r="A562" s="29">
        <f t="shared" si="11"/>
        <v>133</v>
      </c>
      <c r="D562" s="239"/>
      <c r="E562" s="239"/>
      <c r="F562" s="239"/>
      <c r="O562" s="239"/>
      <c r="R562" s="25"/>
      <c r="S562" s="25"/>
      <c r="T562" s="188"/>
      <c r="U562" s="188"/>
      <c r="V562" s="25"/>
      <c r="W562" s="25"/>
      <c r="X562" s="25"/>
      <c r="Y562" s="25"/>
      <c r="Z562" s="25"/>
      <c r="AA562" s="25"/>
    </row>
    <row r="563" spans="1:27" x14ac:dyDescent="0.35">
      <c r="A563" s="29">
        <f t="shared" si="11"/>
        <v>134</v>
      </c>
      <c r="D563" s="239"/>
      <c r="E563" s="239"/>
      <c r="F563" s="239"/>
      <c r="O563" s="239"/>
      <c r="R563" s="25"/>
      <c r="S563" s="25"/>
      <c r="T563" s="188"/>
      <c r="U563" s="188"/>
      <c r="V563" s="25"/>
      <c r="W563" s="25"/>
      <c r="X563" s="25"/>
      <c r="Y563" s="25"/>
      <c r="Z563" s="25"/>
      <c r="AA563" s="25"/>
    </row>
    <row r="564" spans="1:27" x14ac:dyDescent="0.35">
      <c r="A564" s="29">
        <f t="shared" si="11"/>
        <v>135</v>
      </c>
      <c r="D564" s="239"/>
      <c r="E564" s="239"/>
      <c r="F564" s="239"/>
      <c r="O564" s="239"/>
      <c r="R564" s="25"/>
      <c r="S564" s="25"/>
      <c r="T564" s="188"/>
      <c r="U564" s="188"/>
      <c r="V564" s="25"/>
      <c r="W564" s="25"/>
      <c r="X564" s="25"/>
      <c r="Y564" s="25"/>
      <c r="Z564" s="25"/>
      <c r="AA564" s="25"/>
    </row>
    <row r="565" spans="1:27" x14ac:dyDescent="0.35">
      <c r="A565" s="29">
        <f t="shared" si="11"/>
        <v>136</v>
      </c>
      <c r="D565" s="239"/>
      <c r="E565" s="239"/>
      <c r="F565" s="239"/>
      <c r="O565" s="239"/>
      <c r="R565" s="25"/>
      <c r="S565" s="25"/>
      <c r="T565" s="188"/>
      <c r="U565" s="188"/>
      <c r="V565" s="25"/>
      <c r="W565" s="25"/>
      <c r="X565" s="25"/>
      <c r="Y565" s="25"/>
      <c r="Z565" s="25"/>
      <c r="AA565" s="25"/>
    </row>
    <row r="566" spans="1:27" x14ac:dyDescent="0.35">
      <c r="A566" s="29">
        <f t="shared" si="11"/>
        <v>137</v>
      </c>
      <c r="D566" s="239"/>
      <c r="E566" s="239"/>
      <c r="F566" s="239"/>
      <c r="O566" s="239"/>
      <c r="R566" s="25"/>
      <c r="S566" s="25"/>
      <c r="T566" s="188"/>
      <c r="U566" s="188"/>
      <c r="V566" s="25"/>
      <c r="W566" s="25"/>
      <c r="X566" s="25"/>
      <c r="Y566" s="25"/>
      <c r="Z566" s="25"/>
      <c r="AA566" s="25"/>
    </row>
    <row r="567" spans="1:27" x14ac:dyDescent="0.35">
      <c r="A567" s="29">
        <f t="shared" si="11"/>
        <v>138</v>
      </c>
      <c r="D567" s="239"/>
      <c r="E567" s="239"/>
      <c r="F567" s="239"/>
      <c r="O567" s="239"/>
      <c r="R567" s="25"/>
      <c r="S567" s="25"/>
      <c r="T567" s="188"/>
      <c r="U567" s="188"/>
      <c r="V567" s="25"/>
      <c r="W567" s="25"/>
      <c r="X567" s="25"/>
      <c r="Y567" s="25"/>
      <c r="Z567" s="25"/>
      <c r="AA567" s="25"/>
    </row>
    <row r="568" spans="1:27" x14ac:dyDescent="0.35">
      <c r="A568" s="29">
        <f t="shared" si="11"/>
        <v>139</v>
      </c>
      <c r="D568" s="239"/>
      <c r="E568" s="239"/>
      <c r="F568" s="239"/>
      <c r="O568" s="239"/>
      <c r="R568" s="25"/>
      <c r="S568" s="25"/>
      <c r="T568" s="188"/>
      <c r="U568" s="188"/>
      <c r="V568" s="25"/>
      <c r="W568" s="25"/>
      <c r="X568" s="25"/>
      <c r="Y568" s="25"/>
      <c r="Z568" s="25"/>
      <c r="AA568" s="25"/>
    </row>
    <row r="569" spans="1:27" x14ac:dyDescent="0.35">
      <c r="A569" s="29">
        <f t="shared" si="11"/>
        <v>140</v>
      </c>
      <c r="D569" s="239"/>
      <c r="E569" s="239"/>
      <c r="F569" s="239"/>
      <c r="O569" s="239"/>
      <c r="R569" s="25"/>
      <c r="S569" s="25"/>
      <c r="T569" s="188"/>
      <c r="U569" s="188"/>
      <c r="V569" s="25"/>
      <c r="W569" s="25"/>
      <c r="X569" s="25"/>
      <c r="Y569" s="25"/>
      <c r="Z569" s="25"/>
      <c r="AA569" s="25"/>
    </row>
    <row r="570" spans="1:27" x14ac:dyDescent="0.35">
      <c r="A570" s="29">
        <f t="shared" si="11"/>
        <v>141</v>
      </c>
      <c r="D570" s="239"/>
      <c r="E570" s="239"/>
      <c r="F570" s="239"/>
      <c r="O570" s="239"/>
      <c r="R570" s="25"/>
      <c r="S570" s="25"/>
      <c r="T570" s="188"/>
      <c r="U570" s="188"/>
      <c r="V570" s="25"/>
      <c r="W570" s="25"/>
      <c r="X570" s="25"/>
      <c r="Y570" s="25"/>
      <c r="Z570" s="25"/>
      <c r="AA570" s="25"/>
    </row>
    <row r="571" spans="1:27" x14ac:dyDescent="0.35">
      <c r="A571" s="29">
        <f t="shared" si="11"/>
        <v>142</v>
      </c>
      <c r="D571" s="239"/>
      <c r="E571" s="239"/>
      <c r="F571" s="239"/>
      <c r="O571" s="239"/>
      <c r="R571" s="25"/>
      <c r="S571" s="25"/>
      <c r="T571" s="188"/>
      <c r="U571" s="188"/>
      <c r="V571" s="25"/>
      <c r="W571" s="25"/>
      <c r="X571" s="25"/>
      <c r="Y571" s="25"/>
      <c r="Z571" s="25"/>
      <c r="AA571" s="25"/>
    </row>
    <row r="572" spans="1:27" x14ac:dyDescent="0.35">
      <c r="A572" s="29">
        <f t="shared" si="11"/>
        <v>143</v>
      </c>
      <c r="D572" s="239"/>
      <c r="E572" s="239"/>
      <c r="F572" s="239"/>
      <c r="O572" s="239"/>
      <c r="R572" s="25"/>
      <c r="S572" s="25"/>
      <c r="T572" s="188"/>
      <c r="U572" s="188"/>
      <c r="V572" s="25"/>
      <c r="W572" s="25"/>
      <c r="X572" s="25"/>
      <c r="Y572" s="25"/>
      <c r="Z572" s="25"/>
      <c r="AA572" s="25"/>
    </row>
    <row r="573" spans="1:27" x14ac:dyDescent="0.35">
      <c r="A573" s="29">
        <f t="shared" si="11"/>
        <v>144</v>
      </c>
      <c r="D573" s="239"/>
      <c r="E573" s="239"/>
      <c r="F573" s="239"/>
      <c r="O573" s="239"/>
      <c r="R573" s="25"/>
      <c r="S573" s="25"/>
      <c r="T573" s="188"/>
      <c r="U573" s="188"/>
      <c r="V573" s="25"/>
      <c r="W573" s="25"/>
      <c r="X573" s="25"/>
      <c r="Y573" s="25"/>
      <c r="Z573" s="25"/>
      <c r="AA573" s="25"/>
    </row>
    <row r="574" spans="1:27" x14ac:dyDescent="0.35">
      <c r="A574" s="29">
        <f t="shared" si="11"/>
        <v>145</v>
      </c>
      <c r="D574" s="239"/>
      <c r="E574" s="239"/>
      <c r="F574" s="239"/>
      <c r="O574" s="239"/>
      <c r="R574" s="25"/>
      <c r="S574" s="25"/>
      <c r="T574" s="188"/>
      <c r="U574" s="188"/>
      <c r="V574" s="25"/>
      <c r="W574" s="25"/>
      <c r="X574" s="25"/>
      <c r="Y574" s="25"/>
      <c r="Z574" s="25"/>
      <c r="AA574" s="25"/>
    </row>
    <row r="575" spans="1:27" x14ac:dyDescent="0.35">
      <c r="A575" s="29">
        <f t="shared" si="11"/>
        <v>146</v>
      </c>
      <c r="D575" s="239"/>
      <c r="E575" s="239"/>
      <c r="F575" s="239"/>
      <c r="O575" s="239"/>
      <c r="R575" s="25"/>
      <c r="S575" s="25"/>
      <c r="T575" s="188"/>
      <c r="U575" s="188"/>
      <c r="V575" s="25"/>
      <c r="W575" s="25"/>
      <c r="X575" s="25"/>
      <c r="Y575" s="25"/>
      <c r="Z575" s="25"/>
      <c r="AA575" s="25"/>
    </row>
    <row r="576" spans="1:27" x14ac:dyDescent="0.35">
      <c r="A576" s="29">
        <f t="shared" si="11"/>
        <v>147</v>
      </c>
      <c r="D576" s="239"/>
      <c r="E576" s="239"/>
      <c r="F576" s="239"/>
      <c r="O576" s="239"/>
      <c r="R576" s="25"/>
      <c r="S576" s="25"/>
      <c r="T576" s="188"/>
      <c r="U576" s="188"/>
      <c r="V576" s="25"/>
      <c r="W576" s="25"/>
      <c r="X576" s="25"/>
      <c r="Y576" s="25"/>
      <c r="Z576" s="25"/>
      <c r="AA576" s="25"/>
    </row>
    <row r="577" spans="1:27" x14ac:dyDescent="0.35">
      <c r="A577" s="29">
        <f t="shared" si="11"/>
        <v>148</v>
      </c>
      <c r="D577" s="239"/>
      <c r="E577" s="239"/>
      <c r="F577" s="239"/>
      <c r="O577" s="239"/>
      <c r="R577" s="25"/>
      <c r="S577" s="25"/>
      <c r="T577" s="188"/>
      <c r="U577" s="188"/>
      <c r="V577" s="25"/>
      <c r="W577" s="25"/>
      <c r="X577" s="25"/>
      <c r="Y577" s="25"/>
      <c r="Z577" s="25"/>
      <c r="AA577" s="25"/>
    </row>
  </sheetData>
  <autoFilter ref="A5:Q476" xr:uid="{00000000-0009-0000-0000-000000000000}">
    <filterColumn colId="7">
      <filters>
        <filter val="03.02.2025"/>
        <dateGroupItem year="2025" dateTimeGrouping="year"/>
      </filters>
    </filterColumn>
    <filterColumn colId="14">
      <filters blank="1">
        <filter val="Акт тех.экспертизы № А0410-Т-01 от 10.04.2025_x000a_о рассмотрении ремонтных работ"/>
        <filter val="В поставке на ремонт, только вентилятор с электромоторчиком. Осуществляем замену?"/>
        <filter val="В ремонт направлены только токовые клещи"/>
        <filter val="Замена АКБ/гальванического элемента. Замена кнопки включения"/>
        <filter val="не нашел в АПП"/>
        <filter val="Осуществляем замену?"/>
        <filter val="передавался 1 батарейный модуль, без заводского номера"/>
        <filter val="Подключаемые к скнеру вихретоковые преобразователи в поставке с оборудованием отсутствуют"/>
        <filter val="Произведена дефектовка. Запрос ТКП на ЗИП"/>
        <filter val="Рассмотреть приобретение рос аналогов (ТКП и письмо Булашев) либо списание"/>
        <filter val="Установлен одноканавочный шток с резиновым уплотнителем. для корректной работы АП, при использовании_x000a_одноканавочного штока необходимо применять полиуретановый_x000a_уплотнитель. В двухканавочном штоке применять резиновые уплотнители."/>
      </filters>
    </filterColumn>
  </autoFilter>
  <mergeCells count="31">
    <mergeCell ref="AA2:AA5"/>
    <mergeCell ref="Z2:Z5"/>
    <mergeCell ref="Y2:Y5"/>
    <mergeCell ref="X2:X5"/>
    <mergeCell ref="W2:W5"/>
    <mergeCell ref="V2:V5"/>
    <mergeCell ref="U2:U5"/>
    <mergeCell ref="A2:A4"/>
    <mergeCell ref="B2:C2"/>
    <mergeCell ref="D2:F2"/>
    <mergeCell ref="B3:B4"/>
    <mergeCell ref="C3:C4"/>
    <mergeCell ref="D3:D4"/>
    <mergeCell ref="E3:E4"/>
    <mergeCell ref="F3:F4"/>
    <mergeCell ref="U478:U484"/>
    <mergeCell ref="G3:G4"/>
    <mergeCell ref="H3:H4"/>
    <mergeCell ref="I3:I4"/>
    <mergeCell ref="N3:N4"/>
    <mergeCell ref="O3:O4"/>
    <mergeCell ref="S2:S5"/>
    <mergeCell ref="S478:S484"/>
    <mergeCell ref="T2:T5"/>
    <mergeCell ref="T478:T484"/>
    <mergeCell ref="R478:R484"/>
    <mergeCell ref="Q3:Q4"/>
    <mergeCell ref="P3:P4"/>
    <mergeCell ref="R1:R5"/>
    <mergeCell ref="I2:O2"/>
    <mergeCell ref="J3:M3"/>
  </mergeCells>
  <phoneticPr fontId="20" type="noConversion"/>
  <conditionalFormatting sqref="F136:F137">
    <cfRule type="duplicateValues" dxfId="5" priority="9"/>
    <cfRule type="colorScale" priority="10">
      <colorScale>
        <cfvo type="num" val="0"/>
        <cfvo type="num" val="0"/>
        <color rgb="FFFF7128"/>
        <color rgb="FFFFEF9C"/>
      </colorScale>
    </cfRule>
  </conditionalFormatting>
  <conditionalFormatting sqref="F138:F140">
    <cfRule type="duplicateValues" dxfId="4" priority="7"/>
    <cfRule type="colorScale" priority="8">
      <colorScale>
        <cfvo type="num" val="0"/>
        <cfvo type="num" val="0"/>
        <color rgb="FFFF7128"/>
        <color rgb="FFFFEF9C"/>
      </colorScale>
    </cfRule>
  </conditionalFormatting>
  <conditionalFormatting sqref="F141">
    <cfRule type="duplicateValues" dxfId="3" priority="5"/>
    <cfRule type="colorScale" priority="6">
      <colorScale>
        <cfvo type="num" val="0"/>
        <cfvo type="num" val="0"/>
        <color rgb="FFFF7128"/>
        <color rgb="FFFFEF9C"/>
      </colorScale>
    </cfRule>
  </conditionalFormatting>
  <conditionalFormatting sqref="F142">
    <cfRule type="duplicateValues" dxfId="2" priority="3"/>
    <cfRule type="colorScale" priority="4">
      <colorScale>
        <cfvo type="num" val="0"/>
        <cfvo type="num" val="0"/>
        <color rgb="FFFF7128"/>
        <color rgb="FFFFEF9C"/>
      </colorScale>
    </cfRule>
  </conditionalFormatting>
  <conditionalFormatting sqref="F143">
    <cfRule type="duplicateValues" dxfId="1" priority="1"/>
    <cfRule type="colorScale" priority="2">
      <colorScale>
        <cfvo type="num" val="0"/>
        <cfvo type="num" val="0"/>
        <color rgb="FFFF7128"/>
        <color rgb="FFFFEF9C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W38"/>
  <sheetViews>
    <sheetView zoomScale="70" zoomScaleNormal="70" workbookViewId="0">
      <selection activeCell="D32" sqref="D32"/>
    </sheetView>
  </sheetViews>
  <sheetFormatPr defaultColWidth="9.1796875" defaultRowHeight="14.5" x14ac:dyDescent="0.35"/>
  <cols>
    <col min="1" max="1" width="6.1796875" style="3" customWidth="1"/>
    <col min="2" max="2" width="13" style="3" hidden="1" customWidth="1"/>
    <col min="3" max="3" width="24.54296875" style="3" hidden="1" customWidth="1"/>
    <col min="4" max="4" width="32.453125" style="3" customWidth="1"/>
    <col min="5" max="5" width="26.81640625" style="3" customWidth="1"/>
    <col min="6" max="6" width="21.453125" style="3" customWidth="1"/>
    <col min="7" max="7" width="31.453125" style="3" customWidth="1"/>
    <col min="8" max="8" width="18.81640625" style="3" hidden="1" customWidth="1"/>
    <col min="9" max="9" width="16.453125" style="3" hidden="1" customWidth="1"/>
    <col min="10" max="10" width="17.81640625" style="3" hidden="1" customWidth="1"/>
    <col min="11" max="11" width="19.54296875" style="3" hidden="1" customWidth="1"/>
    <col min="12" max="12" width="19.453125" style="3" hidden="1" customWidth="1"/>
    <col min="13" max="14" width="14.1796875" style="1" customWidth="1"/>
    <col min="15" max="15" width="20.1796875" style="1" customWidth="1"/>
    <col min="16" max="16" width="20.1796875" style="1" hidden="1" customWidth="1"/>
    <col min="17" max="18" width="20.1796875" style="1" customWidth="1"/>
    <col min="19" max="19" width="24.81640625" style="1" customWidth="1"/>
    <col min="20" max="20" width="16.453125" style="1" customWidth="1"/>
    <col min="21" max="21" width="35.1796875" style="1" customWidth="1"/>
    <col min="22" max="22" width="25.54296875" style="1" customWidth="1" collapsed="1"/>
    <col min="23" max="23" width="15.54296875" style="1" customWidth="1"/>
    <col min="24" max="24" width="31.54296875" style="1" customWidth="1"/>
    <col min="25" max="25" width="26.81640625" style="1" customWidth="1"/>
    <col min="26" max="16384" width="9.1796875" style="1"/>
  </cols>
  <sheetData>
    <row r="1" spans="1:23" ht="23.25" customHeight="1" x14ac:dyDescent="0.35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3" t="s">
        <v>1</v>
      </c>
      <c r="N1" s="284"/>
      <c r="O1" s="284"/>
      <c r="P1" s="284"/>
      <c r="Q1" s="284"/>
      <c r="R1" s="284"/>
      <c r="S1" s="284"/>
      <c r="T1" s="284"/>
      <c r="U1" s="284"/>
      <c r="V1" s="285"/>
      <c r="W1" s="14"/>
    </row>
    <row r="2" spans="1:23" ht="15.75" customHeight="1" x14ac:dyDescent="0.35">
      <c r="A2" s="271" t="s">
        <v>2</v>
      </c>
      <c r="B2" s="272" t="s">
        <v>3</v>
      </c>
      <c r="C2" s="272"/>
      <c r="D2" s="273" t="s">
        <v>4</v>
      </c>
      <c r="E2" s="274"/>
      <c r="F2" s="274"/>
      <c r="G2" s="4" t="s">
        <v>5</v>
      </c>
      <c r="H2" s="5"/>
      <c r="I2" s="273" t="s">
        <v>6</v>
      </c>
      <c r="J2" s="274"/>
      <c r="K2" s="274"/>
      <c r="L2" s="286"/>
      <c r="M2" s="10" t="s">
        <v>127</v>
      </c>
      <c r="N2" s="266" t="s">
        <v>7</v>
      </c>
      <c r="O2" s="267"/>
      <c r="P2" s="267"/>
      <c r="Q2" s="267"/>
      <c r="R2" s="267"/>
      <c r="S2" s="267"/>
      <c r="T2" s="267"/>
      <c r="U2" s="268"/>
      <c r="V2" s="10" t="s">
        <v>127</v>
      </c>
      <c r="W2" s="14"/>
    </row>
    <row r="3" spans="1:23" ht="45" customHeight="1" x14ac:dyDescent="0.35">
      <c r="A3" s="271"/>
      <c r="B3" s="271" t="s">
        <v>99</v>
      </c>
      <c r="C3" s="271" t="s">
        <v>8</v>
      </c>
      <c r="D3" s="271" t="s">
        <v>9</v>
      </c>
      <c r="E3" s="271" t="s">
        <v>10</v>
      </c>
      <c r="F3" s="271" t="s">
        <v>102</v>
      </c>
      <c r="G3" s="246" t="s">
        <v>11</v>
      </c>
      <c r="H3" s="275" t="s">
        <v>98</v>
      </c>
      <c r="I3" s="246" t="s">
        <v>12</v>
      </c>
      <c r="J3" s="271" t="s">
        <v>13</v>
      </c>
      <c r="K3" s="271" t="s">
        <v>14</v>
      </c>
      <c r="L3" s="271" t="s">
        <v>15</v>
      </c>
      <c r="M3" s="248" t="s">
        <v>104</v>
      </c>
      <c r="N3" s="249" t="s">
        <v>101</v>
      </c>
      <c r="O3" s="279" t="s">
        <v>115</v>
      </c>
      <c r="P3" s="280"/>
      <c r="Q3" s="280"/>
      <c r="R3" s="280"/>
      <c r="S3" s="281"/>
      <c r="T3" s="249" t="s">
        <v>112</v>
      </c>
      <c r="U3" s="248" t="s">
        <v>113</v>
      </c>
      <c r="V3" s="248" t="s">
        <v>114</v>
      </c>
      <c r="W3" s="277" t="s">
        <v>108</v>
      </c>
    </row>
    <row r="4" spans="1:23" ht="45" customHeight="1" x14ac:dyDescent="0.35">
      <c r="A4" s="271"/>
      <c r="B4" s="271" t="s">
        <v>17</v>
      </c>
      <c r="C4" s="271" t="s">
        <v>18</v>
      </c>
      <c r="D4" s="271"/>
      <c r="E4" s="271" t="s">
        <v>10</v>
      </c>
      <c r="F4" s="271" t="s">
        <v>19</v>
      </c>
      <c r="G4" s="247"/>
      <c r="H4" s="276"/>
      <c r="I4" s="247"/>
      <c r="J4" s="271" t="s">
        <v>13</v>
      </c>
      <c r="K4" s="271" t="s">
        <v>20</v>
      </c>
      <c r="L4" s="271" t="s">
        <v>21</v>
      </c>
      <c r="M4" s="248"/>
      <c r="N4" s="250"/>
      <c r="O4" s="12" t="s">
        <v>16</v>
      </c>
      <c r="P4" s="15" t="s">
        <v>103</v>
      </c>
      <c r="Q4" s="12" t="s">
        <v>109</v>
      </c>
      <c r="R4" s="12" t="s">
        <v>110</v>
      </c>
      <c r="S4" s="12" t="s">
        <v>111</v>
      </c>
      <c r="T4" s="250"/>
      <c r="U4" s="248"/>
      <c r="V4" s="248" t="s">
        <v>22</v>
      </c>
      <c r="W4" s="278"/>
    </row>
    <row r="5" spans="1:23" ht="15" customHeight="1" x14ac:dyDescent="0.35">
      <c r="A5" s="2">
        <v>1</v>
      </c>
      <c r="B5" s="2">
        <v>2</v>
      </c>
      <c r="C5" s="2">
        <v>3</v>
      </c>
      <c r="D5" s="2">
        <v>2</v>
      </c>
      <c r="E5" s="2">
        <v>3</v>
      </c>
      <c r="F5" s="2">
        <v>4</v>
      </c>
      <c r="G5" s="2">
        <v>5</v>
      </c>
      <c r="H5" s="2">
        <v>4.2</v>
      </c>
      <c r="I5" s="2">
        <v>4.5999999999999996</v>
      </c>
      <c r="J5" s="2">
        <v>5</v>
      </c>
      <c r="K5" s="2">
        <v>5.4</v>
      </c>
      <c r="L5" s="2">
        <v>5.8</v>
      </c>
      <c r="M5" s="2">
        <v>6</v>
      </c>
      <c r="N5" s="2">
        <v>7</v>
      </c>
      <c r="O5" s="2">
        <v>8</v>
      </c>
      <c r="P5" s="2">
        <v>8.1999999999999993</v>
      </c>
      <c r="Q5" s="2">
        <v>9</v>
      </c>
      <c r="R5" s="2">
        <v>10</v>
      </c>
      <c r="S5" s="2">
        <v>11</v>
      </c>
      <c r="T5" s="2">
        <v>12</v>
      </c>
      <c r="U5" s="2">
        <v>13</v>
      </c>
      <c r="V5" s="2">
        <v>14</v>
      </c>
      <c r="W5" s="2">
        <v>15</v>
      </c>
    </row>
    <row r="6" spans="1:23" ht="43.5" x14ac:dyDescent="0.35">
      <c r="A6" s="6">
        <v>86</v>
      </c>
      <c r="B6" s="7" t="s">
        <v>33</v>
      </c>
      <c r="C6" s="7" t="s">
        <v>33</v>
      </c>
      <c r="D6" s="7" t="s">
        <v>37</v>
      </c>
      <c r="E6" s="7" t="s">
        <v>38</v>
      </c>
      <c r="F6" s="8" t="s">
        <v>41</v>
      </c>
      <c r="G6" s="7"/>
      <c r="H6" s="7" t="s">
        <v>32</v>
      </c>
      <c r="I6" s="7" t="s">
        <v>97</v>
      </c>
      <c r="J6" s="9">
        <v>45410</v>
      </c>
      <c r="K6" s="9">
        <v>45429</v>
      </c>
      <c r="L6" s="9">
        <v>45433</v>
      </c>
      <c r="M6" s="36">
        <v>45442</v>
      </c>
      <c r="N6" s="7" t="s">
        <v>100</v>
      </c>
      <c r="O6" s="7" t="s">
        <v>538</v>
      </c>
      <c r="P6" s="7"/>
      <c r="Q6" s="9">
        <v>45860</v>
      </c>
      <c r="R6" s="7"/>
      <c r="S6" s="9">
        <v>45908</v>
      </c>
      <c r="T6" s="11">
        <f t="shared" ref="T6:T38" ca="1" si="0">DATEDIF(M6,TODAY(),"D")</f>
        <v>670</v>
      </c>
      <c r="U6" s="7"/>
      <c r="V6" s="7"/>
      <c r="W6" s="7"/>
    </row>
    <row r="7" spans="1:23" ht="43.5" x14ac:dyDescent="0.35">
      <c r="A7" s="6">
        <v>87</v>
      </c>
      <c r="B7" s="7" t="s">
        <v>33</v>
      </c>
      <c r="C7" s="7" t="s">
        <v>33</v>
      </c>
      <c r="D7" s="7" t="s">
        <v>37</v>
      </c>
      <c r="E7" s="7" t="s">
        <v>38</v>
      </c>
      <c r="F7" s="8" t="s">
        <v>42</v>
      </c>
      <c r="G7" s="7"/>
      <c r="H7" s="7" t="s">
        <v>32</v>
      </c>
      <c r="I7" s="7" t="s">
        <v>97</v>
      </c>
      <c r="J7" s="9">
        <v>45411</v>
      </c>
      <c r="K7" s="9">
        <v>45429</v>
      </c>
      <c r="L7" s="9">
        <v>45433</v>
      </c>
      <c r="M7" s="36">
        <v>45442</v>
      </c>
      <c r="N7" s="7" t="s">
        <v>100</v>
      </c>
      <c r="O7" s="7" t="s">
        <v>538</v>
      </c>
      <c r="P7" s="7"/>
      <c r="Q7" s="9">
        <v>45860</v>
      </c>
      <c r="R7" s="7"/>
      <c r="S7" s="9">
        <v>45908</v>
      </c>
      <c r="T7" s="11">
        <f t="shared" ca="1" si="0"/>
        <v>670</v>
      </c>
      <c r="U7" s="7"/>
      <c r="V7" s="7"/>
      <c r="W7" s="7"/>
    </row>
    <row r="8" spans="1:23" ht="43.5" x14ac:dyDescent="0.35">
      <c r="A8" s="6">
        <v>89</v>
      </c>
      <c r="B8" s="7" t="s">
        <v>33</v>
      </c>
      <c r="C8" s="7" t="s">
        <v>33</v>
      </c>
      <c r="D8" s="7" t="s">
        <v>37</v>
      </c>
      <c r="E8" s="7" t="s">
        <v>38</v>
      </c>
      <c r="F8" s="8" t="s">
        <v>44</v>
      </c>
      <c r="G8" s="7"/>
      <c r="H8" s="7" t="s">
        <v>32</v>
      </c>
      <c r="I8" s="7" t="s">
        <v>97</v>
      </c>
      <c r="J8" s="9">
        <v>45413</v>
      </c>
      <c r="K8" s="9">
        <v>45429</v>
      </c>
      <c r="L8" s="9">
        <v>45433</v>
      </c>
      <c r="M8" s="36">
        <v>45442</v>
      </c>
      <c r="N8" s="7" t="s">
        <v>100</v>
      </c>
      <c r="O8" s="7" t="s">
        <v>538</v>
      </c>
      <c r="P8" s="7"/>
      <c r="Q8" s="9">
        <v>45860</v>
      </c>
      <c r="R8" s="7"/>
      <c r="S8" s="9">
        <v>45908</v>
      </c>
      <c r="T8" s="11">
        <f t="shared" ca="1" si="0"/>
        <v>670</v>
      </c>
      <c r="U8" s="7"/>
      <c r="V8" s="7"/>
      <c r="W8" s="7"/>
    </row>
    <row r="9" spans="1:23" ht="43.5" x14ac:dyDescent="0.35">
      <c r="A9" s="6">
        <v>100</v>
      </c>
      <c r="B9" s="7" t="s">
        <v>33</v>
      </c>
      <c r="C9" s="7" t="s">
        <v>33</v>
      </c>
      <c r="D9" s="7" t="s">
        <v>37</v>
      </c>
      <c r="E9" s="7" t="s">
        <v>38</v>
      </c>
      <c r="F9" s="8" t="s">
        <v>62</v>
      </c>
      <c r="G9" s="7"/>
      <c r="H9" s="7" t="s">
        <v>32</v>
      </c>
      <c r="I9" s="7" t="s">
        <v>97</v>
      </c>
      <c r="J9" s="9">
        <v>45465</v>
      </c>
      <c r="K9" s="9">
        <v>45468</v>
      </c>
      <c r="L9" s="9">
        <v>45469</v>
      </c>
      <c r="M9" s="9">
        <v>45442</v>
      </c>
      <c r="N9" s="7" t="s">
        <v>100</v>
      </c>
      <c r="O9" s="7" t="s">
        <v>538</v>
      </c>
      <c r="P9" s="7"/>
      <c r="Q9" s="9">
        <v>45860</v>
      </c>
      <c r="R9" s="7"/>
      <c r="S9" s="9">
        <v>45908</v>
      </c>
      <c r="T9" s="11">
        <f t="shared" ca="1" si="0"/>
        <v>670</v>
      </c>
      <c r="U9" s="7"/>
      <c r="V9" s="7"/>
      <c r="W9" s="7"/>
    </row>
    <row r="10" spans="1:23" ht="17.25" customHeight="1" x14ac:dyDescent="0.35">
      <c r="A10" s="6">
        <v>83</v>
      </c>
      <c r="B10" s="7" t="s">
        <v>33</v>
      </c>
      <c r="C10" s="7" t="s">
        <v>33</v>
      </c>
      <c r="D10" s="7" t="s">
        <v>37</v>
      </c>
      <c r="E10" s="7" t="s">
        <v>38</v>
      </c>
      <c r="F10" s="8" t="s">
        <v>39</v>
      </c>
      <c r="G10" s="7"/>
      <c r="H10" s="7" t="s">
        <v>32</v>
      </c>
      <c r="I10" s="7" t="s">
        <v>97</v>
      </c>
      <c r="J10" s="9">
        <v>45362</v>
      </c>
      <c r="K10" s="9">
        <v>45360</v>
      </c>
      <c r="L10" s="9">
        <v>45369</v>
      </c>
      <c r="M10" s="36">
        <v>45433</v>
      </c>
      <c r="N10" s="7" t="s">
        <v>100</v>
      </c>
      <c r="O10" s="7" t="s">
        <v>105</v>
      </c>
      <c r="P10" s="7"/>
      <c r="Q10" s="9">
        <v>45860</v>
      </c>
      <c r="R10" s="7"/>
      <c r="S10" s="9">
        <v>45869</v>
      </c>
      <c r="T10" s="11">
        <f t="shared" ca="1" si="0"/>
        <v>679</v>
      </c>
      <c r="U10" s="7" t="s">
        <v>590</v>
      </c>
      <c r="V10" s="7"/>
      <c r="W10" s="7"/>
    </row>
    <row r="11" spans="1:23" ht="17.25" customHeight="1" x14ac:dyDescent="0.35">
      <c r="A11" s="6">
        <v>85</v>
      </c>
      <c r="B11" s="7" t="s">
        <v>33</v>
      </c>
      <c r="C11" s="7" t="s">
        <v>33</v>
      </c>
      <c r="D11" s="7" t="s">
        <v>37</v>
      </c>
      <c r="E11" s="7" t="s">
        <v>38</v>
      </c>
      <c r="F11" s="8" t="s">
        <v>40</v>
      </c>
      <c r="G11" s="7"/>
      <c r="H11" s="7" t="s">
        <v>32</v>
      </c>
      <c r="I11" s="7" t="s">
        <v>97</v>
      </c>
      <c r="J11" s="9">
        <v>45362</v>
      </c>
      <c r="K11" s="9">
        <v>45360</v>
      </c>
      <c r="L11" s="9">
        <v>45369</v>
      </c>
      <c r="M11" s="36">
        <v>45433</v>
      </c>
      <c r="N11" s="7" t="s">
        <v>100</v>
      </c>
      <c r="O11" s="7" t="s">
        <v>105</v>
      </c>
      <c r="P11" s="7"/>
      <c r="Q11" s="9">
        <v>45860</v>
      </c>
      <c r="R11" s="7"/>
      <c r="S11" s="9">
        <v>45869</v>
      </c>
      <c r="T11" s="11">
        <f t="shared" ca="1" si="0"/>
        <v>679</v>
      </c>
      <c r="U11" s="7" t="s">
        <v>590</v>
      </c>
      <c r="V11" s="7"/>
      <c r="W11" s="7"/>
    </row>
    <row r="12" spans="1:23" ht="15" customHeight="1" x14ac:dyDescent="0.35">
      <c r="A12" s="6">
        <v>88</v>
      </c>
      <c r="B12" s="7" t="s">
        <v>33</v>
      </c>
      <c r="C12" s="7" t="s">
        <v>33</v>
      </c>
      <c r="D12" s="7" t="s">
        <v>37</v>
      </c>
      <c r="E12" s="7" t="s">
        <v>38</v>
      </c>
      <c r="F12" s="42" t="s">
        <v>43</v>
      </c>
      <c r="G12" s="7"/>
      <c r="H12" s="7" t="s">
        <v>32</v>
      </c>
      <c r="I12" s="7" t="s">
        <v>97</v>
      </c>
      <c r="J12" s="9">
        <v>45412</v>
      </c>
      <c r="K12" s="9">
        <v>45429</v>
      </c>
      <c r="L12" s="9">
        <v>45433</v>
      </c>
      <c r="M12" s="36">
        <v>45442</v>
      </c>
      <c r="N12" s="7" t="s">
        <v>100</v>
      </c>
      <c r="O12" s="7" t="s">
        <v>105</v>
      </c>
      <c r="P12" s="7"/>
      <c r="Q12" s="9">
        <v>45860</v>
      </c>
      <c r="R12" s="7"/>
      <c r="S12" s="9">
        <v>45869</v>
      </c>
      <c r="T12" s="11">
        <f t="shared" ca="1" si="0"/>
        <v>670</v>
      </c>
      <c r="U12" s="7" t="s">
        <v>590</v>
      </c>
      <c r="V12" s="7"/>
      <c r="W12" s="7"/>
    </row>
    <row r="13" spans="1:23" ht="15" customHeight="1" x14ac:dyDescent="0.35">
      <c r="A13" s="6">
        <v>90</v>
      </c>
      <c r="B13" s="7" t="s">
        <v>33</v>
      </c>
      <c r="C13" s="7" t="s">
        <v>33</v>
      </c>
      <c r="D13" s="7" t="s">
        <v>37</v>
      </c>
      <c r="E13" s="7" t="s">
        <v>38</v>
      </c>
      <c r="F13" s="8" t="s">
        <v>45</v>
      </c>
      <c r="G13" s="7"/>
      <c r="H13" s="7" t="s">
        <v>32</v>
      </c>
      <c r="I13" s="7" t="s">
        <v>97</v>
      </c>
      <c r="J13" s="9">
        <v>45414</v>
      </c>
      <c r="K13" s="9">
        <v>45429</v>
      </c>
      <c r="L13" s="9">
        <v>45433</v>
      </c>
      <c r="M13" s="36">
        <v>45442</v>
      </c>
      <c r="N13" s="7" t="s">
        <v>100</v>
      </c>
      <c r="O13" s="7" t="s">
        <v>105</v>
      </c>
      <c r="P13" s="7"/>
      <c r="Q13" s="9">
        <v>45860</v>
      </c>
      <c r="R13" s="7"/>
      <c r="S13" s="9">
        <v>45869</v>
      </c>
      <c r="T13" s="11">
        <f t="shared" ca="1" si="0"/>
        <v>670</v>
      </c>
      <c r="U13" s="7" t="s">
        <v>590</v>
      </c>
      <c r="V13" s="7"/>
      <c r="W13" s="7"/>
    </row>
    <row r="14" spans="1:23" ht="17.25" customHeight="1" x14ac:dyDescent="0.35">
      <c r="A14" s="6">
        <v>91</v>
      </c>
      <c r="B14" s="7" t="s">
        <v>33</v>
      </c>
      <c r="C14" s="7" t="s">
        <v>33</v>
      </c>
      <c r="D14" s="7" t="s">
        <v>37</v>
      </c>
      <c r="E14" s="7" t="s">
        <v>38</v>
      </c>
      <c r="F14" s="8" t="s">
        <v>46</v>
      </c>
      <c r="G14" s="7"/>
      <c r="H14" s="7" t="s">
        <v>32</v>
      </c>
      <c r="I14" s="7" t="s">
        <v>97</v>
      </c>
      <c r="J14" s="9">
        <v>45415</v>
      </c>
      <c r="K14" s="9">
        <v>45429</v>
      </c>
      <c r="L14" s="9">
        <v>45433</v>
      </c>
      <c r="M14" s="36">
        <v>45442</v>
      </c>
      <c r="N14" s="7" t="s">
        <v>100</v>
      </c>
      <c r="O14" s="7" t="s">
        <v>105</v>
      </c>
      <c r="P14" s="7"/>
      <c r="Q14" s="9">
        <v>45860</v>
      </c>
      <c r="R14" s="7"/>
      <c r="S14" s="9">
        <v>45869</v>
      </c>
      <c r="T14" s="11">
        <f t="shared" ca="1" si="0"/>
        <v>670</v>
      </c>
      <c r="U14" s="7" t="s">
        <v>590</v>
      </c>
      <c r="V14" s="7"/>
      <c r="W14" s="7"/>
    </row>
    <row r="15" spans="1:23" ht="15" customHeight="1" x14ac:dyDescent="0.35">
      <c r="A15" s="6">
        <v>92</v>
      </c>
      <c r="B15" s="7" t="s">
        <v>33</v>
      </c>
      <c r="C15" s="7" t="s">
        <v>33</v>
      </c>
      <c r="D15" s="7" t="s">
        <v>37</v>
      </c>
      <c r="E15" s="7" t="s">
        <v>38</v>
      </c>
      <c r="F15" s="8" t="s">
        <v>47</v>
      </c>
      <c r="G15" s="7"/>
      <c r="H15" s="7" t="s">
        <v>32</v>
      </c>
      <c r="I15" s="7" t="s">
        <v>97</v>
      </c>
      <c r="J15" s="9">
        <v>45416</v>
      </c>
      <c r="K15" s="9">
        <v>45429</v>
      </c>
      <c r="L15" s="9">
        <v>45433</v>
      </c>
      <c r="M15" s="36">
        <v>45442</v>
      </c>
      <c r="N15" s="7" t="s">
        <v>100</v>
      </c>
      <c r="O15" s="7" t="s">
        <v>105</v>
      </c>
      <c r="P15" s="7"/>
      <c r="Q15" s="9">
        <v>45860</v>
      </c>
      <c r="R15" s="7"/>
      <c r="S15" s="9">
        <v>45869</v>
      </c>
      <c r="T15" s="11">
        <f t="shared" ca="1" si="0"/>
        <v>670</v>
      </c>
      <c r="U15" s="7" t="s">
        <v>590</v>
      </c>
      <c r="V15" s="7"/>
      <c r="W15" s="7"/>
    </row>
    <row r="16" spans="1:23" ht="17.25" customHeight="1" x14ac:dyDescent="0.35">
      <c r="A16" s="6">
        <v>93</v>
      </c>
      <c r="B16" s="7" t="s">
        <v>33</v>
      </c>
      <c r="C16" s="7" t="s">
        <v>33</v>
      </c>
      <c r="D16" s="7" t="s">
        <v>37</v>
      </c>
      <c r="E16" s="7" t="s">
        <v>38</v>
      </c>
      <c r="F16" s="8" t="s">
        <v>48</v>
      </c>
      <c r="G16" s="7"/>
      <c r="H16" s="7" t="s">
        <v>32</v>
      </c>
      <c r="I16" s="7" t="s">
        <v>97</v>
      </c>
      <c r="J16" s="9">
        <v>45417</v>
      </c>
      <c r="K16" s="9">
        <v>45429</v>
      </c>
      <c r="L16" s="9">
        <v>45433</v>
      </c>
      <c r="M16" s="36">
        <v>45442</v>
      </c>
      <c r="N16" s="7" t="s">
        <v>100</v>
      </c>
      <c r="O16" s="7" t="s">
        <v>105</v>
      </c>
      <c r="P16" s="7"/>
      <c r="Q16" s="9">
        <v>45860</v>
      </c>
      <c r="R16" s="7"/>
      <c r="S16" s="9">
        <v>45869</v>
      </c>
      <c r="T16" s="11">
        <f t="shared" ca="1" si="0"/>
        <v>670</v>
      </c>
      <c r="U16" s="7" t="s">
        <v>590</v>
      </c>
      <c r="V16" s="7"/>
      <c r="W16" s="7"/>
    </row>
    <row r="17" spans="1:23" ht="15.75" customHeight="1" x14ac:dyDescent="0.35">
      <c r="A17" s="6">
        <v>94</v>
      </c>
      <c r="B17" s="7" t="s">
        <v>33</v>
      </c>
      <c r="C17" s="7" t="s">
        <v>33</v>
      </c>
      <c r="D17" s="7" t="s">
        <v>37</v>
      </c>
      <c r="E17" s="7" t="s">
        <v>38</v>
      </c>
      <c r="F17" s="8" t="s">
        <v>49</v>
      </c>
      <c r="G17" s="7"/>
      <c r="H17" s="7" t="s">
        <v>32</v>
      </c>
      <c r="I17" s="7" t="s">
        <v>97</v>
      </c>
      <c r="J17" s="9">
        <v>45418</v>
      </c>
      <c r="K17" s="9">
        <v>45429</v>
      </c>
      <c r="L17" s="9">
        <v>45433</v>
      </c>
      <c r="M17" s="36">
        <v>45442</v>
      </c>
      <c r="N17" s="7" t="s">
        <v>100</v>
      </c>
      <c r="O17" s="7" t="s">
        <v>105</v>
      </c>
      <c r="P17" s="7"/>
      <c r="Q17" s="9">
        <v>45860</v>
      </c>
      <c r="R17" s="7"/>
      <c r="S17" s="9">
        <v>45869</v>
      </c>
      <c r="T17" s="11">
        <f t="shared" ca="1" si="0"/>
        <v>670</v>
      </c>
      <c r="U17" s="7" t="s">
        <v>590</v>
      </c>
      <c r="V17" s="7"/>
      <c r="W17" s="7"/>
    </row>
    <row r="18" spans="1:23" ht="17.25" customHeight="1" x14ac:dyDescent="0.35">
      <c r="A18" s="6">
        <v>95</v>
      </c>
      <c r="B18" s="7" t="s">
        <v>33</v>
      </c>
      <c r="C18" s="7" t="s">
        <v>33</v>
      </c>
      <c r="D18" s="7" t="s">
        <v>37</v>
      </c>
      <c r="E18" s="7" t="s">
        <v>38</v>
      </c>
      <c r="F18" s="8" t="s">
        <v>50</v>
      </c>
      <c r="G18" s="7"/>
      <c r="H18" s="7" t="s">
        <v>32</v>
      </c>
      <c r="I18" s="7" t="s">
        <v>97</v>
      </c>
      <c r="J18" s="9">
        <v>45419</v>
      </c>
      <c r="K18" s="9">
        <v>45429</v>
      </c>
      <c r="L18" s="9">
        <v>45433</v>
      </c>
      <c r="M18" s="36">
        <v>45442</v>
      </c>
      <c r="N18" s="7" t="s">
        <v>100</v>
      </c>
      <c r="O18" s="7" t="s">
        <v>105</v>
      </c>
      <c r="P18" s="7"/>
      <c r="Q18" s="9">
        <v>45860</v>
      </c>
      <c r="R18" s="7"/>
      <c r="S18" s="9">
        <v>45869</v>
      </c>
      <c r="T18" s="11">
        <f t="shared" ca="1" si="0"/>
        <v>670</v>
      </c>
      <c r="U18" s="7" t="s">
        <v>590</v>
      </c>
      <c r="V18" s="7"/>
      <c r="W18" s="7"/>
    </row>
    <row r="19" spans="1:23" ht="17.25" customHeight="1" x14ac:dyDescent="0.35">
      <c r="A19" s="6">
        <v>101</v>
      </c>
      <c r="B19" s="7" t="s">
        <v>33</v>
      </c>
      <c r="C19" s="7" t="s">
        <v>33</v>
      </c>
      <c r="D19" s="7" t="s">
        <v>37</v>
      </c>
      <c r="E19" s="7" t="s">
        <v>38</v>
      </c>
      <c r="F19" s="8" t="s">
        <v>63</v>
      </c>
      <c r="G19" s="7"/>
      <c r="H19" s="7" t="s">
        <v>32</v>
      </c>
      <c r="I19" s="7" t="s">
        <v>97</v>
      </c>
      <c r="J19" s="9">
        <v>45465</v>
      </c>
      <c r="K19" s="9">
        <v>45468</v>
      </c>
      <c r="L19" s="9">
        <v>45469</v>
      </c>
      <c r="M19" s="9">
        <v>45442</v>
      </c>
      <c r="N19" s="7" t="s">
        <v>100</v>
      </c>
      <c r="O19" s="7" t="s">
        <v>105</v>
      </c>
      <c r="P19" s="7"/>
      <c r="Q19" s="9">
        <v>45860</v>
      </c>
      <c r="R19" s="7"/>
      <c r="S19" s="9">
        <v>45869</v>
      </c>
      <c r="T19" s="11">
        <f t="shared" ca="1" si="0"/>
        <v>670</v>
      </c>
      <c r="U19" s="7" t="s">
        <v>590</v>
      </c>
      <c r="V19" s="7"/>
      <c r="W19" s="7"/>
    </row>
    <row r="20" spans="1:23" x14ac:dyDescent="0.35">
      <c r="A20" s="38">
        <v>8</v>
      </c>
      <c r="B20" s="39"/>
      <c r="C20" s="39"/>
      <c r="D20" s="18" t="s">
        <v>37</v>
      </c>
      <c r="E20" s="18" t="s">
        <v>38</v>
      </c>
      <c r="F20" s="18" t="s">
        <v>128</v>
      </c>
      <c r="G20" s="19"/>
      <c r="H20" s="19"/>
      <c r="I20" s="19"/>
      <c r="J20" s="19">
        <v>1</v>
      </c>
      <c r="K20" s="39"/>
      <c r="L20" s="39"/>
      <c r="M20" s="35">
        <v>45369</v>
      </c>
      <c r="N20" s="13"/>
      <c r="O20" s="7" t="s">
        <v>105</v>
      </c>
      <c r="P20" s="13"/>
      <c r="Q20" s="9">
        <v>45860</v>
      </c>
      <c r="R20" s="13"/>
      <c r="S20" s="9">
        <v>45869</v>
      </c>
      <c r="T20" s="11">
        <f t="shared" ca="1" si="0"/>
        <v>743</v>
      </c>
      <c r="U20" s="7" t="s">
        <v>590</v>
      </c>
      <c r="V20" s="13"/>
      <c r="W20" s="7"/>
    </row>
    <row r="21" spans="1:23" x14ac:dyDescent="0.35">
      <c r="A21" s="38">
        <v>10</v>
      </c>
      <c r="B21" s="39"/>
      <c r="C21" s="39"/>
      <c r="D21" s="18" t="s">
        <v>37</v>
      </c>
      <c r="E21" s="18" t="s">
        <v>38</v>
      </c>
      <c r="F21" s="18" t="s">
        <v>129</v>
      </c>
      <c r="G21" s="19"/>
      <c r="H21" s="19"/>
      <c r="I21" s="19"/>
      <c r="J21" s="19">
        <v>1</v>
      </c>
      <c r="K21" s="39"/>
      <c r="L21" s="39"/>
      <c r="M21" s="35">
        <v>45369</v>
      </c>
      <c r="N21" s="13"/>
      <c r="O21" s="7" t="s">
        <v>105</v>
      </c>
      <c r="P21" s="13"/>
      <c r="Q21" s="9">
        <v>45860</v>
      </c>
      <c r="R21" s="13"/>
      <c r="S21" s="9">
        <v>45869</v>
      </c>
      <c r="T21" s="11">
        <f t="shared" ca="1" si="0"/>
        <v>743</v>
      </c>
      <c r="U21" s="7" t="s">
        <v>590</v>
      </c>
      <c r="V21" s="13"/>
      <c r="W21" s="7"/>
    </row>
    <row r="22" spans="1:23" x14ac:dyDescent="0.35">
      <c r="A22" s="38">
        <v>12</v>
      </c>
      <c r="B22" s="39"/>
      <c r="C22" s="39"/>
      <c r="D22" s="18" t="s">
        <v>37</v>
      </c>
      <c r="E22" s="18" t="s">
        <v>38</v>
      </c>
      <c r="F22" s="18" t="s">
        <v>130</v>
      </c>
      <c r="G22" s="19"/>
      <c r="H22" s="19"/>
      <c r="I22" s="19"/>
      <c r="J22" s="19">
        <v>1</v>
      </c>
      <c r="K22" s="39"/>
      <c r="L22" s="39"/>
      <c r="M22" s="35">
        <v>45369</v>
      </c>
      <c r="N22" s="13"/>
      <c r="O22" s="7" t="s">
        <v>105</v>
      </c>
      <c r="P22" s="13"/>
      <c r="Q22" s="9">
        <v>45860</v>
      </c>
      <c r="R22" s="13"/>
      <c r="S22" s="9">
        <v>45869</v>
      </c>
      <c r="T22" s="11">
        <f t="shared" ca="1" si="0"/>
        <v>743</v>
      </c>
      <c r="U22" s="7" t="s">
        <v>590</v>
      </c>
      <c r="V22" s="13"/>
      <c r="W22" s="7"/>
    </row>
    <row r="23" spans="1:23" x14ac:dyDescent="0.35">
      <c r="A23" s="38">
        <v>14</v>
      </c>
      <c r="B23" s="39"/>
      <c r="C23" s="39"/>
      <c r="D23" s="18" t="s">
        <v>37</v>
      </c>
      <c r="E23" s="18" t="s">
        <v>38</v>
      </c>
      <c r="F23" s="18" t="s">
        <v>131</v>
      </c>
      <c r="G23" s="19"/>
      <c r="H23" s="19"/>
      <c r="I23" s="19"/>
      <c r="J23" s="19">
        <v>1</v>
      </c>
      <c r="K23" s="39"/>
      <c r="L23" s="39"/>
      <c r="M23" s="35">
        <v>45369</v>
      </c>
      <c r="N23" s="13"/>
      <c r="O23" s="7" t="s">
        <v>105</v>
      </c>
      <c r="P23" s="13"/>
      <c r="Q23" s="9">
        <v>45860</v>
      </c>
      <c r="R23" s="13"/>
      <c r="S23" s="9">
        <v>45869</v>
      </c>
      <c r="T23" s="11">
        <f t="shared" ca="1" si="0"/>
        <v>743</v>
      </c>
      <c r="U23" s="7" t="s">
        <v>590</v>
      </c>
      <c r="V23" s="13"/>
      <c r="W23" s="7"/>
    </row>
    <row r="24" spans="1:23" x14ac:dyDescent="0.35">
      <c r="A24" s="38">
        <v>15</v>
      </c>
      <c r="B24" s="39"/>
      <c r="C24" s="39"/>
      <c r="D24" s="18" t="s">
        <v>37</v>
      </c>
      <c r="E24" s="18" t="s">
        <v>38</v>
      </c>
      <c r="F24" s="18" t="s">
        <v>132</v>
      </c>
      <c r="G24" s="19"/>
      <c r="H24" s="19"/>
      <c r="I24" s="19"/>
      <c r="J24" s="19">
        <v>1</v>
      </c>
      <c r="K24" s="39"/>
      <c r="L24" s="39"/>
      <c r="M24" s="35">
        <v>45369</v>
      </c>
      <c r="N24" s="13"/>
      <c r="O24" s="7" t="s">
        <v>105</v>
      </c>
      <c r="P24" s="13"/>
      <c r="Q24" s="9">
        <v>45860</v>
      </c>
      <c r="R24" s="13"/>
      <c r="S24" s="9">
        <v>45869</v>
      </c>
      <c r="T24" s="11">
        <f t="shared" ca="1" si="0"/>
        <v>743</v>
      </c>
      <c r="U24" s="7" t="s">
        <v>590</v>
      </c>
      <c r="V24" s="13"/>
      <c r="W24" s="7"/>
    </row>
    <row r="25" spans="1:23" x14ac:dyDescent="0.35">
      <c r="A25" s="38">
        <v>16</v>
      </c>
      <c r="B25" s="39"/>
      <c r="C25" s="39"/>
      <c r="D25" s="18" t="s">
        <v>37</v>
      </c>
      <c r="E25" s="18" t="s">
        <v>38</v>
      </c>
      <c r="F25" s="18" t="s">
        <v>133</v>
      </c>
      <c r="G25" s="19"/>
      <c r="H25" s="19"/>
      <c r="I25" s="19"/>
      <c r="J25" s="19">
        <v>1</v>
      </c>
      <c r="K25" s="39"/>
      <c r="L25" s="39"/>
      <c r="M25" s="35">
        <v>45369</v>
      </c>
      <c r="N25" s="13"/>
      <c r="O25" s="7" t="s">
        <v>105</v>
      </c>
      <c r="P25" s="13"/>
      <c r="Q25" s="9">
        <v>45860</v>
      </c>
      <c r="R25" s="13"/>
      <c r="S25" s="9">
        <v>45869</v>
      </c>
      <c r="T25" s="11">
        <f t="shared" ca="1" si="0"/>
        <v>743</v>
      </c>
      <c r="U25" s="7" t="s">
        <v>590</v>
      </c>
      <c r="V25" s="13"/>
      <c r="W25" s="7"/>
    </row>
    <row r="26" spans="1:23" x14ac:dyDescent="0.35">
      <c r="A26" s="38">
        <v>35</v>
      </c>
      <c r="B26" s="39"/>
      <c r="C26" s="39"/>
      <c r="D26" s="25" t="s">
        <v>37</v>
      </c>
      <c r="E26" s="25" t="s">
        <v>38</v>
      </c>
      <c r="F26" s="25" t="s">
        <v>151</v>
      </c>
      <c r="G26" s="25"/>
      <c r="H26" s="25"/>
      <c r="I26" s="25" t="s">
        <v>26</v>
      </c>
      <c r="J26" s="19">
        <v>1</v>
      </c>
      <c r="K26" s="39"/>
      <c r="L26" s="39"/>
      <c r="M26" s="37">
        <v>45415</v>
      </c>
      <c r="N26" s="13"/>
      <c r="O26" s="7" t="s">
        <v>105</v>
      </c>
      <c r="P26" s="13"/>
      <c r="Q26" s="9">
        <v>45860</v>
      </c>
      <c r="R26" s="13"/>
      <c r="S26" s="9">
        <v>45869</v>
      </c>
      <c r="T26" s="11">
        <f t="shared" ca="1" si="0"/>
        <v>697</v>
      </c>
      <c r="U26" s="7" t="s">
        <v>590</v>
      </c>
      <c r="V26" s="13"/>
      <c r="W26" s="7"/>
    </row>
    <row r="27" spans="1:23" x14ac:dyDescent="0.35">
      <c r="A27" s="38">
        <v>39</v>
      </c>
      <c r="B27" s="39"/>
      <c r="C27" s="39"/>
      <c r="D27" s="25" t="s">
        <v>37</v>
      </c>
      <c r="E27" s="25" t="s">
        <v>38</v>
      </c>
      <c r="F27" s="25" t="s">
        <v>152</v>
      </c>
      <c r="G27" s="25"/>
      <c r="H27" s="25"/>
      <c r="I27" s="25" t="s">
        <v>26</v>
      </c>
      <c r="J27" s="19">
        <v>1</v>
      </c>
      <c r="K27" s="39"/>
      <c r="L27" s="39"/>
      <c r="M27" s="37">
        <v>45415</v>
      </c>
      <c r="N27" s="13"/>
      <c r="O27" s="7" t="s">
        <v>105</v>
      </c>
      <c r="P27" s="13"/>
      <c r="Q27" s="9">
        <v>45860</v>
      </c>
      <c r="R27" s="13"/>
      <c r="S27" s="9">
        <v>45869</v>
      </c>
      <c r="T27" s="11">
        <f t="shared" ca="1" si="0"/>
        <v>697</v>
      </c>
      <c r="U27" s="7" t="s">
        <v>590</v>
      </c>
      <c r="V27" s="13"/>
      <c r="W27" s="7"/>
    </row>
    <row r="28" spans="1:23" x14ac:dyDescent="0.35">
      <c r="A28" s="38">
        <v>41</v>
      </c>
      <c r="B28" s="39"/>
      <c r="C28" s="39"/>
      <c r="D28" s="25" t="s">
        <v>37</v>
      </c>
      <c r="E28" s="25" t="s">
        <v>38</v>
      </c>
      <c r="F28" s="25" t="s">
        <v>153</v>
      </c>
      <c r="G28" s="25"/>
      <c r="H28" s="25"/>
      <c r="I28" s="25" t="s">
        <v>26</v>
      </c>
      <c r="J28" s="19">
        <v>1</v>
      </c>
      <c r="K28" s="39"/>
      <c r="L28" s="39"/>
      <c r="M28" s="37">
        <v>45415</v>
      </c>
      <c r="N28" s="13"/>
      <c r="O28" s="7" t="s">
        <v>105</v>
      </c>
      <c r="P28" s="13"/>
      <c r="Q28" s="9">
        <v>45860</v>
      </c>
      <c r="R28" s="13"/>
      <c r="S28" s="9">
        <v>45869</v>
      </c>
      <c r="T28" s="11">
        <f t="shared" ca="1" si="0"/>
        <v>697</v>
      </c>
      <c r="U28" s="7" t="s">
        <v>590</v>
      </c>
      <c r="V28" s="13"/>
      <c r="W28" s="7"/>
    </row>
    <row r="29" spans="1:23" x14ac:dyDescent="0.35">
      <c r="A29" s="38">
        <v>44</v>
      </c>
      <c r="B29" s="39"/>
      <c r="C29" s="39"/>
      <c r="D29" s="25" t="s">
        <v>37</v>
      </c>
      <c r="E29" s="25" t="s">
        <v>38</v>
      </c>
      <c r="F29" s="25" t="s">
        <v>154</v>
      </c>
      <c r="G29" s="25"/>
      <c r="H29" s="25"/>
      <c r="I29" s="25" t="s">
        <v>26</v>
      </c>
      <c r="J29" s="19">
        <v>1</v>
      </c>
      <c r="K29" s="39"/>
      <c r="L29" s="39"/>
      <c r="M29" s="37">
        <v>45415</v>
      </c>
      <c r="N29" s="13"/>
      <c r="O29" s="7" t="s">
        <v>105</v>
      </c>
      <c r="P29" s="13"/>
      <c r="Q29" s="9">
        <v>45860</v>
      </c>
      <c r="R29" s="13"/>
      <c r="S29" s="9">
        <v>45869</v>
      </c>
      <c r="T29" s="11">
        <f t="shared" ca="1" si="0"/>
        <v>697</v>
      </c>
      <c r="U29" s="7" t="s">
        <v>590</v>
      </c>
      <c r="V29" s="13"/>
      <c r="W29" s="7"/>
    </row>
    <row r="30" spans="1:23" x14ac:dyDescent="0.35">
      <c r="A30" s="38">
        <v>45</v>
      </c>
      <c r="B30" s="39"/>
      <c r="C30" s="39"/>
      <c r="D30" s="25" t="s">
        <v>37</v>
      </c>
      <c r="E30" s="25" t="s">
        <v>38</v>
      </c>
      <c r="F30" s="25" t="s">
        <v>155</v>
      </c>
      <c r="G30" s="25"/>
      <c r="H30" s="25"/>
      <c r="I30" s="25" t="s">
        <v>26</v>
      </c>
      <c r="J30" s="19">
        <v>1</v>
      </c>
      <c r="K30" s="39"/>
      <c r="L30" s="39"/>
      <c r="M30" s="37">
        <v>45415</v>
      </c>
      <c r="N30" s="13"/>
      <c r="O30" s="7" t="s">
        <v>105</v>
      </c>
      <c r="P30" s="13"/>
      <c r="Q30" s="9">
        <v>45860</v>
      </c>
      <c r="R30" s="13"/>
      <c r="S30" s="9">
        <v>45869</v>
      </c>
      <c r="T30" s="11">
        <f t="shared" ca="1" si="0"/>
        <v>697</v>
      </c>
      <c r="U30" s="7" t="s">
        <v>590</v>
      </c>
      <c r="V30" s="13"/>
      <c r="W30" s="7"/>
    </row>
    <row r="31" spans="1:23" x14ac:dyDescent="0.35">
      <c r="A31" s="38">
        <v>46</v>
      </c>
      <c r="B31" s="39"/>
      <c r="C31" s="39"/>
      <c r="D31" s="25" t="s">
        <v>37</v>
      </c>
      <c r="E31" s="25" t="s">
        <v>38</v>
      </c>
      <c r="F31" s="25" t="s">
        <v>156</v>
      </c>
      <c r="G31" s="25"/>
      <c r="H31" s="25"/>
      <c r="I31" s="25" t="s">
        <v>26</v>
      </c>
      <c r="J31" s="19">
        <v>1</v>
      </c>
      <c r="K31" s="39"/>
      <c r="L31" s="39"/>
      <c r="M31" s="37">
        <v>45415</v>
      </c>
      <c r="N31" s="13"/>
      <c r="O31" s="7" t="s">
        <v>105</v>
      </c>
      <c r="P31" s="13"/>
      <c r="Q31" s="9">
        <v>45860</v>
      </c>
      <c r="R31" s="13"/>
      <c r="S31" s="9">
        <v>45869</v>
      </c>
      <c r="T31" s="11">
        <f t="shared" ca="1" si="0"/>
        <v>697</v>
      </c>
      <c r="U31" s="7" t="s">
        <v>590</v>
      </c>
      <c r="V31" s="13"/>
      <c r="W31" s="7"/>
    </row>
    <row r="32" spans="1:23" x14ac:dyDescent="0.35">
      <c r="A32" s="38">
        <v>47</v>
      </c>
      <c r="B32" s="39"/>
      <c r="C32" s="39"/>
      <c r="D32" s="25" t="s">
        <v>37</v>
      </c>
      <c r="E32" s="25" t="s">
        <v>38</v>
      </c>
      <c r="F32" s="25" t="s">
        <v>157</v>
      </c>
      <c r="G32" s="25"/>
      <c r="H32" s="25"/>
      <c r="I32" s="25" t="s">
        <v>158</v>
      </c>
      <c r="J32" s="19">
        <v>1</v>
      </c>
      <c r="K32" s="39"/>
      <c r="L32" s="39"/>
      <c r="M32" s="37">
        <v>45415</v>
      </c>
      <c r="N32" s="13"/>
      <c r="O32" s="7" t="s">
        <v>105</v>
      </c>
      <c r="P32" s="13"/>
      <c r="Q32" s="9">
        <v>45860</v>
      </c>
      <c r="R32" s="13"/>
      <c r="S32" s="9">
        <v>45869</v>
      </c>
      <c r="T32" s="11">
        <f t="shared" ca="1" si="0"/>
        <v>697</v>
      </c>
      <c r="U32" s="7" t="s">
        <v>590</v>
      </c>
      <c r="V32" s="13"/>
      <c r="W32" s="7"/>
    </row>
    <row r="33" spans="1:23" x14ac:dyDescent="0.35">
      <c r="A33" s="38">
        <v>49</v>
      </c>
      <c r="B33" s="39"/>
      <c r="C33" s="39"/>
      <c r="D33" s="25" t="s">
        <v>37</v>
      </c>
      <c r="E33" s="25" t="s">
        <v>38</v>
      </c>
      <c r="F33" s="25" t="s">
        <v>159</v>
      </c>
      <c r="G33" s="25"/>
      <c r="H33" s="25"/>
      <c r="I33" s="25" t="s">
        <v>26</v>
      </c>
      <c r="J33" s="19">
        <v>1</v>
      </c>
      <c r="K33" s="39"/>
      <c r="L33" s="39"/>
      <c r="M33" s="37">
        <v>45415</v>
      </c>
      <c r="N33" s="13"/>
      <c r="O33" s="7" t="s">
        <v>105</v>
      </c>
      <c r="P33" s="13"/>
      <c r="Q33" s="9">
        <v>45860</v>
      </c>
      <c r="R33" s="13"/>
      <c r="S33" s="9">
        <v>45869</v>
      </c>
      <c r="T33" s="11">
        <f t="shared" ca="1" si="0"/>
        <v>697</v>
      </c>
      <c r="U33" s="7" t="s">
        <v>590</v>
      </c>
      <c r="V33" s="13"/>
      <c r="W33" s="7"/>
    </row>
    <row r="34" spans="1:23" x14ac:dyDescent="0.35">
      <c r="A34" s="38">
        <v>50</v>
      </c>
      <c r="B34" s="39"/>
      <c r="C34" s="39"/>
      <c r="D34" s="25" t="s">
        <v>37</v>
      </c>
      <c r="E34" s="25" t="s">
        <v>38</v>
      </c>
      <c r="F34" s="25" t="s">
        <v>160</v>
      </c>
      <c r="G34" s="25"/>
      <c r="H34" s="25"/>
      <c r="I34" s="25" t="s">
        <v>158</v>
      </c>
      <c r="J34" s="19">
        <v>1</v>
      </c>
      <c r="K34" s="39"/>
      <c r="L34" s="39"/>
      <c r="M34" s="37">
        <v>45415</v>
      </c>
      <c r="N34" s="13"/>
      <c r="O34" s="7" t="s">
        <v>105</v>
      </c>
      <c r="P34" s="13"/>
      <c r="Q34" s="9">
        <v>45860</v>
      </c>
      <c r="R34" s="13"/>
      <c r="S34" s="9">
        <v>45869</v>
      </c>
      <c r="T34" s="11">
        <f t="shared" ca="1" si="0"/>
        <v>697</v>
      </c>
      <c r="U34" s="7" t="s">
        <v>590</v>
      </c>
      <c r="V34" s="13"/>
      <c r="W34" s="7"/>
    </row>
    <row r="35" spans="1:23" x14ac:dyDescent="0.35">
      <c r="A35" s="38">
        <v>55</v>
      </c>
      <c r="B35" s="39"/>
      <c r="C35" s="39"/>
      <c r="D35" s="25" t="s">
        <v>37</v>
      </c>
      <c r="E35" s="25" t="s">
        <v>38</v>
      </c>
      <c r="F35" s="25" t="s">
        <v>161</v>
      </c>
      <c r="G35" s="25"/>
      <c r="H35" s="25"/>
      <c r="I35" s="25" t="s">
        <v>158</v>
      </c>
      <c r="J35" s="19">
        <v>1</v>
      </c>
      <c r="K35" s="39"/>
      <c r="L35" s="39"/>
      <c r="M35" s="37">
        <v>45415</v>
      </c>
      <c r="N35" s="13"/>
      <c r="O35" s="7" t="s">
        <v>105</v>
      </c>
      <c r="P35" s="13"/>
      <c r="Q35" s="9">
        <v>45860</v>
      </c>
      <c r="R35" s="13"/>
      <c r="S35" s="9">
        <v>45869</v>
      </c>
      <c r="T35" s="11">
        <f t="shared" ca="1" si="0"/>
        <v>697</v>
      </c>
      <c r="U35" s="7" t="s">
        <v>590</v>
      </c>
      <c r="V35" s="13"/>
      <c r="W35" s="7"/>
    </row>
    <row r="36" spans="1:23" x14ac:dyDescent="0.35">
      <c r="A36" s="38">
        <v>56</v>
      </c>
      <c r="B36" s="39"/>
      <c r="C36" s="39"/>
      <c r="D36" s="25" t="s">
        <v>37</v>
      </c>
      <c r="E36" s="25" t="s">
        <v>38</v>
      </c>
      <c r="F36" s="25" t="s">
        <v>162</v>
      </c>
      <c r="G36" s="25"/>
      <c r="H36" s="25"/>
      <c r="I36" s="25" t="s">
        <v>158</v>
      </c>
      <c r="J36" s="19">
        <v>1</v>
      </c>
      <c r="K36" s="39"/>
      <c r="L36" s="39"/>
      <c r="M36" s="37">
        <v>45415</v>
      </c>
      <c r="N36" s="13"/>
      <c r="O36" s="7" t="s">
        <v>105</v>
      </c>
      <c r="P36" s="13"/>
      <c r="Q36" s="9">
        <v>45860</v>
      </c>
      <c r="R36" s="13"/>
      <c r="S36" s="9">
        <v>45869</v>
      </c>
      <c r="T36" s="11">
        <f t="shared" ca="1" si="0"/>
        <v>697</v>
      </c>
      <c r="U36" s="7" t="s">
        <v>590</v>
      </c>
      <c r="V36" s="13"/>
      <c r="W36" s="7"/>
    </row>
    <row r="37" spans="1:23" x14ac:dyDescent="0.35">
      <c r="A37" s="38">
        <v>57</v>
      </c>
      <c r="B37" s="39"/>
      <c r="C37" s="39"/>
      <c r="D37" s="25" t="s">
        <v>37</v>
      </c>
      <c r="E37" s="25" t="s">
        <v>38</v>
      </c>
      <c r="F37" s="25" t="s">
        <v>163</v>
      </c>
      <c r="G37" s="25"/>
      <c r="H37" s="25"/>
      <c r="I37" s="25" t="s">
        <v>158</v>
      </c>
      <c r="J37" s="19">
        <v>1</v>
      </c>
      <c r="K37" s="39"/>
      <c r="L37" s="39"/>
      <c r="M37" s="37">
        <v>45415</v>
      </c>
      <c r="N37" s="13"/>
      <c r="O37" s="7" t="s">
        <v>105</v>
      </c>
      <c r="P37" s="13"/>
      <c r="Q37" s="9">
        <v>45860</v>
      </c>
      <c r="R37" s="13"/>
      <c r="S37" s="9">
        <v>45869</v>
      </c>
      <c r="T37" s="11">
        <f t="shared" ca="1" si="0"/>
        <v>697</v>
      </c>
      <c r="U37" s="7" t="s">
        <v>590</v>
      </c>
      <c r="V37" s="13"/>
      <c r="W37" s="7"/>
    </row>
    <row r="38" spans="1:23" x14ac:dyDescent="0.35">
      <c r="A38" s="38">
        <v>60</v>
      </c>
      <c r="B38" s="39"/>
      <c r="C38" s="39"/>
      <c r="D38" s="25" t="s">
        <v>37</v>
      </c>
      <c r="E38" s="25" t="s">
        <v>38</v>
      </c>
      <c r="F38" s="25" t="s">
        <v>164</v>
      </c>
      <c r="G38" s="25"/>
      <c r="H38" s="25"/>
      <c r="I38" s="25" t="s">
        <v>158</v>
      </c>
      <c r="J38" s="19">
        <v>1</v>
      </c>
      <c r="K38" s="39"/>
      <c r="L38" s="39"/>
      <c r="M38" s="37">
        <v>45415</v>
      </c>
      <c r="N38" s="13"/>
      <c r="O38" s="7" t="s">
        <v>105</v>
      </c>
      <c r="P38" s="13"/>
      <c r="Q38" s="9">
        <v>45860</v>
      </c>
      <c r="R38" s="13"/>
      <c r="S38" s="9">
        <v>45869</v>
      </c>
      <c r="T38" s="11">
        <f t="shared" ca="1" si="0"/>
        <v>697</v>
      </c>
      <c r="U38" s="7" t="s">
        <v>590</v>
      </c>
      <c r="V38" s="13"/>
      <c r="W38" s="7"/>
    </row>
  </sheetData>
  <autoFilter ref="A5:V38" xr:uid="{00000000-0009-0000-0000-000001000000}">
    <sortState xmlns:xlrd2="http://schemas.microsoft.com/office/spreadsheetml/2017/richdata2" ref="A6:V38">
      <sortCondition ref="O5:O38"/>
    </sortState>
  </autoFilter>
  <mergeCells count="25">
    <mergeCell ref="A1:L1"/>
    <mergeCell ref="M1:V1"/>
    <mergeCell ref="A2:A4"/>
    <mergeCell ref="B2:C2"/>
    <mergeCell ref="D2:F2"/>
    <mergeCell ref="I2:L2"/>
    <mergeCell ref="B3:B4"/>
    <mergeCell ref="C3:C4"/>
    <mergeCell ref="D3:D4"/>
    <mergeCell ref="E3:E4"/>
    <mergeCell ref="F3:F4"/>
    <mergeCell ref="G3:G4"/>
    <mergeCell ref="N2:U2"/>
    <mergeCell ref="L3:L4"/>
    <mergeCell ref="M3:M4"/>
    <mergeCell ref="N3:N4"/>
    <mergeCell ref="H3:H4"/>
    <mergeCell ref="I3:I4"/>
    <mergeCell ref="U3:U4"/>
    <mergeCell ref="K3:K4"/>
    <mergeCell ref="W3:W4"/>
    <mergeCell ref="T3:T4"/>
    <mergeCell ref="O3:S3"/>
    <mergeCell ref="V3:V4"/>
    <mergeCell ref="J3:J4"/>
  </mergeCells>
  <dataValidations count="2">
    <dataValidation type="list" allowBlank="1" showInputMessage="1" showErrorMessage="1" sqref="N6:N38" xr:uid="{00000000-0002-0000-0100-000000000000}">
      <formula1>"Да, Нет"</formula1>
    </dataValidation>
    <dataValidation type="list" allowBlank="1" showInputMessage="1" showErrorMessage="1" sqref="P6:P38" xr:uid="{00000000-0002-0000-0100-000001000000}">
      <formula1>"Ожидание согласования замены от Заказчика, Запрос ТКП на замену оборудования, Ожидание поставки оборудования, Поверка/Калибровка, В пути Заказчику "</formula1>
    </dataValidation>
  </dataValidations>
  <printOptions horizontalCentered="1"/>
  <pageMargins left="0.31496062992125984" right="0.31496062992125984" top="0.35433070866141736" bottom="0.35433070866141736" header="0.31496062992125984" footer="0.31496062992125984"/>
  <pageSetup paperSize="8" scale="62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100-000002000000}">
          <x14:formula1>
            <xm:f>'\\tyngd-fs01\work\Users\m.egodish\Documents\[Копия Форма потребность 2021.xlsx]Список'!#REF!</xm:f>
          </x14:formula1>
          <xm:sqref>C19 B32 H6:H32</xm:sqref>
        </x14:dataValidation>
        <x14:dataValidation type="list" allowBlank="1" showInputMessage="1" showErrorMessage="1" xr:uid="{00000000-0002-0000-0100-000003000000}">
          <x14:formula1>
            <xm:f>Список!$A$11:$A$28</xm:f>
          </x14:formula1>
          <xm:sqref>O6:O38</xm:sqref>
        </x14:dataValidation>
        <x14:dataValidation type="list" allowBlank="1" showInputMessage="1" showErrorMessage="1" xr:uid="{00000000-0002-0000-0100-000004000000}">
          <x14:formula1>
            <xm:f>'\\tyngd-fs01\work\Users\zakharovam1\Desktop\[Единая форма неисправного оборудования.xlsx]Список'!#REF!</xm:f>
          </x14:formula1>
          <xm:sqref>H33:H1048576 B33:C1048576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45EE5-4786-4456-9F85-E4A69F5FA5D1}">
  <sheetPr>
    <pageSetUpPr fitToPage="1"/>
  </sheetPr>
  <dimension ref="A1:AF143"/>
  <sheetViews>
    <sheetView topLeftCell="D1" zoomScale="60" zoomScaleNormal="60" workbookViewId="0">
      <pane ySplit="4" topLeftCell="A28" activePane="bottomLeft" state="frozen"/>
      <selection pane="bottomLeft" activeCell="D30" sqref="D30:E38"/>
    </sheetView>
  </sheetViews>
  <sheetFormatPr defaultColWidth="9.1796875" defaultRowHeight="14.5" x14ac:dyDescent="0.35"/>
  <cols>
    <col min="1" max="1" width="6.1796875" customWidth="1"/>
    <col min="2" max="3" width="9.1796875" hidden="1" customWidth="1"/>
    <col min="4" max="4" width="32.453125" customWidth="1"/>
    <col min="5" max="5" width="32.54296875" customWidth="1"/>
    <col min="6" max="6" width="20" customWidth="1"/>
    <col min="7" max="7" width="23.54296875" hidden="1" customWidth="1"/>
    <col min="8" max="12" width="0" hidden="1" customWidth="1"/>
    <col min="13" max="14" width="14.1796875" hidden="1" customWidth="1"/>
    <col min="15" max="15" width="20.1796875" hidden="1" customWidth="1"/>
    <col min="16" max="16" width="0" hidden="1" customWidth="1"/>
    <col min="17" max="18" width="20.1796875" hidden="1" customWidth="1"/>
    <col min="19" max="19" width="24.81640625" hidden="1" customWidth="1"/>
    <col min="20" max="20" width="16.453125" hidden="1" customWidth="1"/>
    <col min="21" max="21" width="44.1796875" style="98" customWidth="1"/>
    <col min="22" max="22" width="15.54296875" hidden="1" customWidth="1"/>
    <col min="23" max="23" width="26.453125" customWidth="1"/>
    <col min="24" max="24" width="41.7265625" style="123" customWidth="1"/>
    <col min="25" max="25" width="26.81640625" customWidth="1"/>
    <col min="26" max="26" width="18.453125" style="123" customWidth="1"/>
    <col min="27" max="27" width="18.1796875" style="123" customWidth="1"/>
    <col min="28" max="28" width="24.1796875" style="123" customWidth="1"/>
    <col min="29" max="29" width="23.54296875" style="123" customWidth="1"/>
    <col min="30" max="31" width="42.08984375" style="123" customWidth="1"/>
    <col min="32" max="32" width="28.81640625" style="123" customWidth="1"/>
  </cols>
  <sheetData>
    <row r="1" spans="1:32" s="1" customFormat="1" ht="23.25" customHeight="1" x14ac:dyDescent="0.35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3" t="s">
        <v>1</v>
      </c>
      <c r="N1" s="284"/>
      <c r="O1" s="284"/>
      <c r="P1" s="284"/>
      <c r="Q1" s="284"/>
      <c r="R1" s="284"/>
      <c r="S1" s="284"/>
      <c r="T1" s="284"/>
      <c r="U1" s="284"/>
      <c r="V1" s="285"/>
      <c r="W1" s="14"/>
      <c r="X1" s="81"/>
      <c r="Z1" s="81"/>
      <c r="AA1" s="81"/>
      <c r="AB1" s="81"/>
      <c r="AC1" s="81"/>
      <c r="AD1" s="81"/>
      <c r="AE1" s="194"/>
      <c r="AF1" s="198"/>
    </row>
    <row r="2" spans="1:32" s="1" customFormat="1" ht="15.75" customHeight="1" x14ac:dyDescent="0.35">
      <c r="A2" s="271" t="s">
        <v>2</v>
      </c>
      <c r="B2" s="272" t="s">
        <v>3</v>
      </c>
      <c r="C2" s="272"/>
      <c r="D2" s="273" t="s">
        <v>4</v>
      </c>
      <c r="E2" s="274"/>
      <c r="F2" s="274"/>
      <c r="G2" s="4" t="s">
        <v>5</v>
      </c>
      <c r="H2" s="5"/>
      <c r="I2" s="273" t="s">
        <v>6</v>
      </c>
      <c r="J2" s="274"/>
      <c r="K2" s="274"/>
      <c r="L2" s="286"/>
      <c r="M2" s="10" t="s">
        <v>127</v>
      </c>
      <c r="N2" s="266" t="s">
        <v>7</v>
      </c>
      <c r="O2" s="267"/>
      <c r="P2" s="267"/>
      <c r="Q2" s="267"/>
      <c r="R2" s="267"/>
      <c r="S2" s="267"/>
      <c r="T2" s="267"/>
      <c r="U2" s="268"/>
      <c r="V2" s="10" t="s">
        <v>127</v>
      </c>
      <c r="W2" s="14"/>
      <c r="X2" s="81"/>
      <c r="Z2" s="81"/>
      <c r="AA2" s="81"/>
      <c r="AB2" s="81"/>
      <c r="AC2" s="81"/>
      <c r="AD2" s="81"/>
      <c r="AE2" s="194"/>
      <c r="AF2" s="198"/>
    </row>
    <row r="3" spans="1:32" s="1" customFormat="1" ht="45" customHeight="1" x14ac:dyDescent="0.35">
      <c r="A3" s="271"/>
      <c r="B3" s="271" t="s">
        <v>99</v>
      </c>
      <c r="C3" s="271" t="s">
        <v>8</v>
      </c>
      <c r="D3" s="271" t="s">
        <v>9</v>
      </c>
      <c r="E3" s="271" t="s">
        <v>10</v>
      </c>
      <c r="F3" s="271" t="s">
        <v>102</v>
      </c>
      <c r="G3" s="246" t="s">
        <v>11</v>
      </c>
      <c r="H3" s="275" t="s">
        <v>98</v>
      </c>
      <c r="I3" s="246" t="s">
        <v>12</v>
      </c>
      <c r="J3" s="271" t="s">
        <v>13</v>
      </c>
      <c r="K3" s="271" t="s">
        <v>14</v>
      </c>
      <c r="L3" s="271" t="s">
        <v>15</v>
      </c>
      <c r="M3" s="248" t="s">
        <v>104</v>
      </c>
      <c r="N3" s="249" t="s">
        <v>101</v>
      </c>
      <c r="O3" s="279" t="s">
        <v>115</v>
      </c>
      <c r="P3" s="280"/>
      <c r="Q3" s="280"/>
      <c r="R3" s="280"/>
      <c r="S3" s="281"/>
      <c r="T3" s="249" t="s">
        <v>112</v>
      </c>
      <c r="U3" s="288" t="s">
        <v>113</v>
      </c>
      <c r="V3" s="248" t="s">
        <v>114</v>
      </c>
      <c r="W3" s="277" t="s">
        <v>108</v>
      </c>
      <c r="X3" s="287" t="s">
        <v>587</v>
      </c>
      <c r="Y3" s="287" t="s">
        <v>738</v>
      </c>
      <c r="Z3" s="287" t="s">
        <v>741</v>
      </c>
      <c r="AA3" s="287" t="s">
        <v>753</v>
      </c>
      <c r="AB3" s="287" t="s">
        <v>764</v>
      </c>
      <c r="AC3" s="287" t="s">
        <v>809</v>
      </c>
      <c r="AD3" s="254" t="s">
        <v>824</v>
      </c>
      <c r="AE3" s="254" t="s">
        <v>939</v>
      </c>
      <c r="AF3" s="198"/>
    </row>
    <row r="4" spans="1:32" s="1" customFormat="1" ht="45" customHeight="1" x14ac:dyDescent="0.35">
      <c r="A4" s="271"/>
      <c r="B4" s="271" t="s">
        <v>17</v>
      </c>
      <c r="C4" s="271" t="s">
        <v>18</v>
      </c>
      <c r="D4" s="271"/>
      <c r="E4" s="271" t="s">
        <v>10</v>
      </c>
      <c r="F4" s="271" t="s">
        <v>19</v>
      </c>
      <c r="G4" s="247"/>
      <c r="H4" s="276"/>
      <c r="I4" s="247"/>
      <c r="J4" s="271" t="s">
        <v>13</v>
      </c>
      <c r="K4" s="271" t="s">
        <v>20</v>
      </c>
      <c r="L4" s="271" t="s">
        <v>21</v>
      </c>
      <c r="M4" s="248"/>
      <c r="N4" s="250"/>
      <c r="O4" s="12" t="s">
        <v>16</v>
      </c>
      <c r="P4" s="15" t="s">
        <v>103</v>
      </c>
      <c r="Q4" s="12" t="s">
        <v>109</v>
      </c>
      <c r="R4" s="12" t="s">
        <v>110</v>
      </c>
      <c r="S4" s="12" t="s">
        <v>111</v>
      </c>
      <c r="T4" s="250"/>
      <c r="U4" s="288"/>
      <c r="V4" s="248" t="s">
        <v>22</v>
      </c>
      <c r="W4" s="278"/>
      <c r="X4" s="287"/>
      <c r="Y4" s="287"/>
      <c r="Z4" s="287"/>
      <c r="AA4" s="287"/>
      <c r="AB4" s="287"/>
      <c r="AC4" s="287"/>
      <c r="AD4" s="250"/>
      <c r="AE4" s="250"/>
      <c r="AF4" s="198"/>
    </row>
    <row r="5" spans="1:32" s="1" customFormat="1" ht="15" customHeight="1" x14ac:dyDescent="0.35">
      <c r="A5" s="2">
        <v>1</v>
      </c>
      <c r="B5" s="2">
        <v>2</v>
      </c>
      <c r="C5" s="2">
        <v>3</v>
      </c>
      <c r="D5" s="2">
        <v>2</v>
      </c>
      <c r="E5" s="2">
        <v>3</v>
      </c>
      <c r="F5" s="2">
        <v>4</v>
      </c>
      <c r="G5" s="2">
        <v>5</v>
      </c>
      <c r="H5" s="2">
        <v>4.2</v>
      </c>
      <c r="I5" s="2">
        <v>4.5999999999999996</v>
      </c>
      <c r="J5" s="2">
        <v>5</v>
      </c>
      <c r="K5" s="2">
        <v>5.4</v>
      </c>
      <c r="L5" s="2">
        <v>5.8</v>
      </c>
      <c r="M5" s="2">
        <v>6</v>
      </c>
      <c r="N5" s="2">
        <v>7</v>
      </c>
      <c r="O5" s="2">
        <v>8</v>
      </c>
      <c r="P5" s="2">
        <v>8.1999999999999993</v>
      </c>
      <c r="Q5" s="2">
        <v>9</v>
      </c>
      <c r="R5" s="2">
        <v>10</v>
      </c>
      <c r="S5" s="2">
        <v>11</v>
      </c>
      <c r="T5" s="2">
        <v>12</v>
      </c>
      <c r="U5" s="95">
        <v>13</v>
      </c>
      <c r="V5" s="2">
        <v>14</v>
      </c>
      <c r="W5" s="2">
        <v>15</v>
      </c>
      <c r="X5" s="2">
        <v>16</v>
      </c>
      <c r="Y5" s="2">
        <v>17</v>
      </c>
      <c r="Z5" s="7"/>
      <c r="AA5" s="287"/>
      <c r="AB5" s="287"/>
      <c r="AC5" s="287"/>
      <c r="AD5" s="7"/>
      <c r="AE5" s="193"/>
      <c r="AF5" s="198"/>
    </row>
    <row r="6" spans="1:32" s="1" customFormat="1" ht="66.5" customHeight="1" x14ac:dyDescent="0.35">
      <c r="A6" s="29">
        <v>1</v>
      </c>
      <c r="B6" s="7" t="s">
        <v>33</v>
      </c>
      <c r="C6" s="7" t="s">
        <v>33</v>
      </c>
      <c r="D6" s="7" t="s">
        <v>85</v>
      </c>
      <c r="E6" s="7" t="s">
        <v>96</v>
      </c>
      <c r="F6" s="8" t="s">
        <v>64</v>
      </c>
      <c r="G6" s="7"/>
      <c r="H6" s="7" t="s">
        <v>32</v>
      </c>
      <c r="I6" s="7" t="s">
        <v>97</v>
      </c>
      <c r="J6" s="9" t="s">
        <v>64</v>
      </c>
      <c r="K6" s="9">
        <v>45652</v>
      </c>
      <c r="L6" s="9">
        <v>45652</v>
      </c>
      <c r="M6" s="36">
        <v>45652</v>
      </c>
      <c r="N6" s="7" t="s">
        <v>100</v>
      </c>
      <c r="O6" s="7" t="s">
        <v>106</v>
      </c>
      <c r="P6" s="7"/>
      <c r="Q6" s="9">
        <v>45860</v>
      </c>
      <c r="R6" s="7"/>
      <c r="S6" s="9" t="s">
        <v>557</v>
      </c>
      <c r="T6" s="11">
        <f t="shared" ref="T6:T67" ca="1" si="0">DATEDIF(M6,TODAY(),"D")</f>
        <v>460</v>
      </c>
      <c r="U6" s="107" t="s">
        <v>592</v>
      </c>
      <c r="V6" s="7"/>
      <c r="W6" s="90">
        <v>3448</v>
      </c>
      <c r="X6" s="7" t="s">
        <v>667</v>
      </c>
      <c r="Y6" s="13"/>
      <c r="Z6" s="7"/>
      <c r="AA6" s="7" t="s">
        <v>759</v>
      </c>
      <c r="AB6" s="53" t="s">
        <v>759</v>
      </c>
      <c r="AC6" s="7" t="s">
        <v>778</v>
      </c>
      <c r="AD6" s="7" t="s">
        <v>825</v>
      </c>
      <c r="AE6" s="193" t="s">
        <v>825</v>
      </c>
      <c r="AF6" s="198"/>
    </row>
    <row r="7" spans="1:32" s="1" customFormat="1" ht="61" customHeight="1" x14ac:dyDescent="0.35">
      <c r="A7" s="137">
        <f>A6+1</f>
        <v>2</v>
      </c>
      <c r="B7" s="39"/>
      <c r="C7" s="39"/>
      <c r="D7" s="18" t="s">
        <v>310</v>
      </c>
      <c r="E7" s="18" t="s">
        <v>311</v>
      </c>
      <c r="F7" s="18">
        <v>85692</v>
      </c>
      <c r="G7" s="29"/>
      <c r="H7" s="29"/>
      <c r="I7" s="29"/>
      <c r="J7" s="30"/>
      <c r="K7" s="39"/>
      <c r="L7" s="39"/>
      <c r="M7" s="35">
        <v>45442</v>
      </c>
      <c r="N7" s="13"/>
      <c r="O7" s="7" t="s">
        <v>106</v>
      </c>
      <c r="P7" s="13"/>
      <c r="Q7" s="9">
        <v>45860</v>
      </c>
      <c r="R7" s="13"/>
      <c r="S7" s="9" t="s">
        <v>557</v>
      </c>
      <c r="T7" s="11">
        <f t="shared" ca="1" si="0"/>
        <v>670</v>
      </c>
      <c r="U7" s="107" t="s">
        <v>592</v>
      </c>
      <c r="V7" s="13"/>
      <c r="W7" s="91">
        <v>7200</v>
      </c>
      <c r="X7" s="7" t="s">
        <v>667</v>
      </c>
      <c r="Y7" s="13"/>
      <c r="Z7" s="7"/>
      <c r="AA7" s="7" t="s">
        <v>759</v>
      </c>
      <c r="AB7" s="53" t="s">
        <v>759</v>
      </c>
      <c r="AC7" s="7" t="s">
        <v>776</v>
      </c>
      <c r="AD7" s="183" t="s">
        <v>825</v>
      </c>
      <c r="AE7" s="193" t="s">
        <v>825</v>
      </c>
      <c r="AF7" s="198"/>
    </row>
    <row r="8" spans="1:32" s="1" customFormat="1" ht="75" customHeight="1" x14ac:dyDescent="0.35">
      <c r="A8" s="29">
        <f t="shared" ref="A8:A69" si="1">A7+1</f>
        <v>3</v>
      </c>
      <c r="B8" s="7" t="s">
        <v>33</v>
      </c>
      <c r="C8" s="7" t="s">
        <v>33</v>
      </c>
      <c r="D8" s="7" t="s">
        <v>65</v>
      </c>
      <c r="E8" s="7" t="s">
        <v>66</v>
      </c>
      <c r="F8" s="8">
        <v>423</v>
      </c>
      <c r="G8" s="7" t="s">
        <v>64</v>
      </c>
      <c r="H8" s="7" t="s">
        <v>32</v>
      </c>
      <c r="I8" s="7" t="s">
        <v>97</v>
      </c>
      <c r="J8" s="9" t="s">
        <v>64</v>
      </c>
      <c r="K8" s="9">
        <v>45468</v>
      </c>
      <c r="L8" s="9">
        <v>45469</v>
      </c>
      <c r="M8" s="9">
        <v>45433</v>
      </c>
      <c r="N8" s="7" t="s">
        <v>100</v>
      </c>
      <c r="O8" s="7" t="s">
        <v>532</v>
      </c>
      <c r="P8" s="7"/>
      <c r="Q8" s="9">
        <v>45860</v>
      </c>
      <c r="R8" s="7"/>
      <c r="S8" s="9" t="s">
        <v>558</v>
      </c>
      <c r="T8" s="11">
        <f t="shared" ca="1" si="0"/>
        <v>679</v>
      </c>
      <c r="U8" s="107" t="s">
        <v>592</v>
      </c>
      <c r="V8" s="7"/>
      <c r="W8" s="90">
        <v>2152</v>
      </c>
      <c r="X8" s="7" t="s">
        <v>667</v>
      </c>
      <c r="Y8" s="13"/>
      <c r="Z8" s="7"/>
      <c r="AA8" s="7" t="s">
        <v>759</v>
      </c>
      <c r="AB8" s="53" t="s">
        <v>759</v>
      </c>
      <c r="AC8" s="7" t="s">
        <v>775</v>
      </c>
      <c r="AD8" s="183" t="s">
        <v>825</v>
      </c>
      <c r="AE8" s="193" t="s">
        <v>825</v>
      </c>
      <c r="AF8" s="198"/>
    </row>
    <row r="9" spans="1:32" s="1" customFormat="1" ht="43.5" hidden="1" x14ac:dyDescent="0.35">
      <c r="A9" s="137">
        <f t="shared" si="1"/>
        <v>4</v>
      </c>
      <c r="B9" s="39"/>
      <c r="C9" s="39"/>
      <c r="D9" s="18" t="s">
        <v>303</v>
      </c>
      <c r="E9" s="18" t="s">
        <v>303</v>
      </c>
      <c r="F9" s="18" t="s">
        <v>34</v>
      </c>
      <c r="G9" s="29"/>
      <c r="H9" s="29"/>
      <c r="I9" s="29"/>
      <c r="J9" s="30"/>
      <c r="K9" s="39"/>
      <c r="L9" s="39"/>
      <c r="M9" s="35">
        <v>45433</v>
      </c>
      <c r="N9" s="13"/>
      <c r="O9" s="7" t="s">
        <v>106</v>
      </c>
      <c r="P9" s="13"/>
      <c r="Q9" s="9">
        <v>45860</v>
      </c>
      <c r="R9" s="13"/>
      <c r="S9" s="9" t="s">
        <v>557</v>
      </c>
      <c r="T9" s="11">
        <f t="shared" ca="1" si="0"/>
        <v>679</v>
      </c>
      <c r="U9" s="107" t="s">
        <v>592</v>
      </c>
      <c r="V9" s="13"/>
      <c r="W9" s="90">
        <v>10400</v>
      </c>
      <c r="X9" s="7" t="s">
        <v>667</v>
      </c>
      <c r="Y9" s="7" t="s">
        <v>719</v>
      </c>
      <c r="Z9" s="7"/>
      <c r="AA9" s="7" t="s">
        <v>759</v>
      </c>
      <c r="AB9" s="7" t="s">
        <v>759</v>
      </c>
      <c r="AC9" s="7"/>
      <c r="AD9" s="183" t="s">
        <v>825</v>
      </c>
      <c r="AE9" s="193" t="s">
        <v>825</v>
      </c>
      <c r="AF9" s="198"/>
    </row>
    <row r="10" spans="1:32" s="1" customFormat="1" ht="58" hidden="1" x14ac:dyDescent="0.35">
      <c r="A10" s="29">
        <f t="shared" si="1"/>
        <v>5</v>
      </c>
      <c r="B10" s="7" t="s">
        <v>33</v>
      </c>
      <c r="C10" s="7" t="s">
        <v>33</v>
      </c>
      <c r="D10" s="7" t="s">
        <v>35</v>
      </c>
      <c r="E10" s="7" t="s">
        <v>36</v>
      </c>
      <c r="F10" s="8" t="s">
        <v>34</v>
      </c>
      <c r="G10" s="7"/>
      <c r="H10" s="7" t="s">
        <v>32</v>
      </c>
      <c r="I10" s="7" t="s">
        <v>97</v>
      </c>
      <c r="J10" s="9"/>
      <c r="K10" s="9">
        <v>45469</v>
      </c>
      <c r="L10" s="9">
        <v>45470</v>
      </c>
      <c r="M10" s="9">
        <v>45433</v>
      </c>
      <c r="N10" s="7" t="s">
        <v>100</v>
      </c>
      <c r="O10" s="7" t="s">
        <v>532</v>
      </c>
      <c r="P10" s="7"/>
      <c r="Q10" s="9">
        <v>45860</v>
      </c>
      <c r="R10" s="7"/>
      <c r="S10" s="9" t="s">
        <v>558</v>
      </c>
      <c r="T10" s="11">
        <f t="shared" ca="1" si="0"/>
        <v>679</v>
      </c>
      <c r="U10" s="107" t="s">
        <v>592</v>
      </c>
      <c r="V10" s="7"/>
      <c r="W10" s="90">
        <v>5500</v>
      </c>
      <c r="X10" s="53" t="s">
        <v>578</v>
      </c>
      <c r="Y10" s="153"/>
      <c r="Z10" s="7"/>
      <c r="AA10" s="7" t="s">
        <v>759</v>
      </c>
      <c r="AB10" s="7" t="s">
        <v>759</v>
      </c>
      <c r="AC10" s="7"/>
      <c r="AD10" s="183" t="s">
        <v>825</v>
      </c>
      <c r="AE10" s="193" t="s">
        <v>825</v>
      </c>
      <c r="AF10" s="198"/>
    </row>
    <row r="11" spans="1:32" s="1" customFormat="1" ht="43.5" hidden="1" x14ac:dyDescent="0.35">
      <c r="A11" s="137">
        <f t="shared" si="1"/>
        <v>6</v>
      </c>
      <c r="B11" s="39" t="s">
        <v>588</v>
      </c>
      <c r="C11" s="39" t="s">
        <v>588</v>
      </c>
      <c r="D11" s="18" t="s">
        <v>302</v>
      </c>
      <c r="E11" s="18" t="s">
        <v>302</v>
      </c>
      <c r="F11" s="18">
        <v>46474</v>
      </c>
      <c r="G11" s="29"/>
      <c r="H11" s="29"/>
      <c r="I11" s="29"/>
      <c r="J11" s="30"/>
      <c r="K11" s="39"/>
      <c r="L11" s="39"/>
      <c r="M11" s="34">
        <v>45433</v>
      </c>
      <c r="N11" s="13"/>
      <c r="O11" s="7" t="s">
        <v>532</v>
      </c>
      <c r="P11" s="13"/>
      <c r="Q11" s="9">
        <v>45860</v>
      </c>
      <c r="R11" s="13"/>
      <c r="S11" s="9" t="s">
        <v>558</v>
      </c>
      <c r="T11" s="11">
        <f t="shared" ca="1" si="0"/>
        <v>679</v>
      </c>
      <c r="U11" s="107" t="s">
        <v>592</v>
      </c>
      <c r="V11" s="13"/>
      <c r="W11" s="90">
        <v>6800</v>
      </c>
      <c r="X11" s="7" t="s">
        <v>668</v>
      </c>
      <c r="Y11" s="13"/>
      <c r="Z11" s="7"/>
      <c r="AA11" s="7" t="s">
        <v>759</v>
      </c>
      <c r="AB11" s="7" t="s">
        <v>759</v>
      </c>
      <c r="AC11" s="7"/>
      <c r="AD11" s="183" t="s">
        <v>825</v>
      </c>
      <c r="AE11" s="193" t="s">
        <v>825</v>
      </c>
      <c r="AF11" s="198"/>
    </row>
    <row r="12" spans="1:32" s="1" customFormat="1" ht="43.5" hidden="1" x14ac:dyDescent="0.35">
      <c r="A12" s="137">
        <f t="shared" si="1"/>
        <v>7</v>
      </c>
      <c r="B12" s="39" t="s">
        <v>588</v>
      </c>
      <c r="C12" s="39" t="s">
        <v>588</v>
      </c>
      <c r="D12" s="18" t="s">
        <v>302</v>
      </c>
      <c r="E12" s="18" t="s">
        <v>302</v>
      </c>
      <c r="F12" s="18">
        <v>47011</v>
      </c>
      <c r="G12" s="29"/>
      <c r="H12" s="29"/>
      <c r="I12" s="29"/>
      <c r="J12" s="30"/>
      <c r="K12" s="39"/>
      <c r="L12" s="39"/>
      <c r="M12" s="34">
        <v>45433</v>
      </c>
      <c r="N12" s="13"/>
      <c r="O12" s="7" t="s">
        <v>532</v>
      </c>
      <c r="P12" s="13"/>
      <c r="Q12" s="9">
        <v>45860</v>
      </c>
      <c r="R12" s="13"/>
      <c r="S12" s="9" t="s">
        <v>558</v>
      </c>
      <c r="T12" s="11">
        <f t="shared" ca="1" si="0"/>
        <v>679</v>
      </c>
      <c r="U12" s="107" t="s">
        <v>592</v>
      </c>
      <c r="V12" s="13"/>
      <c r="W12" s="90">
        <v>6800</v>
      </c>
      <c r="X12" s="7" t="s">
        <v>669</v>
      </c>
      <c r="Y12" s="13"/>
      <c r="Z12" s="7"/>
      <c r="AA12" s="7" t="s">
        <v>759</v>
      </c>
      <c r="AB12" s="7" t="s">
        <v>759</v>
      </c>
      <c r="AC12" s="7"/>
      <c r="AD12" s="183" t="s">
        <v>825</v>
      </c>
      <c r="AE12" s="193" t="s">
        <v>825</v>
      </c>
      <c r="AF12" s="198"/>
    </row>
    <row r="13" spans="1:32" s="1" customFormat="1" ht="43.5" hidden="1" x14ac:dyDescent="0.35">
      <c r="A13" s="137">
        <f t="shared" si="1"/>
        <v>8</v>
      </c>
      <c r="B13" s="39" t="s">
        <v>588</v>
      </c>
      <c r="C13" s="39" t="s">
        <v>588</v>
      </c>
      <c r="D13" s="18" t="s">
        <v>302</v>
      </c>
      <c r="E13" s="18" t="s">
        <v>302</v>
      </c>
      <c r="F13" s="18">
        <v>41629</v>
      </c>
      <c r="G13" s="29"/>
      <c r="H13" s="29"/>
      <c r="I13" s="29"/>
      <c r="J13" s="30"/>
      <c r="K13" s="39"/>
      <c r="L13" s="39"/>
      <c r="M13" s="34">
        <v>45433</v>
      </c>
      <c r="N13" s="13"/>
      <c r="O13" s="7" t="s">
        <v>532</v>
      </c>
      <c r="P13" s="13"/>
      <c r="Q13" s="9">
        <v>45860</v>
      </c>
      <c r="R13" s="13"/>
      <c r="S13" s="9" t="s">
        <v>558</v>
      </c>
      <c r="T13" s="11">
        <f t="shared" ca="1" si="0"/>
        <v>679</v>
      </c>
      <c r="U13" s="107" t="s">
        <v>592</v>
      </c>
      <c r="V13" s="13"/>
      <c r="W13" s="90">
        <v>6800</v>
      </c>
      <c r="X13" s="7" t="s">
        <v>670</v>
      </c>
      <c r="Y13" s="13"/>
      <c r="Z13" s="7"/>
      <c r="AA13" s="7" t="s">
        <v>759</v>
      </c>
      <c r="AB13" s="7" t="s">
        <v>759</v>
      </c>
      <c r="AC13" s="7"/>
      <c r="AD13" s="183" t="s">
        <v>825</v>
      </c>
      <c r="AE13" s="193" t="s">
        <v>825</v>
      </c>
      <c r="AF13" s="198"/>
    </row>
    <row r="14" spans="1:32" s="1" customFormat="1" ht="43.5" hidden="1" x14ac:dyDescent="0.35">
      <c r="A14" s="137">
        <f t="shared" si="1"/>
        <v>9</v>
      </c>
      <c r="B14" s="39" t="s">
        <v>588</v>
      </c>
      <c r="C14" s="39" t="s">
        <v>588</v>
      </c>
      <c r="D14" s="18" t="s">
        <v>302</v>
      </c>
      <c r="E14" s="18" t="s">
        <v>302</v>
      </c>
      <c r="F14" s="18">
        <v>39060</v>
      </c>
      <c r="G14" s="29"/>
      <c r="H14" s="29"/>
      <c r="I14" s="29"/>
      <c r="J14" s="30"/>
      <c r="K14" s="39"/>
      <c r="L14" s="39"/>
      <c r="M14" s="34">
        <v>45433</v>
      </c>
      <c r="N14" s="13"/>
      <c r="O14" s="7" t="s">
        <v>532</v>
      </c>
      <c r="P14" s="13"/>
      <c r="Q14" s="9">
        <v>45860</v>
      </c>
      <c r="R14" s="13"/>
      <c r="S14" s="9" t="s">
        <v>558</v>
      </c>
      <c r="T14" s="11">
        <f t="shared" ca="1" si="0"/>
        <v>679</v>
      </c>
      <c r="U14" s="107" t="s">
        <v>592</v>
      </c>
      <c r="V14" s="13"/>
      <c r="W14" s="90">
        <v>6800</v>
      </c>
      <c r="X14" s="7" t="s">
        <v>671</v>
      </c>
      <c r="Y14" s="13"/>
      <c r="Z14" s="7"/>
      <c r="AA14" s="7" t="s">
        <v>759</v>
      </c>
      <c r="AB14" s="7" t="s">
        <v>759</v>
      </c>
      <c r="AC14" s="7"/>
      <c r="AD14" s="183" t="s">
        <v>825</v>
      </c>
      <c r="AE14" s="193" t="s">
        <v>825</v>
      </c>
      <c r="AF14" s="198"/>
    </row>
    <row r="15" spans="1:32" s="1" customFormat="1" ht="43.5" hidden="1" x14ac:dyDescent="0.35">
      <c r="A15" s="137">
        <f t="shared" si="1"/>
        <v>10</v>
      </c>
      <c r="B15" s="39" t="s">
        <v>588</v>
      </c>
      <c r="C15" s="39" t="s">
        <v>588</v>
      </c>
      <c r="D15" s="18" t="s">
        <v>302</v>
      </c>
      <c r="E15" s="18" t="s">
        <v>302</v>
      </c>
      <c r="F15" s="18" t="s">
        <v>34</v>
      </c>
      <c r="G15" s="29"/>
      <c r="H15" s="29"/>
      <c r="I15" s="29"/>
      <c r="J15" s="30"/>
      <c r="K15" s="39"/>
      <c r="L15" s="39"/>
      <c r="M15" s="34">
        <v>45433</v>
      </c>
      <c r="N15" s="13"/>
      <c r="O15" s="7" t="s">
        <v>532</v>
      </c>
      <c r="P15" s="13"/>
      <c r="Q15" s="9">
        <v>45860</v>
      </c>
      <c r="R15" s="13"/>
      <c r="S15" s="9" t="s">
        <v>558</v>
      </c>
      <c r="T15" s="11">
        <f t="shared" ca="1" si="0"/>
        <v>679</v>
      </c>
      <c r="U15" s="107" t="s">
        <v>592</v>
      </c>
      <c r="V15" s="13"/>
      <c r="W15" s="90">
        <v>6800</v>
      </c>
      <c r="X15" s="7" t="s">
        <v>672</v>
      </c>
      <c r="Y15" s="13"/>
      <c r="Z15" s="7"/>
      <c r="AA15" s="7" t="s">
        <v>759</v>
      </c>
      <c r="AB15" s="7" t="s">
        <v>759</v>
      </c>
      <c r="AC15" s="7"/>
      <c r="AD15" s="183" t="s">
        <v>825</v>
      </c>
      <c r="AE15" s="193" t="s">
        <v>825</v>
      </c>
      <c r="AF15" s="198"/>
    </row>
    <row r="16" spans="1:32" s="1" customFormat="1" ht="43.5" hidden="1" x14ac:dyDescent="0.35">
      <c r="A16" s="138">
        <f t="shared" si="1"/>
        <v>11</v>
      </c>
      <c r="B16" s="39" t="s">
        <v>588</v>
      </c>
      <c r="C16" s="39" t="s">
        <v>588</v>
      </c>
      <c r="D16" s="18" t="s">
        <v>138</v>
      </c>
      <c r="E16" s="18" t="s">
        <v>139</v>
      </c>
      <c r="F16" s="106">
        <v>8045160407084250</v>
      </c>
      <c r="G16" s="19"/>
      <c r="H16" s="21"/>
      <c r="I16" s="21" t="s">
        <v>140</v>
      </c>
      <c r="J16" s="21">
        <v>1</v>
      </c>
      <c r="K16" s="39"/>
      <c r="L16" s="39"/>
      <c r="M16" s="35">
        <v>45398</v>
      </c>
      <c r="N16" s="13"/>
      <c r="O16" s="7" t="s">
        <v>532</v>
      </c>
      <c r="P16" s="13"/>
      <c r="Q16" s="9">
        <v>45860</v>
      </c>
      <c r="R16" s="13"/>
      <c r="S16" s="9" t="s">
        <v>558</v>
      </c>
      <c r="T16" s="11">
        <f t="shared" ca="1" si="0"/>
        <v>714</v>
      </c>
      <c r="U16" s="8" t="s">
        <v>593</v>
      </c>
      <c r="V16" s="13"/>
      <c r="W16" s="90">
        <v>14000</v>
      </c>
      <c r="X16" s="7" t="s">
        <v>673</v>
      </c>
      <c r="Y16" s="13"/>
      <c r="Z16" s="7"/>
      <c r="AA16" s="7" t="s">
        <v>759</v>
      </c>
      <c r="AB16" s="7" t="s">
        <v>759</v>
      </c>
      <c r="AC16" s="7"/>
      <c r="AD16" s="183" t="s">
        <v>825</v>
      </c>
      <c r="AE16" s="193" t="s">
        <v>825</v>
      </c>
      <c r="AF16" s="198"/>
    </row>
    <row r="17" spans="1:32" s="1" customFormat="1" ht="43.5" hidden="1" x14ac:dyDescent="0.35">
      <c r="A17" s="138">
        <f t="shared" si="1"/>
        <v>12</v>
      </c>
      <c r="B17" s="39" t="s">
        <v>588</v>
      </c>
      <c r="C17" s="39" t="s">
        <v>588</v>
      </c>
      <c r="D17" s="18" t="s">
        <v>141</v>
      </c>
      <c r="E17" s="18" t="s">
        <v>139</v>
      </c>
      <c r="F17" s="106">
        <v>8045160407084250</v>
      </c>
      <c r="G17" s="19"/>
      <c r="H17" s="21"/>
      <c r="I17" s="21" t="s">
        <v>140</v>
      </c>
      <c r="J17" s="21">
        <v>1</v>
      </c>
      <c r="K17" s="39"/>
      <c r="L17" s="39"/>
      <c r="M17" s="35">
        <v>45398</v>
      </c>
      <c r="N17" s="13"/>
      <c r="O17" s="7" t="s">
        <v>532</v>
      </c>
      <c r="P17" s="13"/>
      <c r="Q17" s="9">
        <v>45860</v>
      </c>
      <c r="R17" s="13"/>
      <c r="S17" s="9" t="s">
        <v>558</v>
      </c>
      <c r="T17" s="11">
        <f t="shared" ca="1" si="0"/>
        <v>714</v>
      </c>
      <c r="U17" s="8" t="s">
        <v>593</v>
      </c>
      <c r="V17" s="13"/>
      <c r="W17" s="90">
        <v>14000</v>
      </c>
      <c r="X17" s="7" t="s">
        <v>673</v>
      </c>
      <c r="Y17" s="13"/>
      <c r="Z17" s="7"/>
      <c r="AA17" s="7" t="s">
        <v>759</v>
      </c>
      <c r="AB17" s="7" t="s">
        <v>759</v>
      </c>
      <c r="AC17" s="7"/>
      <c r="AD17" s="183" t="s">
        <v>825</v>
      </c>
      <c r="AE17" s="193" t="s">
        <v>825</v>
      </c>
      <c r="AF17" s="198"/>
    </row>
    <row r="18" spans="1:32" s="1" customFormat="1" ht="43.5" hidden="1" x14ac:dyDescent="0.35">
      <c r="A18" s="138">
        <f t="shared" si="1"/>
        <v>13</v>
      </c>
      <c r="B18" s="39" t="s">
        <v>588</v>
      </c>
      <c r="C18" s="39" t="s">
        <v>588</v>
      </c>
      <c r="D18" s="18" t="s">
        <v>141</v>
      </c>
      <c r="E18" s="18" t="s">
        <v>139</v>
      </c>
      <c r="F18" s="84">
        <v>8045160407084260</v>
      </c>
      <c r="G18" s="19"/>
      <c r="H18" s="21"/>
      <c r="I18" s="21" t="s">
        <v>140</v>
      </c>
      <c r="J18" s="21">
        <v>1</v>
      </c>
      <c r="K18" s="39"/>
      <c r="L18" s="39"/>
      <c r="M18" s="35">
        <v>45398</v>
      </c>
      <c r="N18" s="13"/>
      <c r="O18" s="7" t="s">
        <v>532</v>
      </c>
      <c r="P18" s="13"/>
      <c r="Q18" s="9">
        <v>45860</v>
      </c>
      <c r="R18" s="13"/>
      <c r="S18" s="9" t="s">
        <v>558</v>
      </c>
      <c r="T18" s="11">
        <f t="shared" ca="1" si="0"/>
        <v>714</v>
      </c>
      <c r="U18" s="8" t="s">
        <v>593</v>
      </c>
      <c r="V18" s="13"/>
      <c r="W18" s="90">
        <v>14000</v>
      </c>
      <c r="X18" s="7" t="s">
        <v>674</v>
      </c>
      <c r="Y18" s="13"/>
      <c r="Z18" s="7"/>
      <c r="AA18" s="7" t="s">
        <v>759</v>
      </c>
      <c r="AB18" s="7" t="s">
        <v>759</v>
      </c>
      <c r="AC18" s="7"/>
      <c r="AD18" s="183" t="s">
        <v>825</v>
      </c>
      <c r="AE18" s="193" t="s">
        <v>825</v>
      </c>
      <c r="AF18" s="198"/>
    </row>
    <row r="19" spans="1:32" s="1" customFormat="1" ht="79.5" customHeight="1" x14ac:dyDescent="0.35">
      <c r="A19" s="29">
        <f t="shared" si="1"/>
        <v>14</v>
      </c>
      <c r="B19" s="7" t="s">
        <v>33</v>
      </c>
      <c r="C19" s="7" t="s">
        <v>33</v>
      </c>
      <c r="D19" s="7" t="s">
        <v>85</v>
      </c>
      <c r="E19" s="7" t="s">
        <v>94</v>
      </c>
      <c r="F19" s="8" t="s">
        <v>64</v>
      </c>
      <c r="G19" s="7" t="s">
        <v>64</v>
      </c>
      <c r="H19" s="7" t="s">
        <v>32</v>
      </c>
      <c r="I19" s="7" t="s">
        <v>97</v>
      </c>
      <c r="J19" s="9" t="s">
        <v>64</v>
      </c>
      <c r="K19" s="9">
        <v>45652</v>
      </c>
      <c r="L19" s="9">
        <v>45652</v>
      </c>
      <c r="M19" s="36">
        <v>45652</v>
      </c>
      <c r="N19" s="7" t="s">
        <v>100</v>
      </c>
      <c r="O19" s="7" t="s">
        <v>106</v>
      </c>
      <c r="P19" s="7"/>
      <c r="Q19" s="9">
        <v>45860</v>
      </c>
      <c r="R19" s="7"/>
      <c r="S19" s="9" t="s">
        <v>557</v>
      </c>
      <c r="T19" s="11">
        <f t="shared" ca="1" si="0"/>
        <v>460</v>
      </c>
      <c r="U19" s="107" t="s">
        <v>592</v>
      </c>
      <c r="V19" s="7"/>
      <c r="W19" s="90">
        <v>18500</v>
      </c>
      <c r="X19" s="7" t="s">
        <v>667</v>
      </c>
      <c r="Y19" s="13"/>
      <c r="Z19" s="7"/>
      <c r="AA19" s="7" t="s">
        <v>760</v>
      </c>
      <c r="AB19" s="104" t="s">
        <v>602</v>
      </c>
      <c r="AC19" s="7" t="s">
        <v>810</v>
      </c>
      <c r="AD19" s="183" t="s">
        <v>826</v>
      </c>
      <c r="AE19" s="193" t="s">
        <v>826</v>
      </c>
      <c r="AF19" s="198"/>
    </row>
    <row r="20" spans="1:32" s="1" customFormat="1" ht="79.5" customHeight="1" x14ac:dyDescent="0.35">
      <c r="A20" s="29">
        <f t="shared" si="1"/>
        <v>15</v>
      </c>
      <c r="B20" s="7" t="s">
        <v>33</v>
      </c>
      <c r="C20" s="7" t="s">
        <v>33</v>
      </c>
      <c r="D20" s="7" t="s">
        <v>85</v>
      </c>
      <c r="E20" s="7" t="s">
        <v>94</v>
      </c>
      <c r="F20" s="8" t="s">
        <v>64</v>
      </c>
      <c r="G20" s="7" t="s">
        <v>64</v>
      </c>
      <c r="H20" s="7" t="s">
        <v>32</v>
      </c>
      <c r="I20" s="7" t="s">
        <v>97</v>
      </c>
      <c r="J20" s="9" t="s">
        <v>64</v>
      </c>
      <c r="K20" s="9">
        <v>45652</v>
      </c>
      <c r="L20" s="9">
        <v>45652</v>
      </c>
      <c r="M20" s="36">
        <v>45652</v>
      </c>
      <c r="N20" s="7" t="s">
        <v>100</v>
      </c>
      <c r="O20" s="7" t="s">
        <v>106</v>
      </c>
      <c r="P20" s="7"/>
      <c r="Q20" s="9">
        <v>45860</v>
      </c>
      <c r="R20" s="7"/>
      <c r="S20" s="9" t="s">
        <v>557</v>
      </c>
      <c r="T20" s="11">
        <f t="shared" ca="1" si="0"/>
        <v>460</v>
      </c>
      <c r="U20" s="107" t="s">
        <v>592</v>
      </c>
      <c r="V20" s="7"/>
      <c r="W20" s="90">
        <v>18500</v>
      </c>
      <c r="X20" s="7" t="s">
        <v>667</v>
      </c>
      <c r="Y20" s="13"/>
      <c r="Z20" s="7"/>
      <c r="AA20" s="7" t="s">
        <v>760</v>
      </c>
      <c r="AB20" s="104" t="s">
        <v>602</v>
      </c>
      <c r="AC20" s="7" t="s">
        <v>810</v>
      </c>
      <c r="AD20" s="183" t="s">
        <v>826</v>
      </c>
      <c r="AE20" s="193" t="s">
        <v>826</v>
      </c>
      <c r="AF20" s="198"/>
    </row>
    <row r="21" spans="1:32" s="1" customFormat="1" ht="79.5" customHeight="1" x14ac:dyDescent="0.35">
      <c r="A21" s="29">
        <f t="shared" si="1"/>
        <v>16</v>
      </c>
      <c r="B21" s="7" t="s">
        <v>33</v>
      </c>
      <c r="C21" s="7" t="s">
        <v>33</v>
      </c>
      <c r="D21" s="7" t="s">
        <v>85</v>
      </c>
      <c r="E21" s="7" t="s">
        <v>94</v>
      </c>
      <c r="F21" s="8" t="s">
        <v>64</v>
      </c>
      <c r="G21" s="7" t="s">
        <v>64</v>
      </c>
      <c r="H21" s="7" t="s">
        <v>32</v>
      </c>
      <c r="I21" s="7" t="s">
        <v>97</v>
      </c>
      <c r="J21" s="9" t="s">
        <v>64</v>
      </c>
      <c r="K21" s="9">
        <v>45652</v>
      </c>
      <c r="L21" s="9">
        <v>45652</v>
      </c>
      <c r="M21" s="36">
        <v>45652</v>
      </c>
      <c r="N21" s="7" t="s">
        <v>100</v>
      </c>
      <c r="O21" s="7" t="s">
        <v>106</v>
      </c>
      <c r="P21" s="7"/>
      <c r="Q21" s="9">
        <v>45860</v>
      </c>
      <c r="R21" s="7"/>
      <c r="S21" s="9" t="s">
        <v>557</v>
      </c>
      <c r="T21" s="11">
        <f t="shared" ca="1" si="0"/>
        <v>460</v>
      </c>
      <c r="U21" s="107" t="s">
        <v>592</v>
      </c>
      <c r="V21" s="7"/>
      <c r="W21" s="90">
        <v>18500</v>
      </c>
      <c r="X21" s="7" t="s">
        <v>667</v>
      </c>
      <c r="Y21" s="13"/>
      <c r="Z21" s="7"/>
      <c r="AA21" s="7" t="s">
        <v>760</v>
      </c>
      <c r="AB21" s="104" t="s">
        <v>602</v>
      </c>
      <c r="AC21" s="7" t="s">
        <v>810</v>
      </c>
      <c r="AD21" s="183" t="s">
        <v>826</v>
      </c>
      <c r="AE21" s="193" t="s">
        <v>826</v>
      </c>
      <c r="AF21" s="198"/>
    </row>
    <row r="22" spans="1:32" s="1" customFormat="1" ht="79.5" customHeight="1" x14ac:dyDescent="0.35">
      <c r="A22" s="29">
        <f t="shared" si="1"/>
        <v>17</v>
      </c>
      <c r="B22" s="7" t="s">
        <v>33</v>
      </c>
      <c r="C22" s="7" t="s">
        <v>33</v>
      </c>
      <c r="D22" s="7" t="s">
        <v>85</v>
      </c>
      <c r="E22" s="7" t="s">
        <v>94</v>
      </c>
      <c r="F22" s="8" t="s">
        <v>64</v>
      </c>
      <c r="G22" s="7" t="s">
        <v>64</v>
      </c>
      <c r="H22" s="7" t="s">
        <v>32</v>
      </c>
      <c r="I22" s="7" t="s">
        <v>97</v>
      </c>
      <c r="J22" s="9" t="s">
        <v>64</v>
      </c>
      <c r="K22" s="9">
        <v>45652</v>
      </c>
      <c r="L22" s="9">
        <v>45652</v>
      </c>
      <c r="M22" s="36">
        <v>45652</v>
      </c>
      <c r="N22" s="7" t="s">
        <v>100</v>
      </c>
      <c r="O22" s="7" t="s">
        <v>106</v>
      </c>
      <c r="P22" s="7"/>
      <c r="Q22" s="9">
        <v>45860</v>
      </c>
      <c r="R22" s="7"/>
      <c r="S22" s="9" t="s">
        <v>557</v>
      </c>
      <c r="T22" s="11">
        <f t="shared" ca="1" si="0"/>
        <v>460</v>
      </c>
      <c r="U22" s="107" t="s">
        <v>592</v>
      </c>
      <c r="V22" s="7"/>
      <c r="W22" s="90">
        <v>18500</v>
      </c>
      <c r="X22" s="7" t="s">
        <v>667</v>
      </c>
      <c r="Y22" s="13"/>
      <c r="Z22" s="7"/>
      <c r="AA22" s="7" t="s">
        <v>760</v>
      </c>
      <c r="AB22" s="104" t="s">
        <v>602</v>
      </c>
      <c r="AC22" s="7" t="s">
        <v>810</v>
      </c>
      <c r="AD22" s="183" t="s">
        <v>826</v>
      </c>
      <c r="AE22" s="193" t="s">
        <v>826</v>
      </c>
      <c r="AF22" s="198"/>
    </row>
    <row r="23" spans="1:32" s="1" customFormat="1" ht="79.5" customHeight="1" x14ac:dyDescent="0.35">
      <c r="A23" s="29">
        <f t="shared" si="1"/>
        <v>18</v>
      </c>
      <c r="B23" s="7" t="s">
        <v>33</v>
      </c>
      <c r="C23" s="7" t="s">
        <v>33</v>
      </c>
      <c r="D23" s="7" t="s">
        <v>85</v>
      </c>
      <c r="E23" s="7" t="s">
        <v>90</v>
      </c>
      <c r="F23" s="8" t="s">
        <v>331</v>
      </c>
      <c r="G23" s="7" t="s">
        <v>91</v>
      </c>
      <c r="H23" s="7" t="s">
        <v>32</v>
      </c>
      <c r="I23" s="7" t="s">
        <v>97</v>
      </c>
      <c r="J23" s="9">
        <v>45455</v>
      </c>
      <c r="K23" s="9">
        <v>45652</v>
      </c>
      <c r="L23" s="9">
        <v>45652</v>
      </c>
      <c r="M23" s="36">
        <v>45652</v>
      </c>
      <c r="N23" s="7" t="s">
        <v>100</v>
      </c>
      <c r="O23" s="7" t="s">
        <v>106</v>
      </c>
      <c r="P23" s="7"/>
      <c r="Q23" s="9">
        <v>45860</v>
      </c>
      <c r="R23" s="7"/>
      <c r="S23" s="9" t="s">
        <v>557</v>
      </c>
      <c r="T23" s="11">
        <f t="shared" ca="1" si="0"/>
        <v>460</v>
      </c>
      <c r="U23" s="107" t="s">
        <v>592</v>
      </c>
      <c r="V23" s="7"/>
      <c r="W23" s="90">
        <v>20100</v>
      </c>
      <c r="X23" s="7" t="s">
        <v>667</v>
      </c>
      <c r="Y23" s="7" t="s">
        <v>720</v>
      </c>
      <c r="Z23" s="7" t="s">
        <v>742</v>
      </c>
      <c r="AA23" s="7"/>
      <c r="AB23" s="104" t="s">
        <v>602</v>
      </c>
      <c r="AC23" s="7" t="s">
        <v>810</v>
      </c>
      <c r="AD23" s="183" t="s">
        <v>826</v>
      </c>
      <c r="AE23" s="193" t="s">
        <v>826</v>
      </c>
      <c r="AF23" s="198"/>
    </row>
    <row r="24" spans="1:32" s="1" customFormat="1" ht="79.5" customHeight="1" x14ac:dyDescent="0.35">
      <c r="A24" s="29">
        <f t="shared" si="1"/>
        <v>19</v>
      </c>
      <c r="B24" s="7" t="s">
        <v>33</v>
      </c>
      <c r="C24" s="7" t="s">
        <v>33</v>
      </c>
      <c r="D24" s="7" t="s">
        <v>85</v>
      </c>
      <c r="E24" s="7" t="s">
        <v>90</v>
      </c>
      <c r="F24" s="8" t="s">
        <v>332</v>
      </c>
      <c r="G24" s="7" t="s">
        <v>92</v>
      </c>
      <c r="H24" s="7" t="s">
        <v>32</v>
      </c>
      <c r="I24" s="7" t="s">
        <v>97</v>
      </c>
      <c r="J24" s="9">
        <v>45455</v>
      </c>
      <c r="K24" s="9">
        <v>45652</v>
      </c>
      <c r="L24" s="9">
        <v>45652</v>
      </c>
      <c r="M24" s="36">
        <v>45652</v>
      </c>
      <c r="N24" s="7" t="s">
        <v>100</v>
      </c>
      <c r="O24" s="7" t="s">
        <v>106</v>
      </c>
      <c r="P24" s="7"/>
      <c r="Q24" s="9">
        <v>45860</v>
      </c>
      <c r="R24" s="7"/>
      <c r="S24" s="9" t="s">
        <v>557</v>
      </c>
      <c r="T24" s="11">
        <f t="shared" ca="1" si="0"/>
        <v>460</v>
      </c>
      <c r="U24" s="107" t="s">
        <v>592</v>
      </c>
      <c r="V24" s="7"/>
      <c r="W24" s="90">
        <v>20100</v>
      </c>
      <c r="X24" s="7" t="s">
        <v>667</v>
      </c>
      <c r="Y24" s="7" t="s">
        <v>721</v>
      </c>
      <c r="Z24" s="7"/>
      <c r="AA24" s="7"/>
      <c r="AB24" s="104" t="s">
        <v>765</v>
      </c>
      <c r="AC24" s="7" t="s">
        <v>810</v>
      </c>
      <c r="AD24" s="183" t="s">
        <v>826</v>
      </c>
      <c r="AE24" s="193" t="s">
        <v>826</v>
      </c>
      <c r="AF24" s="198"/>
    </row>
    <row r="25" spans="1:32" s="1" customFormat="1" ht="79.5" customHeight="1" x14ac:dyDescent="0.35">
      <c r="A25" s="29">
        <f t="shared" si="1"/>
        <v>20</v>
      </c>
      <c r="B25" s="7" t="s">
        <v>33</v>
      </c>
      <c r="C25" s="7" t="s">
        <v>33</v>
      </c>
      <c r="D25" s="7" t="s">
        <v>85</v>
      </c>
      <c r="E25" s="7" t="s">
        <v>90</v>
      </c>
      <c r="F25" s="8" t="s">
        <v>333</v>
      </c>
      <c r="G25" s="7" t="s">
        <v>93</v>
      </c>
      <c r="H25" s="7" t="s">
        <v>32</v>
      </c>
      <c r="I25" s="7" t="s">
        <v>97</v>
      </c>
      <c r="J25" s="9">
        <v>45455</v>
      </c>
      <c r="K25" s="9">
        <v>45652</v>
      </c>
      <c r="L25" s="9">
        <v>45652</v>
      </c>
      <c r="M25" s="36">
        <v>45652</v>
      </c>
      <c r="N25" s="7" t="s">
        <v>100</v>
      </c>
      <c r="O25" s="7" t="s">
        <v>106</v>
      </c>
      <c r="P25" s="7"/>
      <c r="Q25" s="9">
        <v>45860</v>
      </c>
      <c r="R25" s="7"/>
      <c r="S25" s="9" t="s">
        <v>557</v>
      </c>
      <c r="T25" s="11">
        <f t="shared" ca="1" si="0"/>
        <v>460</v>
      </c>
      <c r="U25" s="107" t="s">
        <v>592</v>
      </c>
      <c r="V25" s="7"/>
      <c r="W25" s="90">
        <v>20100</v>
      </c>
      <c r="X25" s="7" t="s">
        <v>667</v>
      </c>
      <c r="Y25" s="7" t="s">
        <v>722</v>
      </c>
      <c r="Z25" s="7" t="s">
        <v>742</v>
      </c>
      <c r="AA25" s="7"/>
      <c r="AB25" s="104" t="s">
        <v>602</v>
      </c>
      <c r="AC25" s="7" t="s">
        <v>810</v>
      </c>
      <c r="AD25" s="183" t="s">
        <v>826</v>
      </c>
      <c r="AE25" s="193" t="s">
        <v>826</v>
      </c>
      <c r="AF25" s="198"/>
    </row>
    <row r="26" spans="1:32" s="1" customFormat="1" ht="37" customHeight="1" x14ac:dyDescent="0.35">
      <c r="A26" s="50">
        <f t="shared" si="1"/>
        <v>21</v>
      </c>
      <c r="B26" s="53" t="s">
        <v>33</v>
      </c>
      <c r="C26" s="53" t="s">
        <v>33</v>
      </c>
      <c r="D26" s="53" t="s">
        <v>85</v>
      </c>
      <c r="E26" s="53" t="s">
        <v>86</v>
      </c>
      <c r="F26" s="43">
        <v>3724</v>
      </c>
      <c r="G26" s="7"/>
      <c r="H26" s="7" t="s">
        <v>32</v>
      </c>
      <c r="I26" s="7" t="s">
        <v>97</v>
      </c>
      <c r="J26" s="9"/>
      <c r="K26" s="9">
        <v>45652</v>
      </c>
      <c r="L26" s="9">
        <v>45652</v>
      </c>
      <c r="M26" s="36">
        <v>45652</v>
      </c>
      <c r="N26" s="7" t="s">
        <v>100</v>
      </c>
      <c r="O26" s="7" t="s">
        <v>106</v>
      </c>
      <c r="P26" s="7"/>
      <c r="Q26" s="9">
        <v>45860</v>
      </c>
      <c r="R26" s="7"/>
      <c r="S26" s="9" t="s">
        <v>557</v>
      </c>
      <c r="T26" s="11">
        <f t="shared" ca="1" si="0"/>
        <v>460</v>
      </c>
      <c r="U26" s="107" t="s">
        <v>592</v>
      </c>
      <c r="V26" s="7"/>
      <c r="W26" s="90">
        <v>52080</v>
      </c>
      <c r="X26" s="7" t="s">
        <v>667</v>
      </c>
      <c r="Y26" s="7" t="s">
        <v>723</v>
      </c>
      <c r="Z26" s="7"/>
      <c r="AA26" s="7"/>
      <c r="AB26" s="7" t="str">
        <f t="shared" ref="AB26:AB27" si="2">Y26</f>
        <v>Акт № Д-90-2025</v>
      </c>
      <c r="AC26" s="53" t="s">
        <v>811</v>
      </c>
      <c r="AD26" s="7" t="s">
        <v>825</v>
      </c>
      <c r="AE26" s="193" t="s">
        <v>825</v>
      </c>
      <c r="AF26" s="198"/>
    </row>
    <row r="27" spans="1:32" s="1" customFormat="1" ht="47.5" customHeight="1" x14ac:dyDescent="0.35">
      <c r="A27" s="50">
        <f t="shared" si="1"/>
        <v>22</v>
      </c>
      <c r="B27" s="53" t="s">
        <v>33</v>
      </c>
      <c r="C27" s="53" t="s">
        <v>33</v>
      </c>
      <c r="D27" s="53" t="s">
        <v>85</v>
      </c>
      <c r="E27" s="53" t="s">
        <v>87</v>
      </c>
      <c r="F27" s="43">
        <v>7168</v>
      </c>
      <c r="G27" s="7" t="s">
        <v>88</v>
      </c>
      <c r="H27" s="7" t="s">
        <v>32</v>
      </c>
      <c r="I27" s="7" t="s">
        <v>97</v>
      </c>
      <c r="J27" s="9">
        <v>45455</v>
      </c>
      <c r="K27" s="9">
        <v>45652</v>
      </c>
      <c r="L27" s="9">
        <v>45652</v>
      </c>
      <c r="M27" s="36">
        <v>45652</v>
      </c>
      <c r="N27" s="7" t="s">
        <v>100</v>
      </c>
      <c r="O27" s="7" t="s">
        <v>106</v>
      </c>
      <c r="P27" s="7"/>
      <c r="Q27" s="9">
        <v>45860</v>
      </c>
      <c r="R27" s="7"/>
      <c r="S27" s="9" t="s">
        <v>557</v>
      </c>
      <c r="T27" s="11">
        <f t="shared" ca="1" si="0"/>
        <v>460</v>
      </c>
      <c r="U27" s="107" t="s">
        <v>592</v>
      </c>
      <c r="V27" s="7"/>
      <c r="W27" s="90">
        <v>52080</v>
      </c>
      <c r="X27" s="7" t="s">
        <v>667</v>
      </c>
      <c r="Y27" s="7" t="s">
        <v>724</v>
      </c>
      <c r="Z27" s="7"/>
      <c r="AA27" s="7"/>
      <c r="AB27" s="7" t="str">
        <f t="shared" si="2"/>
        <v>Акт № Д-91-2025</v>
      </c>
      <c r="AC27" s="53" t="s">
        <v>811</v>
      </c>
      <c r="AD27" s="7" t="s">
        <v>825</v>
      </c>
      <c r="AE27" s="193" t="s">
        <v>825</v>
      </c>
      <c r="AF27" s="198"/>
    </row>
    <row r="28" spans="1:32" s="1" customFormat="1" ht="47" customHeight="1" x14ac:dyDescent="0.35">
      <c r="A28" s="53">
        <f t="shared" si="1"/>
        <v>23</v>
      </c>
      <c r="B28" s="164" t="s">
        <v>588</v>
      </c>
      <c r="C28" s="164" t="s">
        <v>588</v>
      </c>
      <c r="D28" s="47" t="s">
        <v>141</v>
      </c>
      <c r="E28" s="47" t="s">
        <v>139</v>
      </c>
      <c r="F28" s="106">
        <v>8045160407084250</v>
      </c>
      <c r="G28" s="19"/>
      <c r="H28" s="21"/>
      <c r="I28" s="21" t="s">
        <v>140</v>
      </c>
      <c r="J28" s="21">
        <v>1</v>
      </c>
      <c r="K28" s="39"/>
      <c r="L28" s="39"/>
      <c r="M28" s="35">
        <v>45398</v>
      </c>
      <c r="N28" s="13"/>
      <c r="O28" s="7" t="s">
        <v>532</v>
      </c>
      <c r="P28" s="13"/>
      <c r="Q28" s="9">
        <v>45860</v>
      </c>
      <c r="R28" s="13"/>
      <c r="S28" s="9" t="s">
        <v>558</v>
      </c>
      <c r="T28" s="11">
        <f t="shared" ca="1" si="0"/>
        <v>714</v>
      </c>
      <c r="U28" s="97" t="s">
        <v>593</v>
      </c>
      <c r="V28" s="13"/>
      <c r="W28" s="90">
        <v>14000</v>
      </c>
      <c r="X28" s="7" t="s">
        <v>673</v>
      </c>
      <c r="Y28" s="13"/>
      <c r="Z28" s="7"/>
      <c r="AA28" s="7"/>
      <c r="AB28" s="7" t="str">
        <f t="shared" ref="AB28:AB38" si="3">X28</f>
        <v>Акт № Д-26-2025</v>
      </c>
      <c r="AC28" s="53" t="s">
        <v>811</v>
      </c>
      <c r="AD28" s="7" t="s">
        <v>849</v>
      </c>
      <c r="AE28" s="193" t="s">
        <v>891</v>
      </c>
      <c r="AF28" s="198"/>
    </row>
    <row r="29" spans="1:32" s="1" customFormat="1" ht="50" customHeight="1" x14ac:dyDescent="0.35">
      <c r="A29" s="53">
        <f t="shared" si="1"/>
        <v>24</v>
      </c>
      <c r="B29" s="164" t="s">
        <v>588</v>
      </c>
      <c r="C29" s="164" t="s">
        <v>588</v>
      </c>
      <c r="D29" s="47" t="s">
        <v>142</v>
      </c>
      <c r="E29" s="47" t="s">
        <v>139</v>
      </c>
      <c r="F29" s="106">
        <v>8045160407084280</v>
      </c>
      <c r="G29" s="19"/>
      <c r="H29" s="21"/>
      <c r="I29" s="21"/>
      <c r="J29" s="21">
        <v>1</v>
      </c>
      <c r="K29" s="39"/>
      <c r="L29" s="39"/>
      <c r="M29" s="35">
        <v>45398</v>
      </c>
      <c r="N29" s="13"/>
      <c r="O29" s="7" t="s">
        <v>532</v>
      </c>
      <c r="P29" s="13"/>
      <c r="Q29" s="9">
        <v>45860</v>
      </c>
      <c r="R29" s="13"/>
      <c r="S29" s="9" t="s">
        <v>558</v>
      </c>
      <c r="T29" s="11">
        <f t="shared" ca="1" si="0"/>
        <v>714</v>
      </c>
      <c r="U29" s="97" t="s">
        <v>593</v>
      </c>
      <c r="V29" s="13"/>
      <c r="W29" s="90">
        <v>14000</v>
      </c>
      <c r="X29" s="7" t="s">
        <v>675</v>
      </c>
      <c r="Y29" s="13"/>
      <c r="Z29" s="7"/>
      <c r="AA29" s="7"/>
      <c r="AB29" s="7" t="str">
        <f t="shared" si="3"/>
        <v>Акт № Д-28-2025</v>
      </c>
      <c r="AC29" s="53" t="s">
        <v>811</v>
      </c>
      <c r="AD29" s="183" t="s">
        <v>849</v>
      </c>
      <c r="AE29" s="206" t="s">
        <v>891</v>
      </c>
      <c r="AF29" s="198"/>
    </row>
    <row r="30" spans="1:32" s="1" customFormat="1" ht="53" customHeight="1" x14ac:dyDescent="0.35">
      <c r="A30" s="53">
        <f t="shared" si="1"/>
        <v>25</v>
      </c>
      <c r="B30" s="164" t="s">
        <v>588</v>
      </c>
      <c r="C30" s="164" t="s">
        <v>588</v>
      </c>
      <c r="D30" s="47" t="s">
        <v>134</v>
      </c>
      <c r="E30" s="47" t="s">
        <v>135</v>
      </c>
      <c r="F30" s="47">
        <v>53224</v>
      </c>
      <c r="G30" s="19"/>
      <c r="H30" s="21"/>
      <c r="I30" s="21" t="s">
        <v>136</v>
      </c>
      <c r="J30" s="21">
        <v>1</v>
      </c>
      <c r="K30" s="39"/>
      <c r="L30" s="39"/>
      <c r="M30" s="35">
        <v>45398</v>
      </c>
      <c r="N30" s="13"/>
      <c r="O30" s="7" t="s">
        <v>532</v>
      </c>
      <c r="P30" s="13"/>
      <c r="Q30" s="9">
        <v>45860</v>
      </c>
      <c r="R30" s="13"/>
      <c r="S30" s="9" t="s">
        <v>558</v>
      </c>
      <c r="T30" s="11">
        <f t="shared" ca="1" si="0"/>
        <v>714</v>
      </c>
      <c r="U30" s="97" t="s">
        <v>593</v>
      </c>
      <c r="V30" s="13"/>
      <c r="W30" s="90">
        <v>44786</v>
      </c>
      <c r="X30" s="7" t="s">
        <v>676</v>
      </c>
      <c r="Y30" s="13"/>
      <c r="Z30" s="7"/>
      <c r="AA30" s="7"/>
      <c r="AB30" s="7" t="str">
        <f t="shared" si="3"/>
        <v>Акт № Д-17-2025</v>
      </c>
      <c r="AC30" s="53" t="s">
        <v>811</v>
      </c>
      <c r="AD30" s="7" t="s">
        <v>825</v>
      </c>
      <c r="AE30" s="193" t="s">
        <v>825</v>
      </c>
      <c r="AF30" s="198"/>
    </row>
    <row r="31" spans="1:32" s="1" customFormat="1" ht="52" customHeight="1" x14ac:dyDescent="0.35">
      <c r="A31" s="53">
        <f t="shared" si="1"/>
        <v>26</v>
      </c>
      <c r="B31" s="164" t="s">
        <v>588</v>
      </c>
      <c r="C31" s="164" t="s">
        <v>588</v>
      </c>
      <c r="D31" s="47" t="s">
        <v>134</v>
      </c>
      <c r="E31" s="47" t="s">
        <v>135</v>
      </c>
      <c r="F31" s="47">
        <v>54976</v>
      </c>
      <c r="G31" s="19"/>
      <c r="H31" s="21"/>
      <c r="I31" s="21" t="s">
        <v>137</v>
      </c>
      <c r="J31" s="21">
        <v>1</v>
      </c>
      <c r="K31" s="39"/>
      <c r="L31" s="39"/>
      <c r="M31" s="35">
        <v>45398</v>
      </c>
      <c r="N31" s="13"/>
      <c r="O31" s="7" t="s">
        <v>532</v>
      </c>
      <c r="P31" s="13"/>
      <c r="Q31" s="9">
        <v>45860</v>
      </c>
      <c r="R31" s="13"/>
      <c r="S31" s="9" t="s">
        <v>558</v>
      </c>
      <c r="T31" s="11">
        <f t="shared" ca="1" si="0"/>
        <v>714</v>
      </c>
      <c r="U31" s="97" t="s">
        <v>593</v>
      </c>
      <c r="V31" s="13"/>
      <c r="W31" s="90">
        <v>44786</v>
      </c>
      <c r="X31" s="7" t="s">
        <v>677</v>
      </c>
      <c r="Y31" s="13"/>
      <c r="Z31" s="7"/>
      <c r="AA31" s="7"/>
      <c r="AB31" s="7" t="str">
        <f t="shared" si="3"/>
        <v>Акт № Д-18-2025</v>
      </c>
      <c r="AC31" s="53" t="s">
        <v>811</v>
      </c>
      <c r="AD31" s="183" t="s">
        <v>825</v>
      </c>
      <c r="AE31" s="193" t="s">
        <v>825</v>
      </c>
      <c r="AF31" s="198"/>
    </row>
    <row r="32" spans="1:32" s="1" customFormat="1" ht="50.5" customHeight="1" x14ac:dyDescent="0.35">
      <c r="A32" s="53">
        <f t="shared" si="1"/>
        <v>27</v>
      </c>
      <c r="B32" s="164" t="s">
        <v>588</v>
      </c>
      <c r="C32" s="164" t="s">
        <v>588</v>
      </c>
      <c r="D32" s="181" t="s">
        <v>134</v>
      </c>
      <c r="E32" s="47" t="s">
        <v>135</v>
      </c>
      <c r="F32" s="47">
        <v>54259</v>
      </c>
      <c r="G32" s="19"/>
      <c r="H32" s="21"/>
      <c r="I32" s="22" t="s">
        <v>143</v>
      </c>
      <c r="J32" s="21">
        <v>1</v>
      </c>
      <c r="K32" s="39"/>
      <c r="L32" s="39"/>
      <c r="M32" s="35">
        <v>45398</v>
      </c>
      <c r="N32" s="13"/>
      <c r="O32" s="7" t="s">
        <v>532</v>
      </c>
      <c r="P32" s="13"/>
      <c r="Q32" s="9">
        <v>45860</v>
      </c>
      <c r="R32" s="13"/>
      <c r="S32" s="9" t="s">
        <v>558</v>
      </c>
      <c r="T32" s="11">
        <f t="shared" ca="1" si="0"/>
        <v>714</v>
      </c>
      <c r="U32" s="97" t="s">
        <v>593</v>
      </c>
      <c r="V32" s="13"/>
      <c r="W32" s="90">
        <v>45000</v>
      </c>
      <c r="X32" s="7" t="s">
        <v>678</v>
      </c>
      <c r="Y32" s="13"/>
      <c r="Z32" s="7"/>
      <c r="AA32" s="7"/>
      <c r="AB32" s="7" t="str">
        <f t="shared" si="3"/>
        <v>Акт № Д-19-2025</v>
      </c>
      <c r="AC32" s="53" t="s">
        <v>811</v>
      </c>
      <c r="AD32" s="183" t="s">
        <v>825</v>
      </c>
      <c r="AE32" s="193" t="s">
        <v>825</v>
      </c>
      <c r="AF32" s="198"/>
    </row>
    <row r="33" spans="1:32" s="1" customFormat="1" ht="46.5" customHeight="1" x14ac:dyDescent="0.35">
      <c r="A33" s="53">
        <f t="shared" si="1"/>
        <v>28</v>
      </c>
      <c r="B33" s="164" t="s">
        <v>588</v>
      </c>
      <c r="C33" s="164" t="s">
        <v>588</v>
      </c>
      <c r="D33" s="181" t="s">
        <v>134</v>
      </c>
      <c r="E33" s="47" t="s">
        <v>135</v>
      </c>
      <c r="F33" s="47">
        <v>54322</v>
      </c>
      <c r="G33" s="19"/>
      <c r="H33" s="21"/>
      <c r="I33" s="22" t="s">
        <v>144</v>
      </c>
      <c r="J33" s="21">
        <v>1</v>
      </c>
      <c r="K33" s="39"/>
      <c r="L33" s="39"/>
      <c r="M33" s="35">
        <v>45398</v>
      </c>
      <c r="N33" s="13"/>
      <c r="O33" s="7" t="s">
        <v>532</v>
      </c>
      <c r="P33" s="13"/>
      <c r="Q33" s="9">
        <v>45860</v>
      </c>
      <c r="R33" s="13"/>
      <c r="S33" s="9" t="s">
        <v>558</v>
      </c>
      <c r="T33" s="11">
        <f t="shared" ca="1" si="0"/>
        <v>714</v>
      </c>
      <c r="U33" s="97" t="s">
        <v>593</v>
      </c>
      <c r="V33" s="13"/>
      <c r="W33" s="90">
        <v>45000</v>
      </c>
      <c r="X33" s="7" t="s">
        <v>679</v>
      </c>
      <c r="Y33" s="13"/>
      <c r="Z33" s="7"/>
      <c r="AA33" s="7"/>
      <c r="AB33" s="7" t="str">
        <f t="shared" si="3"/>
        <v>Акт № Д-20-2025</v>
      </c>
      <c r="AC33" s="53" t="s">
        <v>811</v>
      </c>
      <c r="AD33" s="183" t="s">
        <v>825</v>
      </c>
      <c r="AE33" s="193" t="s">
        <v>825</v>
      </c>
      <c r="AF33" s="198"/>
    </row>
    <row r="34" spans="1:32" s="1" customFormat="1" ht="60" customHeight="1" x14ac:dyDescent="0.35">
      <c r="A34" s="53">
        <f t="shared" si="1"/>
        <v>29</v>
      </c>
      <c r="B34" s="164" t="s">
        <v>588</v>
      </c>
      <c r="C34" s="164" t="s">
        <v>588</v>
      </c>
      <c r="D34" s="181" t="s">
        <v>134</v>
      </c>
      <c r="E34" s="47" t="s">
        <v>135</v>
      </c>
      <c r="F34" s="47">
        <v>55100</v>
      </c>
      <c r="G34" s="19"/>
      <c r="H34" s="21"/>
      <c r="I34" s="22" t="s">
        <v>145</v>
      </c>
      <c r="J34" s="21">
        <v>1</v>
      </c>
      <c r="K34" s="39"/>
      <c r="L34" s="39"/>
      <c r="M34" s="35">
        <v>45398</v>
      </c>
      <c r="N34" s="13"/>
      <c r="O34" s="7" t="s">
        <v>532</v>
      </c>
      <c r="P34" s="13"/>
      <c r="Q34" s="9">
        <v>45860</v>
      </c>
      <c r="R34" s="13"/>
      <c r="S34" s="9" t="s">
        <v>558</v>
      </c>
      <c r="T34" s="11">
        <f t="shared" ca="1" si="0"/>
        <v>714</v>
      </c>
      <c r="U34" s="97" t="s">
        <v>593</v>
      </c>
      <c r="V34" s="13"/>
      <c r="W34" s="90">
        <v>45000</v>
      </c>
      <c r="X34" s="7" t="s">
        <v>680</v>
      </c>
      <c r="Y34" s="13"/>
      <c r="Z34" s="7"/>
      <c r="AA34" s="7"/>
      <c r="AB34" s="7" t="str">
        <f t="shared" si="3"/>
        <v>Акт № Д-21-2025</v>
      </c>
      <c r="AC34" s="53" t="s">
        <v>811</v>
      </c>
      <c r="AD34" s="183" t="s">
        <v>825</v>
      </c>
      <c r="AE34" s="193" t="s">
        <v>825</v>
      </c>
      <c r="AF34" s="198"/>
    </row>
    <row r="35" spans="1:32" s="1" customFormat="1" ht="52" customHeight="1" x14ac:dyDescent="0.35">
      <c r="A35" s="53">
        <f t="shared" si="1"/>
        <v>30</v>
      </c>
      <c r="B35" s="164" t="s">
        <v>588</v>
      </c>
      <c r="C35" s="164" t="s">
        <v>588</v>
      </c>
      <c r="D35" s="181" t="s">
        <v>134</v>
      </c>
      <c r="E35" s="47" t="s">
        <v>135</v>
      </c>
      <c r="F35" s="47">
        <v>59030</v>
      </c>
      <c r="G35" s="19"/>
      <c r="H35" s="21"/>
      <c r="I35" s="22" t="s">
        <v>145</v>
      </c>
      <c r="J35" s="21">
        <v>1</v>
      </c>
      <c r="K35" s="39"/>
      <c r="L35" s="39"/>
      <c r="M35" s="35">
        <v>45398</v>
      </c>
      <c r="N35" s="13"/>
      <c r="O35" s="7" t="s">
        <v>532</v>
      </c>
      <c r="P35" s="13"/>
      <c r="Q35" s="9">
        <v>45860</v>
      </c>
      <c r="R35" s="13"/>
      <c r="S35" s="9" t="s">
        <v>558</v>
      </c>
      <c r="T35" s="11">
        <f t="shared" ca="1" si="0"/>
        <v>714</v>
      </c>
      <c r="U35" s="97" t="s">
        <v>593</v>
      </c>
      <c r="V35" s="13"/>
      <c r="W35" s="90">
        <v>45000</v>
      </c>
      <c r="X35" s="7" t="s">
        <v>681</v>
      </c>
      <c r="Y35" s="13"/>
      <c r="Z35" s="7"/>
      <c r="AA35" s="7"/>
      <c r="AB35" s="7" t="str">
        <f t="shared" si="3"/>
        <v>Акт № Д-22-2025</v>
      </c>
      <c r="AC35" s="53" t="s">
        <v>811</v>
      </c>
      <c r="AD35" s="183" t="s">
        <v>825</v>
      </c>
      <c r="AE35" s="193" t="s">
        <v>825</v>
      </c>
      <c r="AF35" s="198"/>
    </row>
    <row r="36" spans="1:32" s="1" customFormat="1" ht="65.5" customHeight="1" x14ac:dyDescent="0.35">
      <c r="A36" s="53">
        <f t="shared" si="1"/>
        <v>31</v>
      </c>
      <c r="B36" s="164" t="s">
        <v>588</v>
      </c>
      <c r="C36" s="164" t="s">
        <v>588</v>
      </c>
      <c r="D36" s="171" t="s">
        <v>134</v>
      </c>
      <c r="E36" s="47" t="s">
        <v>180</v>
      </c>
      <c r="F36" s="172" t="s">
        <v>181</v>
      </c>
      <c r="G36" s="29"/>
      <c r="H36" s="32"/>
      <c r="I36" s="32"/>
      <c r="J36" s="82"/>
      <c r="K36" s="39"/>
      <c r="L36" s="39"/>
      <c r="M36" s="35">
        <v>45442</v>
      </c>
      <c r="N36" s="13"/>
      <c r="O36" s="7" t="s">
        <v>532</v>
      </c>
      <c r="P36" s="13"/>
      <c r="Q36" s="9">
        <v>45860</v>
      </c>
      <c r="R36" s="13"/>
      <c r="S36" s="9" t="s">
        <v>558</v>
      </c>
      <c r="T36" s="11">
        <f t="shared" ca="1" si="0"/>
        <v>670</v>
      </c>
      <c r="U36" s="97" t="s">
        <v>593</v>
      </c>
      <c r="V36" s="13"/>
      <c r="W36" s="90">
        <v>45000</v>
      </c>
      <c r="X36" s="7" t="s">
        <v>682</v>
      </c>
      <c r="Y36" s="13"/>
      <c r="Z36" s="7"/>
      <c r="AA36" s="7"/>
      <c r="AB36" s="7" t="str">
        <f t="shared" si="3"/>
        <v>Акт № Д-23-2025</v>
      </c>
      <c r="AC36" s="53" t="s">
        <v>811</v>
      </c>
      <c r="AD36" s="183" t="s">
        <v>825</v>
      </c>
      <c r="AE36" s="193" t="s">
        <v>825</v>
      </c>
      <c r="AF36" s="198"/>
    </row>
    <row r="37" spans="1:32" s="1" customFormat="1" ht="49.5" customHeight="1" x14ac:dyDescent="0.35">
      <c r="A37" s="53">
        <f t="shared" si="1"/>
        <v>32</v>
      </c>
      <c r="B37" s="164" t="s">
        <v>588</v>
      </c>
      <c r="C37" s="164" t="s">
        <v>588</v>
      </c>
      <c r="D37" s="171" t="s">
        <v>134</v>
      </c>
      <c r="E37" s="47" t="s">
        <v>180</v>
      </c>
      <c r="F37" s="172" t="s">
        <v>182</v>
      </c>
      <c r="G37" s="29"/>
      <c r="H37" s="32"/>
      <c r="I37" s="32"/>
      <c r="J37" s="82"/>
      <c r="K37" s="39"/>
      <c r="L37" s="39"/>
      <c r="M37" s="35">
        <v>45442</v>
      </c>
      <c r="N37" s="13"/>
      <c r="O37" s="7" t="s">
        <v>532</v>
      </c>
      <c r="P37" s="13"/>
      <c r="Q37" s="9">
        <v>45860</v>
      </c>
      <c r="R37" s="13"/>
      <c r="S37" s="9" t="s">
        <v>558</v>
      </c>
      <c r="T37" s="11">
        <f t="shared" ca="1" si="0"/>
        <v>670</v>
      </c>
      <c r="U37" s="97" t="s">
        <v>593</v>
      </c>
      <c r="V37" s="13"/>
      <c r="W37" s="90">
        <v>45000</v>
      </c>
      <c r="X37" s="7" t="s">
        <v>683</v>
      </c>
      <c r="Y37" s="13"/>
      <c r="Z37" s="7"/>
      <c r="AA37" s="7"/>
      <c r="AB37" s="7" t="str">
        <f t="shared" si="3"/>
        <v>Акт № Д-24-2025</v>
      </c>
      <c r="AC37" s="53" t="s">
        <v>811</v>
      </c>
      <c r="AD37" s="183" t="s">
        <v>825</v>
      </c>
      <c r="AE37" s="193" t="s">
        <v>825</v>
      </c>
      <c r="AF37" s="198"/>
    </row>
    <row r="38" spans="1:32" s="1" customFormat="1" ht="53" customHeight="1" x14ac:dyDescent="0.35">
      <c r="A38" s="53">
        <f t="shared" si="1"/>
        <v>33</v>
      </c>
      <c r="B38" s="164" t="s">
        <v>588</v>
      </c>
      <c r="C38" s="164" t="s">
        <v>588</v>
      </c>
      <c r="D38" s="171" t="s">
        <v>134</v>
      </c>
      <c r="E38" s="47" t="s">
        <v>180</v>
      </c>
      <c r="F38" s="172" t="s">
        <v>183</v>
      </c>
      <c r="G38" s="29"/>
      <c r="H38" s="32"/>
      <c r="I38" s="32"/>
      <c r="J38" s="82"/>
      <c r="K38" s="39"/>
      <c r="L38" s="39"/>
      <c r="M38" s="35">
        <v>45442</v>
      </c>
      <c r="N38" s="13"/>
      <c r="O38" s="7" t="s">
        <v>532</v>
      </c>
      <c r="P38" s="13"/>
      <c r="Q38" s="9">
        <v>45860</v>
      </c>
      <c r="R38" s="13"/>
      <c r="S38" s="9" t="s">
        <v>558</v>
      </c>
      <c r="T38" s="11">
        <f t="shared" ca="1" si="0"/>
        <v>670</v>
      </c>
      <c r="U38" s="97" t="s">
        <v>593</v>
      </c>
      <c r="V38" s="13"/>
      <c r="W38" s="90">
        <v>45000</v>
      </c>
      <c r="X38" s="7" t="s">
        <v>684</v>
      </c>
      <c r="Y38" s="13"/>
      <c r="Z38" s="7"/>
      <c r="AA38" s="7"/>
      <c r="AB38" s="7" t="str">
        <f t="shared" si="3"/>
        <v>Акт № Д-25-2025</v>
      </c>
      <c r="AC38" s="53" t="s">
        <v>811</v>
      </c>
      <c r="AD38" s="183" t="s">
        <v>825</v>
      </c>
      <c r="AE38" s="193" t="s">
        <v>825</v>
      </c>
      <c r="AF38" s="198"/>
    </row>
    <row r="39" spans="1:32" s="1" customFormat="1" ht="58" x14ac:dyDescent="0.35">
      <c r="A39" s="29">
        <f t="shared" si="1"/>
        <v>34</v>
      </c>
      <c r="B39" s="7" t="s">
        <v>33</v>
      </c>
      <c r="C39" s="7" t="s">
        <v>33</v>
      </c>
      <c r="D39" s="7" t="s">
        <v>51</v>
      </c>
      <c r="E39" s="7" t="s">
        <v>52</v>
      </c>
      <c r="F39" s="8" t="s">
        <v>53</v>
      </c>
      <c r="G39" s="7"/>
      <c r="H39" s="7" t="s">
        <v>32</v>
      </c>
      <c r="I39" s="7" t="s">
        <v>97</v>
      </c>
      <c r="J39" s="9" t="s">
        <v>64</v>
      </c>
      <c r="K39" s="9">
        <v>45429</v>
      </c>
      <c r="L39" s="9">
        <v>45433</v>
      </c>
      <c r="M39" s="36">
        <v>45442</v>
      </c>
      <c r="N39" s="7" t="s">
        <v>100</v>
      </c>
      <c r="O39" s="7" t="s">
        <v>532</v>
      </c>
      <c r="P39" s="7"/>
      <c r="Q39" s="9">
        <v>45860</v>
      </c>
      <c r="R39" s="7"/>
      <c r="S39" s="9" t="s">
        <v>558</v>
      </c>
      <c r="T39" s="11">
        <f t="shared" ca="1" si="0"/>
        <v>670</v>
      </c>
      <c r="U39" s="139" t="s">
        <v>582</v>
      </c>
      <c r="V39" s="7"/>
      <c r="W39" s="90">
        <v>54400</v>
      </c>
      <c r="X39" s="44" t="s">
        <v>685</v>
      </c>
      <c r="Y39" s="70" t="s">
        <v>686</v>
      </c>
      <c r="Z39" s="7"/>
      <c r="AA39" s="7" t="s">
        <v>759</v>
      </c>
      <c r="AB39" s="53" t="s">
        <v>759</v>
      </c>
      <c r="AC39" s="7" t="s">
        <v>779</v>
      </c>
      <c r="AD39" s="137" t="s">
        <v>891</v>
      </c>
      <c r="AE39" s="137" t="s">
        <v>891</v>
      </c>
      <c r="AF39" s="198"/>
    </row>
    <row r="40" spans="1:32" s="1" customFormat="1" ht="58" x14ac:dyDescent="0.35">
      <c r="A40" s="29">
        <f t="shared" si="1"/>
        <v>35</v>
      </c>
      <c r="B40" s="7" t="s">
        <v>33</v>
      </c>
      <c r="C40" s="7" t="s">
        <v>33</v>
      </c>
      <c r="D40" s="7" t="s">
        <v>56</v>
      </c>
      <c r="E40" s="7" t="s">
        <v>57</v>
      </c>
      <c r="F40" s="8" t="s">
        <v>58</v>
      </c>
      <c r="G40" s="7"/>
      <c r="H40" s="7" t="s">
        <v>32</v>
      </c>
      <c r="I40" s="7" t="s">
        <v>97</v>
      </c>
      <c r="J40" s="9" t="s">
        <v>64</v>
      </c>
      <c r="K40" s="9">
        <v>45429</v>
      </c>
      <c r="L40" s="9">
        <v>45433</v>
      </c>
      <c r="M40" s="36">
        <v>45442</v>
      </c>
      <c r="N40" s="7" t="s">
        <v>100</v>
      </c>
      <c r="O40" s="7" t="s">
        <v>532</v>
      </c>
      <c r="P40" s="7"/>
      <c r="Q40" s="9">
        <v>45860</v>
      </c>
      <c r="R40" s="7"/>
      <c r="S40" s="9" t="s">
        <v>558</v>
      </c>
      <c r="T40" s="11">
        <f t="shared" ca="1" si="0"/>
        <v>670</v>
      </c>
      <c r="U40" s="139" t="s">
        <v>583</v>
      </c>
      <c r="V40" s="7"/>
      <c r="W40" s="90">
        <v>70900</v>
      </c>
      <c r="X40" s="44" t="s">
        <v>685</v>
      </c>
      <c r="Y40" s="70" t="s">
        <v>686</v>
      </c>
      <c r="Z40" s="7"/>
      <c r="AA40" s="7" t="s">
        <v>759</v>
      </c>
      <c r="AB40" s="53" t="s">
        <v>759</v>
      </c>
      <c r="AC40" s="7" t="s">
        <v>784</v>
      </c>
      <c r="AD40" s="137" t="s">
        <v>891</v>
      </c>
      <c r="AE40" s="137" t="s">
        <v>891</v>
      </c>
      <c r="AF40" s="198"/>
    </row>
    <row r="41" spans="1:32" s="1" customFormat="1" ht="58" hidden="1" x14ac:dyDescent="0.35">
      <c r="A41" s="29">
        <f t="shared" si="1"/>
        <v>36</v>
      </c>
      <c r="B41" s="7" t="s">
        <v>33</v>
      </c>
      <c r="C41" s="7" t="s">
        <v>33</v>
      </c>
      <c r="D41" s="7" t="s">
        <v>76</v>
      </c>
      <c r="E41" s="7" t="s">
        <v>77</v>
      </c>
      <c r="F41" s="8" t="s">
        <v>734</v>
      </c>
      <c r="G41" s="7" t="s">
        <v>79</v>
      </c>
      <c r="H41" s="7" t="s">
        <v>32</v>
      </c>
      <c r="I41" s="7" t="s">
        <v>97</v>
      </c>
      <c r="J41" s="9">
        <v>45525</v>
      </c>
      <c r="K41" s="9">
        <v>45529</v>
      </c>
      <c r="L41" s="9">
        <v>45532</v>
      </c>
      <c r="M41" s="36">
        <v>45579</v>
      </c>
      <c r="N41" s="7" t="s">
        <v>100</v>
      </c>
      <c r="O41" s="7" t="s">
        <v>532</v>
      </c>
      <c r="P41" s="7"/>
      <c r="Q41" s="9">
        <v>45860</v>
      </c>
      <c r="R41" s="7"/>
      <c r="S41" s="9" t="s">
        <v>558</v>
      </c>
      <c r="T41" s="11">
        <f t="shared" ca="1" si="0"/>
        <v>533</v>
      </c>
      <c r="U41" s="140" t="s">
        <v>687</v>
      </c>
      <c r="V41" s="7"/>
      <c r="W41" s="90">
        <v>387000</v>
      </c>
      <c r="X41" s="44" t="s">
        <v>685</v>
      </c>
      <c r="Y41" s="7" t="s">
        <v>731</v>
      </c>
      <c r="Z41" s="7"/>
      <c r="AA41" s="7" t="s">
        <v>759</v>
      </c>
      <c r="AB41" s="53" t="s">
        <v>759</v>
      </c>
      <c r="AC41" s="7"/>
      <c r="AD41" s="183" t="s">
        <v>827</v>
      </c>
      <c r="AE41" s="193" t="s">
        <v>827</v>
      </c>
      <c r="AF41" s="198"/>
    </row>
    <row r="42" spans="1:32" s="1" customFormat="1" ht="58" hidden="1" x14ac:dyDescent="0.35">
      <c r="A42" s="29">
        <f>A41+1</f>
        <v>37</v>
      </c>
      <c r="B42" s="7" t="s">
        <v>33</v>
      </c>
      <c r="C42" s="7" t="s">
        <v>33</v>
      </c>
      <c r="D42" s="7" t="s">
        <v>76</v>
      </c>
      <c r="E42" s="7" t="s">
        <v>77</v>
      </c>
      <c r="F42" s="8" t="s">
        <v>735</v>
      </c>
      <c r="G42" s="7" t="s">
        <v>79</v>
      </c>
      <c r="H42" s="7" t="s">
        <v>32</v>
      </c>
      <c r="I42" s="7" t="s">
        <v>97</v>
      </c>
      <c r="J42" s="9">
        <v>45525</v>
      </c>
      <c r="K42" s="9">
        <v>45529</v>
      </c>
      <c r="L42" s="9">
        <v>45532</v>
      </c>
      <c r="M42" s="36">
        <v>45579</v>
      </c>
      <c r="N42" s="7" t="s">
        <v>100</v>
      </c>
      <c r="O42" s="7" t="s">
        <v>532</v>
      </c>
      <c r="P42" s="7"/>
      <c r="Q42" s="9">
        <v>45860</v>
      </c>
      <c r="R42" s="7"/>
      <c r="S42" s="9" t="s">
        <v>558</v>
      </c>
      <c r="T42" s="11">
        <f t="shared" ca="1" si="0"/>
        <v>533</v>
      </c>
      <c r="U42" s="140" t="s">
        <v>687</v>
      </c>
      <c r="V42" s="7"/>
      <c r="W42" s="90">
        <v>387000</v>
      </c>
      <c r="X42" s="44" t="s">
        <v>685</v>
      </c>
      <c r="Y42" s="7" t="s">
        <v>732</v>
      </c>
      <c r="Z42" s="7"/>
      <c r="AA42" s="7" t="s">
        <v>759</v>
      </c>
      <c r="AB42" s="53" t="s">
        <v>759</v>
      </c>
      <c r="AC42" s="7"/>
      <c r="AD42" s="183" t="s">
        <v>827</v>
      </c>
      <c r="AE42" s="193" t="s">
        <v>827</v>
      </c>
      <c r="AF42" s="198"/>
    </row>
    <row r="43" spans="1:32" s="1" customFormat="1" ht="58" hidden="1" x14ac:dyDescent="0.35">
      <c r="A43" s="29">
        <f>A42+1</f>
        <v>38</v>
      </c>
      <c r="B43" s="7" t="s">
        <v>33</v>
      </c>
      <c r="C43" s="7" t="s">
        <v>33</v>
      </c>
      <c r="D43" s="7" t="s">
        <v>76</v>
      </c>
      <c r="E43" s="7" t="s">
        <v>77</v>
      </c>
      <c r="F43" s="8" t="s">
        <v>84</v>
      </c>
      <c r="G43" s="7" t="s">
        <v>79</v>
      </c>
      <c r="H43" s="7" t="s">
        <v>32</v>
      </c>
      <c r="I43" s="7" t="s">
        <v>97</v>
      </c>
      <c r="J43" s="9">
        <v>45525</v>
      </c>
      <c r="K43" s="9">
        <v>45571</v>
      </c>
      <c r="L43" s="9">
        <v>45571</v>
      </c>
      <c r="M43" s="36">
        <v>45579</v>
      </c>
      <c r="N43" s="7" t="s">
        <v>100</v>
      </c>
      <c r="O43" s="7" t="s">
        <v>532</v>
      </c>
      <c r="P43" s="7"/>
      <c r="Q43" s="9">
        <v>45860</v>
      </c>
      <c r="R43" s="7"/>
      <c r="S43" s="9" t="s">
        <v>558</v>
      </c>
      <c r="T43" s="11">
        <f t="shared" ca="1" si="0"/>
        <v>533</v>
      </c>
      <c r="U43" s="140" t="s">
        <v>687</v>
      </c>
      <c r="V43" s="7"/>
      <c r="W43" s="90">
        <v>387000</v>
      </c>
      <c r="X43" s="44" t="s">
        <v>685</v>
      </c>
      <c r="Y43" s="7" t="s">
        <v>733</v>
      </c>
      <c r="Z43" s="7"/>
      <c r="AA43" s="7" t="s">
        <v>759</v>
      </c>
      <c r="AB43" s="53" t="s">
        <v>759</v>
      </c>
      <c r="AC43" s="7"/>
      <c r="AD43" s="183" t="s">
        <v>827</v>
      </c>
      <c r="AE43" s="193" t="s">
        <v>827</v>
      </c>
      <c r="AF43" s="198"/>
    </row>
    <row r="44" spans="1:32" s="1" customFormat="1" ht="43.5" hidden="1" x14ac:dyDescent="0.35">
      <c r="A44" s="29">
        <f t="shared" si="1"/>
        <v>39</v>
      </c>
      <c r="B44" s="39" t="s">
        <v>588</v>
      </c>
      <c r="C44" s="39" t="s">
        <v>588</v>
      </c>
      <c r="D44" s="25" t="s">
        <v>212</v>
      </c>
      <c r="E44" s="40"/>
      <c r="F44" s="40" t="s">
        <v>213</v>
      </c>
      <c r="G44" s="25" t="s">
        <v>188</v>
      </c>
      <c r="H44" s="25" t="s">
        <v>188</v>
      </c>
      <c r="I44" s="25"/>
      <c r="J44" s="25">
        <v>1</v>
      </c>
      <c r="K44" s="39"/>
      <c r="L44" s="39"/>
      <c r="M44" s="37">
        <v>45448</v>
      </c>
      <c r="N44" s="13"/>
      <c r="O44" s="7" t="s">
        <v>532</v>
      </c>
      <c r="P44" s="13"/>
      <c r="Q44" s="9">
        <v>45860</v>
      </c>
      <c r="R44" s="13"/>
      <c r="S44" s="9" t="s">
        <v>558</v>
      </c>
      <c r="T44" s="11">
        <f t="shared" ca="1" si="0"/>
        <v>664</v>
      </c>
      <c r="U44" s="97" t="s">
        <v>593</v>
      </c>
      <c r="V44" s="13"/>
      <c r="W44" s="91">
        <v>390000</v>
      </c>
      <c r="X44" s="7" t="s">
        <v>688</v>
      </c>
      <c r="Y44" s="13"/>
      <c r="Z44" s="7"/>
      <c r="AA44" s="7" t="s">
        <v>759</v>
      </c>
      <c r="AB44" s="53" t="s">
        <v>759</v>
      </c>
      <c r="AC44" s="7"/>
      <c r="AD44" s="183" t="s">
        <v>827</v>
      </c>
      <c r="AE44" s="193" t="s">
        <v>827</v>
      </c>
      <c r="AF44" s="198"/>
    </row>
    <row r="45" spans="1:32" s="1" customFormat="1" ht="58" hidden="1" x14ac:dyDescent="0.35">
      <c r="A45" s="29">
        <f t="shared" si="1"/>
        <v>40</v>
      </c>
      <c r="B45" s="7" t="s">
        <v>33</v>
      </c>
      <c r="C45" s="7" t="s">
        <v>33</v>
      </c>
      <c r="D45" s="7" t="s">
        <v>85</v>
      </c>
      <c r="E45" s="7" t="s">
        <v>87</v>
      </c>
      <c r="F45" s="8">
        <v>7177</v>
      </c>
      <c r="G45" s="7" t="s">
        <v>89</v>
      </c>
      <c r="H45" s="7" t="s">
        <v>32</v>
      </c>
      <c r="I45" s="7" t="s">
        <v>97</v>
      </c>
      <c r="J45" s="9">
        <v>45486</v>
      </c>
      <c r="K45" s="9">
        <v>45652</v>
      </c>
      <c r="L45" s="9">
        <v>45652</v>
      </c>
      <c r="M45" s="36">
        <v>45652</v>
      </c>
      <c r="N45" s="7" t="s">
        <v>100</v>
      </c>
      <c r="O45" s="7" t="s">
        <v>106</v>
      </c>
      <c r="P45" s="7"/>
      <c r="Q45" s="9">
        <v>45860</v>
      </c>
      <c r="R45" s="7"/>
      <c r="S45" s="9" t="s">
        <v>557</v>
      </c>
      <c r="T45" s="11">
        <f t="shared" ca="1" si="0"/>
        <v>460</v>
      </c>
      <c r="U45" s="105" t="s">
        <v>592</v>
      </c>
      <c r="V45" s="7"/>
      <c r="W45" s="90">
        <v>52080</v>
      </c>
      <c r="X45" s="7" t="s">
        <v>667</v>
      </c>
      <c r="Y45" s="13"/>
      <c r="Z45" s="7"/>
      <c r="AA45" s="7" t="s">
        <v>759</v>
      </c>
      <c r="AB45" s="53" t="s">
        <v>759</v>
      </c>
      <c r="AC45" s="7"/>
      <c r="AD45" s="183" t="s">
        <v>827</v>
      </c>
      <c r="AE45" s="193" t="s">
        <v>827</v>
      </c>
      <c r="AF45" s="198"/>
    </row>
    <row r="46" spans="1:32" s="1" customFormat="1" ht="99.75" hidden="1" customHeight="1" x14ac:dyDescent="0.35">
      <c r="A46" s="29">
        <f t="shared" si="1"/>
        <v>41</v>
      </c>
      <c r="B46" s="7" t="s">
        <v>33</v>
      </c>
      <c r="C46" s="7" t="s">
        <v>33</v>
      </c>
      <c r="D46" s="7" t="s">
        <v>25</v>
      </c>
      <c r="E46" s="7" t="s">
        <v>54</v>
      </c>
      <c r="F46" s="8" t="s">
        <v>55</v>
      </c>
      <c r="G46" s="7"/>
      <c r="H46" s="7" t="s">
        <v>32</v>
      </c>
      <c r="I46" s="7" t="s">
        <v>97</v>
      </c>
      <c r="J46" s="9" t="s">
        <v>64</v>
      </c>
      <c r="K46" s="9">
        <v>45429</v>
      </c>
      <c r="L46" s="9">
        <v>45433</v>
      </c>
      <c r="M46" s="36">
        <v>45442</v>
      </c>
      <c r="N46" s="7" t="s">
        <v>100</v>
      </c>
      <c r="O46" s="7" t="s">
        <v>105</v>
      </c>
      <c r="P46" s="7"/>
      <c r="Q46" s="9">
        <v>45860</v>
      </c>
      <c r="R46" s="7"/>
      <c r="S46" s="9" t="s">
        <v>557</v>
      </c>
      <c r="T46" s="11">
        <f t="shared" ca="1" si="0"/>
        <v>670</v>
      </c>
      <c r="U46" s="105" t="s">
        <v>592</v>
      </c>
      <c r="V46" s="7"/>
      <c r="W46" s="99" t="s">
        <v>579</v>
      </c>
      <c r="X46" s="44" t="s">
        <v>689</v>
      </c>
      <c r="Y46" s="7" t="s">
        <v>725</v>
      </c>
      <c r="Z46" s="7"/>
      <c r="AA46" s="7" t="s">
        <v>759</v>
      </c>
      <c r="AB46" s="53" t="s">
        <v>759</v>
      </c>
      <c r="AC46" s="7"/>
      <c r="AD46" s="183" t="s">
        <v>827</v>
      </c>
      <c r="AE46" s="193" t="s">
        <v>827</v>
      </c>
      <c r="AF46" s="198"/>
    </row>
    <row r="47" spans="1:32" s="232" customFormat="1" ht="58" x14ac:dyDescent="0.35">
      <c r="A47" s="32">
        <f t="shared" si="1"/>
        <v>42</v>
      </c>
      <c r="B47" s="70" t="s">
        <v>33</v>
      </c>
      <c r="C47" s="70" t="s">
        <v>33</v>
      </c>
      <c r="D47" s="70" t="s">
        <v>67</v>
      </c>
      <c r="E47" s="70" t="s">
        <v>68</v>
      </c>
      <c r="F47" s="233" t="s">
        <v>69</v>
      </c>
      <c r="G47" s="70" t="s">
        <v>70</v>
      </c>
      <c r="H47" s="70" t="s">
        <v>32</v>
      </c>
      <c r="I47" s="70" t="s">
        <v>97</v>
      </c>
      <c r="J47" s="69">
        <v>45517</v>
      </c>
      <c r="K47" s="69">
        <v>45516</v>
      </c>
      <c r="L47" s="69">
        <v>45516</v>
      </c>
      <c r="M47" s="69">
        <v>45562</v>
      </c>
      <c r="N47" s="70" t="s">
        <v>100</v>
      </c>
      <c r="O47" s="70" t="s">
        <v>532</v>
      </c>
      <c r="P47" s="70"/>
      <c r="Q47" s="69">
        <v>45860</v>
      </c>
      <c r="R47" s="70"/>
      <c r="S47" s="69" t="s">
        <v>558</v>
      </c>
      <c r="T47" s="230">
        <f t="shared" ca="1" si="0"/>
        <v>550</v>
      </c>
      <c r="U47" s="140" t="s">
        <v>582</v>
      </c>
      <c r="V47" s="70"/>
      <c r="W47" s="231">
        <v>465000</v>
      </c>
      <c r="X47" s="70" t="s">
        <v>685</v>
      </c>
      <c r="Y47" s="156" t="s">
        <v>686</v>
      </c>
      <c r="Z47" s="70"/>
      <c r="AA47" s="70" t="s">
        <v>759</v>
      </c>
      <c r="AB47" s="70" t="s">
        <v>759</v>
      </c>
      <c r="AC47" s="70" t="s">
        <v>780</v>
      </c>
      <c r="AD47" s="70" t="s">
        <v>849</v>
      </c>
      <c r="AE47" s="70" t="s">
        <v>849</v>
      </c>
      <c r="AF47" s="226" t="s">
        <v>932</v>
      </c>
    </row>
    <row r="48" spans="1:32" s="234" customFormat="1" ht="58" x14ac:dyDescent="0.35">
      <c r="A48" s="32">
        <f t="shared" si="1"/>
        <v>43</v>
      </c>
      <c r="B48" s="70" t="s">
        <v>33</v>
      </c>
      <c r="C48" s="70" t="s">
        <v>33</v>
      </c>
      <c r="D48" s="70" t="s">
        <v>67</v>
      </c>
      <c r="E48" s="70" t="s">
        <v>71</v>
      </c>
      <c r="F48" s="233" t="s">
        <v>72</v>
      </c>
      <c r="G48" s="70" t="s">
        <v>73</v>
      </c>
      <c r="H48" s="70" t="s">
        <v>32</v>
      </c>
      <c r="I48" s="70" t="s">
        <v>97</v>
      </c>
      <c r="J48" s="69">
        <v>45517</v>
      </c>
      <c r="K48" s="69">
        <v>45516</v>
      </c>
      <c r="L48" s="69">
        <v>45516</v>
      </c>
      <c r="M48" s="69">
        <v>45562</v>
      </c>
      <c r="N48" s="70" t="s">
        <v>100</v>
      </c>
      <c r="O48" s="70" t="s">
        <v>532</v>
      </c>
      <c r="P48" s="70"/>
      <c r="Q48" s="69">
        <v>45860</v>
      </c>
      <c r="R48" s="70"/>
      <c r="S48" s="69" t="s">
        <v>558</v>
      </c>
      <c r="T48" s="230">
        <f t="shared" ca="1" si="0"/>
        <v>550</v>
      </c>
      <c r="U48" s="140" t="s">
        <v>582</v>
      </c>
      <c r="V48" s="70"/>
      <c r="W48" s="231">
        <v>465000</v>
      </c>
      <c r="X48" s="70" t="s">
        <v>685</v>
      </c>
      <c r="Y48" s="156" t="s">
        <v>686</v>
      </c>
      <c r="Z48" s="26"/>
      <c r="AA48" s="70" t="s">
        <v>759</v>
      </c>
      <c r="AB48" s="70" t="s">
        <v>759</v>
      </c>
      <c r="AC48" s="70" t="s">
        <v>781</v>
      </c>
      <c r="AD48" s="70" t="s">
        <v>849</v>
      </c>
      <c r="AE48" s="70" t="s">
        <v>849</v>
      </c>
      <c r="AF48" s="226" t="s">
        <v>933</v>
      </c>
    </row>
    <row r="49" spans="1:32" ht="123" customHeight="1" x14ac:dyDescent="0.35">
      <c r="A49" s="29">
        <f t="shared" si="1"/>
        <v>44</v>
      </c>
      <c r="B49" s="7" t="s">
        <v>33</v>
      </c>
      <c r="C49" s="7" t="s">
        <v>33</v>
      </c>
      <c r="D49" s="7" t="s">
        <v>85</v>
      </c>
      <c r="E49" s="7" t="s">
        <v>95</v>
      </c>
      <c r="F49" s="8">
        <v>202538864</v>
      </c>
      <c r="G49" s="7"/>
      <c r="H49" s="7" t="s">
        <v>32</v>
      </c>
      <c r="I49" s="7" t="s">
        <v>97</v>
      </c>
      <c r="J49" s="9" t="s">
        <v>64</v>
      </c>
      <c r="K49" s="9">
        <v>45652</v>
      </c>
      <c r="L49" s="9">
        <v>45652</v>
      </c>
      <c r="M49" s="36">
        <v>45652</v>
      </c>
      <c r="N49" s="7" t="s">
        <v>100</v>
      </c>
      <c r="O49" s="7" t="s">
        <v>106</v>
      </c>
      <c r="P49" s="7"/>
      <c r="Q49" s="9">
        <v>45860</v>
      </c>
      <c r="R49" s="7"/>
      <c r="S49" s="9" t="s">
        <v>557</v>
      </c>
      <c r="T49" s="11">
        <f t="shared" ca="1" si="0"/>
        <v>460</v>
      </c>
      <c r="U49" s="141" t="s">
        <v>568</v>
      </c>
      <c r="V49" s="7"/>
      <c r="W49" s="90" t="s">
        <v>580</v>
      </c>
      <c r="X49" s="70" t="s">
        <v>689</v>
      </c>
      <c r="Y49" s="7" t="s">
        <v>576</v>
      </c>
      <c r="Z49" s="25" t="s">
        <v>742</v>
      </c>
      <c r="AA49" s="7"/>
      <c r="AB49" s="104" t="s">
        <v>742</v>
      </c>
      <c r="AC49" s="25" t="s">
        <v>810</v>
      </c>
      <c r="AD49" s="183" t="s">
        <v>842</v>
      </c>
      <c r="AE49" s="193" t="s">
        <v>842</v>
      </c>
    </row>
    <row r="50" spans="1:32" ht="72.5" x14ac:dyDescent="0.35">
      <c r="A50" s="138">
        <f t="shared" si="1"/>
        <v>45</v>
      </c>
      <c r="B50" s="39"/>
      <c r="C50" s="39"/>
      <c r="D50" s="7" t="s">
        <v>244</v>
      </c>
      <c r="E50" s="40"/>
      <c r="F50" s="40" t="s">
        <v>621</v>
      </c>
      <c r="G50" s="25" t="s">
        <v>188</v>
      </c>
      <c r="H50" s="25" t="s">
        <v>188</v>
      </c>
      <c r="I50" s="25"/>
      <c r="J50" s="25">
        <v>1</v>
      </c>
      <c r="K50" s="39"/>
      <c r="L50" s="39"/>
      <c r="M50" s="37">
        <v>45448</v>
      </c>
      <c r="N50" s="13"/>
      <c r="O50" s="7" t="s">
        <v>532</v>
      </c>
      <c r="P50" s="13"/>
      <c r="Q50" s="9">
        <v>45860</v>
      </c>
      <c r="R50" s="13"/>
      <c r="S50" s="9" t="s">
        <v>557</v>
      </c>
      <c r="T50" s="11">
        <f t="shared" ca="1" si="0"/>
        <v>664</v>
      </c>
      <c r="U50" s="70" t="s">
        <v>577</v>
      </c>
      <c r="V50" s="13"/>
      <c r="W50" s="90">
        <v>147400</v>
      </c>
      <c r="X50" s="44" t="s">
        <v>685</v>
      </c>
      <c r="Y50" s="157"/>
      <c r="Z50" s="25"/>
      <c r="AA50" s="7" t="s">
        <v>759</v>
      </c>
      <c r="AB50" s="53" t="s">
        <v>759</v>
      </c>
      <c r="AC50" s="7" t="s">
        <v>785</v>
      </c>
      <c r="AD50" s="199" t="s">
        <v>891</v>
      </c>
      <c r="AE50" s="199" t="s">
        <v>891</v>
      </c>
    </row>
    <row r="51" spans="1:32" ht="138" customHeight="1" x14ac:dyDescent="0.35">
      <c r="A51" s="138">
        <f t="shared" si="1"/>
        <v>46</v>
      </c>
      <c r="B51" s="39"/>
      <c r="C51" s="39"/>
      <c r="D51" s="7" t="s">
        <v>244</v>
      </c>
      <c r="E51" s="40"/>
      <c r="F51" s="40">
        <v>223812</v>
      </c>
      <c r="G51" s="25" t="s">
        <v>188</v>
      </c>
      <c r="H51" s="25" t="s">
        <v>188</v>
      </c>
      <c r="I51" s="25"/>
      <c r="J51" s="25">
        <v>1</v>
      </c>
      <c r="K51" s="39"/>
      <c r="L51" s="39"/>
      <c r="M51" s="37">
        <v>45448</v>
      </c>
      <c r="N51" s="13"/>
      <c r="O51" s="7" t="s">
        <v>532</v>
      </c>
      <c r="P51" s="13"/>
      <c r="Q51" s="9">
        <v>45860</v>
      </c>
      <c r="R51" s="13"/>
      <c r="S51" s="9" t="s">
        <v>557</v>
      </c>
      <c r="T51" s="11">
        <f t="shared" ca="1" si="0"/>
        <v>664</v>
      </c>
      <c r="U51" s="70" t="s">
        <v>577</v>
      </c>
      <c r="V51" s="13"/>
      <c r="W51" s="90">
        <v>147400</v>
      </c>
      <c r="X51" s="44" t="s">
        <v>685</v>
      </c>
      <c r="Y51" s="157"/>
      <c r="Z51" s="25"/>
      <c r="AA51" s="7" t="s">
        <v>759</v>
      </c>
      <c r="AB51" s="53" t="s">
        <v>759</v>
      </c>
      <c r="AC51" s="7" t="s">
        <v>786</v>
      </c>
      <c r="AD51" s="199" t="s">
        <v>891</v>
      </c>
      <c r="AE51" s="199" t="s">
        <v>891</v>
      </c>
    </row>
    <row r="52" spans="1:32" ht="90.75" customHeight="1" x14ac:dyDescent="0.35">
      <c r="A52" s="138">
        <f t="shared" si="1"/>
        <v>47</v>
      </c>
      <c r="B52" s="39"/>
      <c r="C52" s="39"/>
      <c r="D52" s="25" t="s">
        <v>265</v>
      </c>
      <c r="E52" s="40"/>
      <c r="F52" s="40" t="s">
        <v>266</v>
      </c>
      <c r="G52" s="25" t="s">
        <v>188</v>
      </c>
      <c r="H52" s="25" t="s">
        <v>188</v>
      </c>
      <c r="I52" s="25"/>
      <c r="J52" s="25">
        <v>1</v>
      </c>
      <c r="K52" s="39"/>
      <c r="L52" s="39"/>
      <c r="M52" s="37">
        <v>45448</v>
      </c>
      <c r="N52" s="13"/>
      <c r="O52" s="7" t="s">
        <v>532</v>
      </c>
      <c r="P52" s="13"/>
      <c r="Q52" s="9">
        <v>45860</v>
      </c>
      <c r="R52" s="13"/>
      <c r="S52" s="9" t="s">
        <v>560</v>
      </c>
      <c r="T52" s="11">
        <f t="shared" ca="1" si="0"/>
        <v>664</v>
      </c>
      <c r="U52" s="96" t="s">
        <v>559</v>
      </c>
      <c r="V52" s="13"/>
      <c r="W52" s="154"/>
      <c r="X52" s="44" t="s">
        <v>685</v>
      </c>
      <c r="Y52" s="158"/>
      <c r="Z52" s="25"/>
      <c r="AA52" s="7" t="s">
        <v>759</v>
      </c>
      <c r="AB52" s="124"/>
      <c r="AC52" s="25" t="s">
        <v>507</v>
      </c>
      <c r="AD52" s="25" t="s">
        <v>828</v>
      </c>
      <c r="AE52" s="25" t="s">
        <v>900</v>
      </c>
      <c r="AF52" s="123" t="s">
        <v>858</v>
      </c>
    </row>
    <row r="53" spans="1:32" s="1" customFormat="1" ht="87" x14ac:dyDescent="0.35">
      <c r="A53" s="138">
        <f t="shared" si="1"/>
        <v>48</v>
      </c>
      <c r="B53" s="39"/>
      <c r="C53" s="39"/>
      <c r="D53" s="7" t="s">
        <v>267</v>
      </c>
      <c r="E53" s="40"/>
      <c r="F53" s="40" t="s">
        <v>796</v>
      </c>
      <c r="G53" s="25" t="s">
        <v>188</v>
      </c>
      <c r="H53" s="25" t="s">
        <v>188</v>
      </c>
      <c r="I53" s="25"/>
      <c r="J53" s="25">
        <v>1</v>
      </c>
      <c r="K53" s="39"/>
      <c r="L53" s="39"/>
      <c r="M53" s="37">
        <v>45448</v>
      </c>
      <c r="N53" s="13"/>
      <c r="O53" s="7" t="s">
        <v>125</v>
      </c>
      <c r="P53" s="13"/>
      <c r="Q53" s="9">
        <v>45860</v>
      </c>
      <c r="R53" s="13"/>
      <c r="S53" s="9" t="s">
        <v>560</v>
      </c>
      <c r="T53" s="11">
        <f t="shared" ca="1" si="0"/>
        <v>664</v>
      </c>
      <c r="U53" s="96" t="s">
        <v>561</v>
      </c>
      <c r="V53" s="9">
        <v>45870</v>
      </c>
      <c r="W53" s="155"/>
      <c r="X53" s="70" t="s">
        <v>690</v>
      </c>
      <c r="Y53" s="70"/>
      <c r="Z53" s="7"/>
      <c r="AA53" s="7" t="s">
        <v>759</v>
      </c>
      <c r="AB53" s="53" t="s">
        <v>759</v>
      </c>
      <c r="AC53" s="7" t="s">
        <v>797</v>
      </c>
      <c r="AD53" s="137" t="s">
        <v>891</v>
      </c>
      <c r="AE53" s="137" t="s">
        <v>891</v>
      </c>
      <c r="AF53" s="198"/>
    </row>
    <row r="54" spans="1:32" s="232" customFormat="1" ht="58" x14ac:dyDescent="0.35">
      <c r="A54" s="70">
        <f t="shared" si="1"/>
        <v>49</v>
      </c>
      <c r="B54" s="70" t="s">
        <v>33</v>
      </c>
      <c r="C54" s="70" t="s">
        <v>33</v>
      </c>
      <c r="D54" s="70" t="s">
        <v>67</v>
      </c>
      <c r="E54" s="70" t="s">
        <v>68</v>
      </c>
      <c r="F54" s="233" t="s">
        <v>74</v>
      </c>
      <c r="G54" s="70" t="s">
        <v>75</v>
      </c>
      <c r="H54" s="70" t="s">
        <v>32</v>
      </c>
      <c r="I54" s="70" t="s">
        <v>97</v>
      </c>
      <c r="J54" s="69">
        <v>45517</v>
      </c>
      <c r="K54" s="69">
        <v>45516</v>
      </c>
      <c r="L54" s="69">
        <v>45516</v>
      </c>
      <c r="M54" s="69">
        <v>45562</v>
      </c>
      <c r="N54" s="70" t="s">
        <v>100</v>
      </c>
      <c r="O54" s="70" t="s">
        <v>532</v>
      </c>
      <c r="P54" s="70"/>
      <c r="Q54" s="69">
        <v>45860</v>
      </c>
      <c r="R54" s="70"/>
      <c r="S54" s="69" t="s">
        <v>558</v>
      </c>
      <c r="T54" s="230">
        <f t="shared" ca="1" si="0"/>
        <v>550</v>
      </c>
      <c r="U54" s="140" t="s">
        <v>582</v>
      </c>
      <c r="V54" s="70"/>
      <c r="W54" s="231">
        <v>465000</v>
      </c>
      <c r="X54" s="70" t="s">
        <v>685</v>
      </c>
      <c r="Y54" s="156" t="s">
        <v>686</v>
      </c>
      <c r="Z54" s="70"/>
      <c r="AA54" s="70" t="s">
        <v>759</v>
      </c>
      <c r="AB54" s="70" t="s">
        <v>759</v>
      </c>
      <c r="AC54" s="70" t="s">
        <v>787</v>
      </c>
      <c r="AD54" s="70" t="s">
        <v>829</v>
      </c>
      <c r="AE54" s="70" t="s">
        <v>901</v>
      </c>
      <c r="AF54" s="226" t="s">
        <v>932</v>
      </c>
    </row>
    <row r="55" spans="1:32" s="152" customFormat="1" ht="157.5" hidden="1" customHeight="1" x14ac:dyDescent="0.35">
      <c r="A55" s="138">
        <f t="shared" si="1"/>
        <v>50</v>
      </c>
      <c r="B55" s="142" t="s">
        <v>588</v>
      </c>
      <c r="C55" s="142" t="s">
        <v>588</v>
      </c>
      <c r="D55" s="143" t="s">
        <v>221</v>
      </c>
      <c r="E55" s="144"/>
      <c r="F55" s="145" t="s">
        <v>222</v>
      </c>
      <c r="G55" s="143" t="s">
        <v>188</v>
      </c>
      <c r="H55" s="143" t="s">
        <v>188</v>
      </c>
      <c r="I55" s="143"/>
      <c r="J55" s="143">
        <v>1</v>
      </c>
      <c r="K55" s="142"/>
      <c r="L55" s="142"/>
      <c r="M55" s="146">
        <v>45448</v>
      </c>
      <c r="N55" s="147"/>
      <c r="O55" s="148" t="s">
        <v>532</v>
      </c>
      <c r="P55" s="147"/>
      <c r="Q55" s="149">
        <v>45860</v>
      </c>
      <c r="R55" s="147"/>
      <c r="S55" s="149" t="s">
        <v>558</v>
      </c>
      <c r="T55" s="150">
        <f t="shared" ca="1" si="0"/>
        <v>664</v>
      </c>
      <c r="U55" s="151" t="s">
        <v>593</v>
      </c>
      <c r="V55" s="147"/>
      <c r="W55" s="159" t="s">
        <v>581</v>
      </c>
      <c r="X55" s="148" t="s">
        <v>691</v>
      </c>
      <c r="Y55" s="147"/>
      <c r="Z55" s="148"/>
      <c r="AA55" s="7" t="s">
        <v>759</v>
      </c>
      <c r="AB55" s="53" t="s">
        <v>759</v>
      </c>
      <c r="AC55" s="148"/>
      <c r="AD55" s="148"/>
      <c r="AE55" s="148"/>
      <c r="AF55" s="225"/>
    </row>
    <row r="56" spans="1:32" s="152" customFormat="1" ht="42" hidden="1" customHeight="1" x14ac:dyDescent="0.35">
      <c r="A56" s="138">
        <f t="shared" si="1"/>
        <v>51</v>
      </c>
      <c r="B56" s="142" t="s">
        <v>588</v>
      </c>
      <c r="C56" s="142" t="s">
        <v>588</v>
      </c>
      <c r="D56" s="148" t="s">
        <v>280</v>
      </c>
      <c r="E56" s="144"/>
      <c r="F56" s="144" t="s">
        <v>281</v>
      </c>
      <c r="G56" s="143" t="s">
        <v>188</v>
      </c>
      <c r="H56" s="143" t="s">
        <v>188</v>
      </c>
      <c r="I56" s="143"/>
      <c r="J56" s="143">
        <v>1</v>
      </c>
      <c r="K56" s="142"/>
      <c r="L56" s="142"/>
      <c r="M56" s="146">
        <v>45448</v>
      </c>
      <c r="N56" s="147"/>
      <c r="O56" s="148" t="s">
        <v>532</v>
      </c>
      <c r="P56" s="147"/>
      <c r="Q56" s="149">
        <v>45860</v>
      </c>
      <c r="R56" s="147"/>
      <c r="S56" s="149">
        <v>45900</v>
      </c>
      <c r="T56" s="150">
        <f t="shared" ca="1" si="0"/>
        <v>664</v>
      </c>
      <c r="U56" s="151" t="s">
        <v>593</v>
      </c>
      <c r="V56" s="147"/>
      <c r="W56" s="159" t="s">
        <v>584</v>
      </c>
      <c r="X56" s="148" t="s">
        <v>692</v>
      </c>
      <c r="Y56" s="147"/>
      <c r="Z56" s="148"/>
      <c r="AA56" s="7" t="s">
        <v>759</v>
      </c>
      <c r="AB56" s="53" t="s">
        <v>759</v>
      </c>
      <c r="AC56" s="148"/>
      <c r="AD56" s="148"/>
      <c r="AE56" s="148"/>
      <c r="AF56" s="225"/>
    </row>
    <row r="57" spans="1:32" s="1" customFormat="1" ht="74" customHeight="1" x14ac:dyDescent="0.35">
      <c r="A57" s="7">
        <f t="shared" si="1"/>
        <v>52</v>
      </c>
      <c r="B57" s="7" t="s">
        <v>33</v>
      </c>
      <c r="C57" s="7" t="s">
        <v>33</v>
      </c>
      <c r="D57" s="7" t="s">
        <v>59</v>
      </c>
      <c r="E57" s="7" t="s">
        <v>60</v>
      </c>
      <c r="F57" s="8">
        <v>78768</v>
      </c>
      <c r="G57" s="7" t="s">
        <v>61</v>
      </c>
      <c r="H57" s="7" t="s">
        <v>32</v>
      </c>
      <c r="I57" s="7" t="s">
        <v>97</v>
      </c>
      <c r="J57" s="9">
        <v>45177</v>
      </c>
      <c r="K57" s="9">
        <v>45429</v>
      </c>
      <c r="L57" s="9">
        <v>45433</v>
      </c>
      <c r="M57" s="36">
        <v>45442</v>
      </c>
      <c r="N57" s="7" t="s">
        <v>100</v>
      </c>
      <c r="O57" s="7" t="s">
        <v>532</v>
      </c>
      <c r="P57" s="7"/>
      <c r="Q57" s="9">
        <v>45860</v>
      </c>
      <c r="R57" s="7"/>
      <c r="S57" s="9">
        <v>45900</v>
      </c>
      <c r="T57" s="11">
        <f t="shared" ca="1" si="0"/>
        <v>670</v>
      </c>
      <c r="U57" s="140" t="s">
        <v>687</v>
      </c>
      <c r="V57" s="7"/>
      <c r="W57" s="160" t="s">
        <v>584</v>
      </c>
      <c r="X57" s="44" t="s">
        <v>693</v>
      </c>
      <c r="Y57" s="148" t="s">
        <v>726</v>
      </c>
      <c r="Z57" s="7"/>
      <c r="AA57" s="7" t="s">
        <v>759</v>
      </c>
      <c r="AB57" s="53" t="s">
        <v>759</v>
      </c>
      <c r="AC57" s="7"/>
      <c r="AD57" s="7"/>
      <c r="AE57" s="193" t="s">
        <v>948</v>
      </c>
      <c r="AF57" s="198"/>
    </row>
    <row r="58" spans="1:32" s="1" customFormat="1" ht="72.5" x14ac:dyDescent="0.35">
      <c r="A58" s="138">
        <f t="shared" si="1"/>
        <v>53</v>
      </c>
      <c r="B58" s="39"/>
      <c r="C58" s="39"/>
      <c r="D58" s="7" t="s">
        <v>762</v>
      </c>
      <c r="E58" s="25" t="str">
        <f>D58</f>
        <v xml:space="preserve">Титратор автоматический
 АТ-710 
</v>
      </c>
      <c r="F58" s="25" t="s">
        <v>168</v>
      </c>
      <c r="G58" s="25"/>
      <c r="H58" s="25"/>
      <c r="I58" s="25"/>
      <c r="J58" s="25">
        <v>1</v>
      </c>
      <c r="K58" s="39"/>
      <c r="L58" s="39"/>
      <c r="M58" s="37">
        <v>45442</v>
      </c>
      <c r="N58" s="13"/>
      <c r="O58" s="7" t="s">
        <v>534</v>
      </c>
      <c r="P58" s="13"/>
      <c r="Q58" s="9">
        <v>45860</v>
      </c>
      <c r="R58" s="13"/>
      <c r="S58" s="9">
        <v>45900</v>
      </c>
      <c r="T58" s="11">
        <f t="shared" ca="1" si="0"/>
        <v>670</v>
      </c>
      <c r="U58" s="140" t="s">
        <v>569</v>
      </c>
      <c r="V58" s="13"/>
      <c r="W58" s="154"/>
      <c r="X58" s="44" t="s">
        <v>693</v>
      </c>
      <c r="Y58" s="13"/>
      <c r="Z58" s="7"/>
      <c r="AA58" s="7" t="s">
        <v>759</v>
      </c>
      <c r="AB58" s="124"/>
      <c r="AC58" s="7" t="s">
        <v>507</v>
      </c>
      <c r="AD58" s="53" t="s">
        <v>830</v>
      </c>
      <c r="AE58" s="53" t="s">
        <v>830</v>
      </c>
      <c r="AF58" s="198"/>
    </row>
    <row r="59" spans="1:32" s="1" customFormat="1" ht="75" customHeight="1" x14ac:dyDescent="0.35">
      <c r="A59" s="138">
        <f t="shared" si="1"/>
        <v>54</v>
      </c>
      <c r="B59" s="39" t="s">
        <v>588</v>
      </c>
      <c r="C59" s="39" t="s">
        <v>588</v>
      </c>
      <c r="D59" s="27" t="s">
        <v>173</v>
      </c>
      <c r="E59" s="18" t="s">
        <v>174</v>
      </c>
      <c r="F59" s="28" t="s">
        <v>175</v>
      </c>
      <c r="G59" s="29"/>
      <c r="H59" s="29"/>
      <c r="I59" s="29"/>
      <c r="J59" s="30"/>
      <c r="K59" s="39"/>
      <c r="L59" s="39"/>
      <c r="M59" s="35">
        <v>45442</v>
      </c>
      <c r="N59" s="13"/>
      <c r="O59" s="7" t="s">
        <v>532</v>
      </c>
      <c r="P59" s="13"/>
      <c r="Q59" s="9">
        <v>45860</v>
      </c>
      <c r="R59" s="13"/>
      <c r="S59" s="9">
        <v>45900</v>
      </c>
      <c r="T59" s="11">
        <f t="shared" ca="1" si="0"/>
        <v>670</v>
      </c>
      <c r="U59" s="97" t="s">
        <v>593</v>
      </c>
      <c r="V59" s="13"/>
      <c r="W59" s="160" t="s">
        <v>584</v>
      </c>
      <c r="X59" s="7" t="s">
        <v>694</v>
      </c>
      <c r="Y59" s="13"/>
      <c r="Z59" s="7"/>
      <c r="AA59" s="7" t="s">
        <v>759</v>
      </c>
      <c r="AB59" s="7" t="s">
        <v>759</v>
      </c>
      <c r="AC59" s="7"/>
      <c r="AD59" s="7"/>
      <c r="AE59" s="193" t="s">
        <v>948</v>
      </c>
      <c r="AF59" s="198"/>
    </row>
    <row r="60" spans="1:32" s="1" customFormat="1" ht="39" customHeight="1" x14ac:dyDescent="0.35">
      <c r="A60" s="138">
        <f t="shared" si="1"/>
        <v>55</v>
      </c>
      <c r="B60" s="39" t="s">
        <v>589</v>
      </c>
      <c r="C60" s="39" t="s">
        <v>589</v>
      </c>
      <c r="D60" s="27" t="s">
        <v>173</v>
      </c>
      <c r="E60" s="18" t="s">
        <v>176</v>
      </c>
      <c r="F60" s="28" t="s">
        <v>177</v>
      </c>
      <c r="G60" s="29"/>
      <c r="H60" s="29"/>
      <c r="I60" s="29"/>
      <c r="J60" s="30"/>
      <c r="K60" s="39"/>
      <c r="L60" s="39"/>
      <c r="M60" s="35">
        <v>45442</v>
      </c>
      <c r="N60" s="13"/>
      <c r="O60" s="7" t="s">
        <v>532</v>
      </c>
      <c r="P60" s="13"/>
      <c r="Q60" s="9">
        <v>45860</v>
      </c>
      <c r="R60" s="13"/>
      <c r="S60" s="9">
        <v>45900</v>
      </c>
      <c r="T60" s="11">
        <f t="shared" ca="1" si="0"/>
        <v>670</v>
      </c>
      <c r="U60" s="141" t="s">
        <v>585</v>
      </c>
      <c r="V60" s="13"/>
      <c r="W60" s="160" t="s">
        <v>584</v>
      </c>
      <c r="X60" s="70" t="s">
        <v>686</v>
      </c>
      <c r="Y60" s="7" t="s">
        <v>727</v>
      </c>
      <c r="Z60" s="7"/>
      <c r="AA60" s="7" t="s">
        <v>759</v>
      </c>
      <c r="AB60" s="7" t="s">
        <v>759</v>
      </c>
      <c r="AC60" s="7"/>
      <c r="AD60" s="7"/>
      <c r="AE60" s="193" t="s">
        <v>948</v>
      </c>
      <c r="AF60" s="198"/>
    </row>
    <row r="61" spans="1:32" s="223" customFormat="1" ht="49" customHeight="1" x14ac:dyDescent="0.35">
      <c r="A61" s="203">
        <f t="shared" si="1"/>
        <v>56</v>
      </c>
      <c r="B61" s="214" t="s">
        <v>588</v>
      </c>
      <c r="C61" s="214" t="s">
        <v>588</v>
      </c>
      <c r="D61" s="215" t="s">
        <v>173</v>
      </c>
      <c r="E61" s="216" t="s">
        <v>178</v>
      </c>
      <c r="F61" s="217" t="s">
        <v>179</v>
      </c>
      <c r="G61" s="218"/>
      <c r="H61" s="218"/>
      <c r="I61" s="218"/>
      <c r="J61" s="219"/>
      <c r="K61" s="214"/>
      <c r="L61" s="214"/>
      <c r="M61" s="220">
        <v>45442</v>
      </c>
      <c r="N61" s="221"/>
      <c r="O61" s="203" t="s">
        <v>532</v>
      </c>
      <c r="P61" s="221"/>
      <c r="Q61" s="210">
        <v>45860</v>
      </c>
      <c r="R61" s="221"/>
      <c r="S61" s="210">
        <v>45900</v>
      </c>
      <c r="T61" s="211">
        <f t="shared" ca="1" si="0"/>
        <v>670</v>
      </c>
      <c r="U61" s="222" t="s">
        <v>593</v>
      </c>
      <c r="V61" s="221"/>
      <c r="W61" s="202" t="s">
        <v>584</v>
      </c>
      <c r="X61" s="203" t="s">
        <v>695</v>
      </c>
      <c r="Y61" s="221"/>
      <c r="Z61" s="203"/>
      <c r="AA61" s="203" t="s">
        <v>759</v>
      </c>
      <c r="AB61" s="203" t="s">
        <v>759</v>
      </c>
      <c r="AC61" s="203"/>
      <c r="AD61" s="203"/>
      <c r="AE61" s="203" t="s">
        <v>891</v>
      </c>
      <c r="AF61" s="213" t="s">
        <v>930</v>
      </c>
    </row>
    <row r="62" spans="1:32" s="1" customFormat="1" ht="37" customHeight="1" x14ac:dyDescent="0.35">
      <c r="A62" s="138">
        <f t="shared" si="1"/>
        <v>57</v>
      </c>
      <c r="B62" s="39" t="s">
        <v>588</v>
      </c>
      <c r="C62" s="39" t="s">
        <v>588</v>
      </c>
      <c r="D62" s="18" t="s">
        <v>184</v>
      </c>
      <c r="E62" s="18" t="s">
        <v>185</v>
      </c>
      <c r="F62" s="18" t="s">
        <v>186</v>
      </c>
      <c r="G62" s="29"/>
      <c r="H62" s="29"/>
      <c r="I62" s="29"/>
      <c r="J62" s="30"/>
      <c r="K62" s="39"/>
      <c r="L62" s="39"/>
      <c r="M62" s="35">
        <v>45442</v>
      </c>
      <c r="N62" s="13"/>
      <c r="O62" s="7" t="s">
        <v>532</v>
      </c>
      <c r="P62" s="13"/>
      <c r="Q62" s="9">
        <v>45860</v>
      </c>
      <c r="R62" s="13"/>
      <c r="S62" s="9">
        <v>45900</v>
      </c>
      <c r="T62" s="11">
        <f t="shared" ca="1" si="0"/>
        <v>670</v>
      </c>
      <c r="U62" s="97" t="s">
        <v>593</v>
      </c>
      <c r="V62" s="13"/>
      <c r="W62" s="160" t="s">
        <v>584</v>
      </c>
      <c r="X62" s="7" t="s">
        <v>696</v>
      </c>
      <c r="Y62" s="13"/>
      <c r="Z62" s="7"/>
      <c r="AA62" s="7" t="s">
        <v>759</v>
      </c>
      <c r="AB62" s="7" t="s">
        <v>759</v>
      </c>
      <c r="AC62" s="7"/>
      <c r="AD62" s="7"/>
      <c r="AE62" s="193" t="s">
        <v>948</v>
      </c>
      <c r="AF62" s="224"/>
    </row>
    <row r="63" spans="1:32" s="223" customFormat="1" ht="43.5" x14ac:dyDescent="0.35">
      <c r="A63" s="203">
        <f t="shared" si="1"/>
        <v>58</v>
      </c>
      <c r="B63" s="214" t="s">
        <v>588</v>
      </c>
      <c r="C63" s="214" t="s">
        <v>588</v>
      </c>
      <c r="D63" s="207" t="s">
        <v>189</v>
      </c>
      <c r="E63" s="208"/>
      <c r="F63" s="208" t="s">
        <v>190</v>
      </c>
      <c r="G63" s="207" t="s">
        <v>188</v>
      </c>
      <c r="H63" s="207" t="s">
        <v>188</v>
      </c>
      <c r="I63" s="207"/>
      <c r="J63" s="207">
        <v>1</v>
      </c>
      <c r="K63" s="214"/>
      <c r="L63" s="214"/>
      <c r="M63" s="209">
        <v>45448</v>
      </c>
      <c r="N63" s="221"/>
      <c r="O63" s="203" t="s">
        <v>532</v>
      </c>
      <c r="P63" s="221"/>
      <c r="Q63" s="210">
        <v>45860</v>
      </c>
      <c r="R63" s="221"/>
      <c r="S63" s="210">
        <v>45900</v>
      </c>
      <c r="T63" s="211">
        <f t="shared" ca="1" si="0"/>
        <v>664</v>
      </c>
      <c r="U63" s="222" t="s">
        <v>593</v>
      </c>
      <c r="V63" s="221"/>
      <c r="W63" s="202" t="s">
        <v>584</v>
      </c>
      <c r="X63" s="203" t="s">
        <v>697</v>
      </c>
      <c r="Y63" s="221"/>
      <c r="Z63" s="203" t="s">
        <v>737</v>
      </c>
      <c r="AA63" s="203"/>
      <c r="AB63" s="203" t="s">
        <v>737</v>
      </c>
      <c r="AC63" s="203" t="s">
        <v>816</v>
      </c>
      <c r="AD63" s="203" t="s">
        <v>831</v>
      </c>
      <c r="AE63" s="203" t="s">
        <v>936</v>
      </c>
      <c r="AF63" s="213" t="s">
        <v>931</v>
      </c>
    </row>
    <row r="64" spans="1:32" s="1" customFormat="1" ht="64.5" customHeight="1" x14ac:dyDescent="0.35">
      <c r="A64" s="138">
        <f>A63+1</f>
        <v>59</v>
      </c>
      <c r="B64" s="39" t="s">
        <v>589</v>
      </c>
      <c r="C64" s="39" t="s">
        <v>589</v>
      </c>
      <c r="D64" s="25" t="s">
        <v>191</v>
      </c>
      <c r="E64" s="40"/>
      <c r="F64" s="40" t="s">
        <v>192</v>
      </c>
      <c r="G64" s="25" t="s">
        <v>188</v>
      </c>
      <c r="H64" s="25" t="s">
        <v>188</v>
      </c>
      <c r="I64" s="25"/>
      <c r="J64" s="25">
        <v>1</v>
      </c>
      <c r="K64" s="39"/>
      <c r="L64" s="39"/>
      <c r="M64" s="37">
        <v>45448</v>
      </c>
      <c r="N64" s="13"/>
      <c r="O64" s="7" t="s">
        <v>532</v>
      </c>
      <c r="P64" s="13"/>
      <c r="Q64" s="9">
        <v>45860</v>
      </c>
      <c r="R64" s="13"/>
      <c r="S64" s="9">
        <v>45900</v>
      </c>
      <c r="T64" s="11">
        <f t="shared" ca="1" si="0"/>
        <v>664</v>
      </c>
      <c r="U64" s="141" t="s">
        <v>585</v>
      </c>
      <c r="V64" s="13"/>
      <c r="W64" s="160" t="s">
        <v>584</v>
      </c>
      <c r="X64" s="70" t="s">
        <v>686</v>
      </c>
      <c r="Y64" s="13"/>
      <c r="Z64" s="7"/>
      <c r="AA64" s="7" t="s">
        <v>759</v>
      </c>
      <c r="AB64" s="53" t="s">
        <v>759</v>
      </c>
      <c r="AC64" s="7" t="s">
        <v>783</v>
      </c>
      <c r="AD64" s="183" t="s">
        <v>849</v>
      </c>
      <c r="AE64" s="193" t="s">
        <v>849</v>
      </c>
      <c r="AF64" s="198"/>
    </row>
    <row r="65" spans="1:32" s="1" customFormat="1" ht="91.5" customHeight="1" x14ac:dyDescent="0.35">
      <c r="A65" s="138">
        <f t="shared" si="1"/>
        <v>60</v>
      </c>
      <c r="B65" s="39"/>
      <c r="C65" s="39"/>
      <c r="D65" s="25" t="s">
        <v>193</v>
      </c>
      <c r="E65" s="40"/>
      <c r="F65" s="40" t="s">
        <v>763</v>
      </c>
      <c r="G65" s="25" t="s">
        <v>188</v>
      </c>
      <c r="H65" s="25" t="s">
        <v>188</v>
      </c>
      <c r="I65" s="25"/>
      <c r="J65" s="25">
        <v>1</v>
      </c>
      <c r="K65" s="39"/>
      <c r="L65" s="39"/>
      <c r="M65" s="37">
        <v>45448</v>
      </c>
      <c r="N65" s="13"/>
      <c r="O65" s="7" t="s">
        <v>532</v>
      </c>
      <c r="P65" s="13"/>
      <c r="Q65" s="9">
        <v>45860</v>
      </c>
      <c r="R65" s="13"/>
      <c r="S65" s="9">
        <v>45900</v>
      </c>
      <c r="T65" s="11">
        <f t="shared" ca="1" si="0"/>
        <v>664</v>
      </c>
      <c r="U65" s="140" t="s">
        <v>570</v>
      </c>
      <c r="V65" s="13"/>
      <c r="W65" s="154"/>
      <c r="X65" s="44" t="s">
        <v>693</v>
      </c>
      <c r="Y65" s="13"/>
      <c r="Z65" s="7"/>
      <c r="AA65" s="7" t="s">
        <v>759</v>
      </c>
      <c r="AB65" s="124"/>
      <c r="AC65" s="7" t="s">
        <v>507</v>
      </c>
      <c r="AD65" s="183" t="s">
        <v>832</v>
      </c>
      <c r="AE65" s="193" t="s">
        <v>832</v>
      </c>
      <c r="AF65" s="198"/>
    </row>
    <row r="66" spans="1:32" s="223" customFormat="1" ht="66.5" customHeight="1" x14ac:dyDescent="0.35">
      <c r="A66" s="203">
        <f t="shared" si="1"/>
        <v>61</v>
      </c>
      <c r="B66" s="214" t="s">
        <v>588</v>
      </c>
      <c r="C66" s="214" t="s">
        <v>588</v>
      </c>
      <c r="D66" s="207" t="s">
        <v>189</v>
      </c>
      <c r="E66" s="208"/>
      <c r="F66" s="208" t="s">
        <v>199</v>
      </c>
      <c r="G66" s="207" t="s">
        <v>188</v>
      </c>
      <c r="H66" s="207" t="s">
        <v>188</v>
      </c>
      <c r="I66" s="207"/>
      <c r="J66" s="207">
        <v>1</v>
      </c>
      <c r="K66" s="214"/>
      <c r="L66" s="214"/>
      <c r="M66" s="209">
        <v>45448</v>
      </c>
      <c r="N66" s="221"/>
      <c r="O66" s="203" t="s">
        <v>532</v>
      </c>
      <c r="P66" s="221"/>
      <c r="Q66" s="210">
        <v>45860</v>
      </c>
      <c r="R66" s="221"/>
      <c r="S66" s="210">
        <v>45900</v>
      </c>
      <c r="T66" s="211">
        <f t="shared" ca="1" si="0"/>
        <v>664</v>
      </c>
      <c r="U66" s="222" t="s">
        <v>593</v>
      </c>
      <c r="V66" s="221"/>
      <c r="W66" s="202" t="s">
        <v>584</v>
      </c>
      <c r="X66" s="203" t="s">
        <v>698</v>
      </c>
      <c r="Y66" s="221"/>
      <c r="Z66" s="203"/>
      <c r="AA66" s="203" t="s">
        <v>759</v>
      </c>
      <c r="AB66" s="203" t="s">
        <v>759</v>
      </c>
      <c r="AC66" s="203"/>
      <c r="AD66" s="203"/>
      <c r="AE66" s="203" t="s">
        <v>891</v>
      </c>
      <c r="AF66" s="213" t="s">
        <v>930</v>
      </c>
    </row>
    <row r="67" spans="1:32" s="223" customFormat="1" ht="72" customHeight="1" x14ac:dyDescent="0.35">
      <c r="A67" s="203">
        <f t="shared" si="1"/>
        <v>62</v>
      </c>
      <c r="B67" s="214" t="s">
        <v>589</v>
      </c>
      <c r="C67" s="214" t="s">
        <v>589</v>
      </c>
      <c r="D67" s="207" t="s">
        <v>203</v>
      </c>
      <c r="E67" s="208"/>
      <c r="F67" s="208" t="s">
        <v>204</v>
      </c>
      <c r="G67" s="207" t="s">
        <v>188</v>
      </c>
      <c r="H67" s="207" t="s">
        <v>188</v>
      </c>
      <c r="I67" s="207"/>
      <c r="J67" s="207">
        <v>1</v>
      </c>
      <c r="K67" s="214"/>
      <c r="L67" s="214"/>
      <c r="M67" s="209">
        <v>45448</v>
      </c>
      <c r="N67" s="221"/>
      <c r="O67" s="203" t="s">
        <v>532</v>
      </c>
      <c r="P67" s="221"/>
      <c r="Q67" s="210">
        <v>45860</v>
      </c>
      <c r="R67" s="221"/>
      <c r="S67" s="210">
        <v>45900</v>
      </c>
      <c r="T67" s="211">
        <f t="shared" ca="1" si="0"/>
        <v>664</v>
      </c>
      <c r="U67" s="222" t="s">
        <v>585</v>
      </c>
      <c r="V67" s="221"/>
      <c r="W67" s="202" t="s">
        <v>584</v>
      </c>
      <c r="X67" s="203" t="s">
        <v>686</v>
      </c>
      <c r="Y67" s="221"/>
      <c r="Z67" s="203"/>
      <c r="AA67" s="203" t="s">
        <v>759</v>
      </c>
      <c r="AB67" s="203"/>
      <c r="AC67" s="203"/>
      <c r="AD67" s="203" t="s">
        <v>833</v>
      </c>
      <c r="AE67" s="203" t="s">
        <v>935</v>
      </c>
      <c r="AF67" s="213" t="s">
        <v>931</v>
      </c>
    </row>
    <row r="68" spans="1:32" s="1" customFormat="1" ht="73" customHeight="1" x14ac:dyDescent="0.35">
      <c r="A68" s="138">
        <f t="shared" si="1"/>
        <v>63</v>
      </c>
      <c r="B68" s="39" t="s">
        <v>589</v>
      </c>
      <c r="C68" s="39" t="s">
        <v>589</v>
      </c>
      <c r="D68" s="25" t="s">
        <v>203</v>
      </c>
      <c r="E68" s="40"/>
      <c r="F68" s="40" t="s">
        <v>205</v>
      </c>
      <c r="G68" s="25" t="s">
        <v>188</v>
      </c>
      <c r="H68" s="25" t="s">
        <v>188</v>
      </c>
      <c r="I68" s="25"/>
      <c r="J68" s="25">
        <v>1</v>
      </c>
      <c r="K68" s="39"/>
      <c r="L68" s="39"/>
      <c r="M68" s="37">
        <v>45448</v>
      </c>
      <c r="N68" s="13"/>
      <c r="O68" s="7" t="s">
        <v>532</v>
      </c>
      <c r="P68" s="13"/>
      <c r="Q68" s="9">
        <v>45860</v>
      </c>
      <c r="R68" s="13"/>
      <c r="S68" s="9">
        <v>45900</v>
      </c>
      <c r="T68" s="11">
        <f t="shared" ref="T68:T100" ca="1" si="4">DATEDIF(M68,TODAY(),"D")</f>
        <v>664</v>
      </c>
      <c r="U68" s="141" t="s">
        <v>585</v>
      </c>
      <c r="V68" s="13"/>
      <c r="W68" s="160" t="s">
        <v>584</v>
      </c>
      <c r="X68" s="70" t="s">
        <v>686</v>
      </c>
      <c r="Y68" s="13"/>
      <c r="Z68" s="7"/>
      <c r="AA68" s="7" t="s">
        <v>759</v>
      </c>
      <c r="AB68" s="53" t="s">
        <v>759</v>
      </c>
      <c r="AC68" s="7" t="s">
        <v>782</v>
      </c>
      <c r="AD68" s="7" t="s">
        <v>849</v>
      </c>
      <c r="AE68" s="193" t="s">
        <v>849</v>
      </c>
      <c r="AF68" s="198"/>
    </row>
    <row r="69" spans="1:32" s="1" customFormat="1" ht="67" customHeight="1" x14ac:dyDescent="0.35">
      <c r="A69" s="138">
        <f t="shared" si="1"/>
        <v>64</v>
      </c>
      <c r="B69" s="39" t="s">
        <v>589</v>
      </c>
      <c r="C69" s="39" t="s">
        <v>589</v>
      </c>
      <c r="D69" s="25" t="s">
        <v>203</v>
      </c>
      <c r="E69" s="40"/>
      <c r="F69" s="40" t="s">
        <v>206</v>
      </c>
      <c r="G69" s="25" t="s">
        <v>188</v>
      </c>
      <c r="H69" s="25" t="s">
        <v>188</v>
      </c>
      <c r="I69" s="25"/>
      <c r="J69" s="25">
        <v>1</v>
      </c>
      <c r="K69" s="39"/>
      <c r="L69" s="39"/>
      <c r="M69" s="37">
        <v>45448</v>
      </c>
      <c r="N69" s="13"/>
      <c r="O69" s="7" t="s">
        <v>532</v>
      </c>
      <c r="P69" s="13"/>
      <c r="Q69" s="9">
        <v>45860</v>
      </c>
      <c r="R69" s="13"/>
      <c r="S69" s="9">
        <v>45900</v>
      </c>
      <c r="T69" s="11">
        <f t="shared" ca="1" si="4"/>
        <v>664</v>
      </c>
      <c r="U69" s="141" t="s">
        <v>585</v>
      </c>
      <c r="V69" s="13"/>
      <c r="W69" s="160" t="s">
        <v>584</v>
      </c>
      <c r="X69" s="70" t="s">
        <v>686</v>
      </c>
      <c r="Y69" s="13"/>
      <c r="Z69" s="7"/>
      <c r="AA69" s="7" t="s">
        <v>759</v>
      </c>
      <c r="AB69" s="124"/>
      <c r="AC69" s="7"/>
      <c r="AD69" s="7" t="s">
        <v>833</v>
      </c>
      <c r="AE69" s="193" t="s">
        <v>833</v>
      </c>
      <c r="AF69" s="198"/>
    </row>
    <row r="70" spans="1:32" s="223" customFormat="1" ht="28.5" customHeight="1" x14ac:dyDescent="0.35">
      <c r="A70" s="203">
        <f t="shared" ref="A70:A100" si="5">A69+1</f>
        <v>65</v>
      </c>
      <c r="B70" s="214" t="s">
        <v>588</v>
      </c>
      <c r="C70" s="214" t="s">
        <v>588</v>
      </c>
      <c r="D70" s="207" t="s">
        <v>189</v>
      </c>
      <c r="E70" s="208"/>
      <c r="F70" s="208" t="s">
        <v>207</v>
      </c>
      <c r="G70" s="207" t="s">
        <v>188</v>
      </c>
      <c r="H70" s="207" t="s">
        <v>188</v>
      </c>
      <c r="I70" s="207"/>
      <c r="J70" s="207">
        <v>1</v>
      </c>
      <c r="K70" s="214"/>
      <c r="L70" s="214"/>
      <c r="M70" s="209">
        <v>45448</v>
      </c>
      <c r="N70" s="221"/>
      <c r="O70" s="203" t="s">
        <v>532</v>
      </c>
      <c r="P70" s="221"/>
      <c r="Q70" s="210">
        <v>45860</v>
      </c>
      <c r="R70" s="221"/>
      <c r="S70" s="210">
        <v>45900</v>
      </c>
      <c r="T70" s="211">
        <f t="shared" ca="1" si="4"/>
        <v>664</v>
      </c>
      <c r="U70" s="222" t="s">
        <v>593</v>
      </c>
      <c r="V70" s="221"/>
      <c r="W70" s="202" t="s">
        <v>584</v>
      </c>
      <c r="X70" s="203" t="s">
        <v>699</v>
      </c>
      <c r="Y70" s="221"/>
      <c r="Z70" s="203"/>
      <c r="AA70" s="203" t="s">
        <v>759</v>
      </c>
      <c r="AB70" s="203" t="s">
        <v>759</v>
      </c>
      <c r="AC70" s="203"/>
      <c r="AD70" s="203"/>
      <c r="AE70" s="203" t="s">
        <v>891</v>
      </c>
      <c r="AF70" s="213" t="s">
        <v>930</v>
      </c>
    </row>
    <row r="71" spans="1:32" s="223" customFormat="1" ht="22" customHeight="1" x14ac:dyDescent="0.35">
      <c r="A71" s="203">
        <f t="shared" si="5"/>
        <v>66</v>
      </c>
      <c r="B71" s="214" t="s">
        <v>588</v>
      </c>
      <c r="C71" s="214" t="s">
        <v>588</v>
      </c>
      <c r="D71" s="207" t="s">
        <v>208</v>
      </c>
      <c r="E71" s="208"/>
      <c r="F71" s="208" t="s">
        <v>209</v>
      </c>
      <c r="G71" s="207" t="s">
        <v>188</v>
      </c>
      <c r="H71" s="207" t="s">
        <v>188</v>
      </c>
      <c r="I71" s="207"/>
      <c r="J71" s="207">
        <v>1</v>
      </c>
      <c r="K71" s="214"/>
      <c r="L71" s="214"/>
      <c r="M71" s="209">
        <v>45448</v>
      </c>
      <c r="N71" s="221"/>
      <c r="O71" s="203" t="s">
        <v>532</v>
      </c>
      <c r="P71" s="221"/>
      <c r="Q71" s="210">
        <v>45860</v>
      </c>
      <c r="R71" s="221"/>
      <c r="S71" s="210">
        <v>45900</v>
      </c>
      <c r="T71" s="211">
        <f t="shared" ca="1" si="4"/>
        <v>664</v>
      </c>
      <c r="U71" s="222" t="s">
        <v>593</v>
      </c>
      <c r="V71" s="221"/>
      <c r="W71" s="202" t="s">
        <v>584</v>
      </c>
      <c r="X71" s="203" t="s">
        <v>700</v>
      </c>
      <c r="Y71" s="221"/>
      <c r="Z71" s="203"/>
      <c r="AA71" s="203" t="s">
        <v>759</v>
      </c>
      <c r="AB71" s="203" t="s">
        <v>759</v>
      </c>
      <c r="AC71" s="203"/>
      <c r="AD71" s="203"/>
      <c r="AE71" s="203" t="s">
        <v>891</v>
      </c>
      <c r="AF71" s="213" t="s">
        <v>930</v>
      </c>
    </row>
    <row r="72" spans="1:32" s="223" customFormat="1" ht="43.5" x14ac:dyDescent="0.35">
      <c r="A72" s="203">
        <f t="shared" si="5"/>
        <v>67</v>
      </c>
      <c r="B72" s="214" t="s">
        <v>588</v>
      </c>
      <c r="C72" s="214" t="s">
        <v>588</v>
      </c>
      <c r="D72" s="207" t="s">
        <v>189</v>
      </c>
      <c r="E72" s="208"/>
      <c r="F72" s="208" t="s">
        <v>210</v>
      </c>
      <c r="G72" s="207" t="s">
        <v>188</v>
      </c>
      <c r="H72" s="207" t="s">
        <v>188</v>
      </c>
      <c r="I72" s="207"/>
      <c r="J72" s="207">
        <v>1</v>
      </c>
      <c r="K72" s="214"/>
      <c r="L72" s="214"/>
      <c r="M72" s="209">
        <v>45448</v>
      </c>
      <c r="N72" s="221"/>
      <c r="O72" s="203" t="s">
        <v>532</v>
      </c>
      <c r="P72" s="221"/>
      <c r="Q72" s="210">
        <v>45860</v>
      </c>
      <c r="R72" s="221"/>
      <c r="S72" s="210">
        <v>45900</v>
      </c>
      <c r="T72" s="211">
        <f t="shared" ca="1" si="4"/>
        <v>664</v>
      </c>
      <c r="U72" s="222" t="s">
        <v>593</v>
      </c>
      <c r="V72" s="221"/>
      <c r="W72" s="202" t="s">
        <v>584</v>
      </c>
      <c r="X72" s="203" t="s">
        <v>701</v>
      </c>
      <c r="Y72" s="221"/>
      <c r="Z72" s="203" t="s">
        <v>737</v>
      </c>
      <c r="AA72" s="203"/>
      <c r="AB72" s="203" t="s">
        <v>737</v>
      </c>
      <c r="AC72" s="203" t="s">
        <v>816</v>
      </c>
      <c r="AD72" s="203" t="s">
        <v>831</v>
      </c>
      <c r="AE72" s="203" t="s">
        <v>934</v>
      </c>
      <c r="AF72" s="213" t="s">
        <v>931</v>
      </c>
    </row>
    <row r="73" spans="1:32" s="1" customFormat="1" ht="43.5" hidden="1" x14ac:dyDescent="0.35">
      <c r="A73" s="138">
        <f t="shared" si="5"/>
        <v>68</v>
      </c>
      <c r="B73" s="39" t="s">
        <v>589</v>
      </c>
      <c r="C73" s="39" t="s">
        <v>589</v>
      </c>
      <c r="D73" s="25" t="s">
        <v>191</v>
      </c>
      <c r="E73" s="40"/>
      <c r="F73" s="40" t="s">
        <v>211</v>
      </c>
      <c r="G73" s="25" t="s">
        <v>188</v>
      </c>
      <c r="H73" s="25" t="s">
        <v>188</v>
      </c>
      <c r="I73" s="25"/>
      <c r="J73" s="25">
        <v>1</v>
      </c>
      <c r="K73" s="39"/>
      <c r="L73" s="39"/>
      <c r="M73" s="37">
        <v>45448</v>
      </c>
      <c r="N73" s="13"/>
      <c r="O73" s="7" t="s">
        <v>532</v>
      </c>
      <c r="P73" s="13"/>
      <c r="Q73" s="9">
        <v>45860</v>
      </c>
      <c r="R73" s="13"/>
      <c r="S73" s="9">
        <v>45900</v>
      </c>
      <c r="T73" s="11">
        <f t="shared" ca="1" si="4"/>
        <v>664</v>
      </c>
      <c r="U73" s="141" t="s">
        <v>585</v>
      </c>
      <c r="V73" s="13"/>
      <c r="W73" s="160" t="s">
        <v>584</v>
      </c>
      <c r="X73" s="70" t="s">
        <v>686</v>
      </c>
      <c r="Y73" s="7" t="s">
        <v>728</v>
      </c>
      <c r="Z73" s="7"/>
      <c r="AA73" s="7" t="s">
        <v>759</v>
      </c>
      <c r="AB73" s="7" t="s">
        <v>759</v>
      </c>
      <c r="AC73" s="7"/>
      <c r="AD73" s="7"/>
      <c r="AE73" s="203" t="s">
        <v>831</v>
      </c>
      <c r="AF73" s="213" t="s">
        <v>931</v>
      </c>
    </row>
    <row r="74" spans="1:32" s="1" customFormat="1" ht="43.5" hidden="1" x14ac:dyDescent="0.35">
      <c r="A74" s="138">
        <f t="shared" si="5"/>
        <v>69</v>
      </c>
      <c r="B74" s="39" t="s">
        <v>588</v>
      </c>
      <c r="C74" s="39" t="s">
        <v>588</v>
      </c>
      <c r="D74" s="25" t="s">
        <v>214</v>
      </c>
      <c r="E74" s="40"/>
      <c r="F74" s="40" t="s">
        <v>215</v>
      </c>
      <c r="G74" s="25" t="s">
        <v>188</v>
      </c>
      <c r="H74" s="25" t="s">
        <v>188</v>
      </c>
      <c r="I74" s="25"/>
      <c r="J74" s="25">
        <v>1</v>
      </c>
      <c r="K74" s="39"/>
      <c r="L74" s="39"/>
      <c r="M74" s="37">
        <v>45448</v>
      </c>
      <c r="N74" s="13"/>
      <c r="O74" s="7" t="s">
        <v>532</v>
      </c>
      <c r="P74" s="13"/>
      <c r="Q74" s="9">
        <v>45860</v>
      </c>
      <c r="R74" s="13"/>
      <c r="S74" s="9">
        <v>45900</v>
      </c>
      <c r="T74" s="11">
        <f t="shared" ca="1" si="4"/>
        <v>664</v>
      </c>
      <c r="U74" s="97" t="s">
        <v>593</v>
      </c>
      <c r="V74" s="13"/>
      <c r="W74" s="160" t="s">
        <v>584</v>
      </c>
      <c r="X74" s="7" t="s">
        <v>702</v>
      </c>
      <c r="Y74" s="13"/>
      <c r="Z74" s="7"/>
      <c r="AA74" s="7" t="s">
        <v>759</v>
      </c>
      <c r="AB74" s="7" t="s">
        <v>759</v>
      </c>
      <c r="AC74" s="7"/>
      <c r="AD74" s="7"/>
      <c r="AE74" s="203" t="s">
        <v>831</v>
      </c>
      <c r="AF74" s="213" t="s">
        <v>931</v>
      </c>
    </row>
    <row r="75" spans="1:32" s="1" customFormat="1" ht="43.5" hidden="1" x14ac:dyDescent="0.35">
      <c r="A75" s="138">
        <f t="shared" si="5"/>
        <v>70</v>
      </c>
      <c r="B75" s="39" t="s">
        <v>588</v>
      </c>
      <c r="C75" s="39" t="s">
        <v>588</v>
      </c>
      <c r="D75" s="25" t="s">
        <v>214</v>
      </c>
      <c r="E75" s="40"/>
      <c r="F75" s="40" t="s">
        <v>216</v>
      </c>
      <c r="G75" s="25" t="s">
        <v>188</v>
      </c>
      <c r="H75" s="25" t="s">
        <v>188</v>
      </c>
      <c r="I75" s="25"/>
      <c r="J75" s="25">
        <v>1</v>
      </c>
      <c r="K75" s="39"/>
      <c r="L75" s="39"/>
      <c r="M75" s="37">
        <v>45448</v>
      </c>
      <c r="N75" s="13"/>
      <c r="O75" s="7" t="s">
        <v>532</v>
      </c>
      <c r="P75" s="13"/>
      <c r="Q75" s="9">
        <v>45860</v>
      </c>
      <c r="R75" s="13"/>
      <c r="S75" s="9">
        <v>45900</v>
      </c>
      <c r="T75" s="11">
        <f t="shared" ca="1" si="4"/>
        <v>664</v>
      </c>
      <c r="U75" s="97" t="s">
        <v>593</v>
      </c>
      <c r="V75" s="13"/>
      <c r="W75" s="160" t="s">
        <v>584</v>
      </c>
      <c r="X75" s="7" t="s">
        <v>703</v>
      </c>
      <c r="Y75" s="13"/>
      <c r="Z75" s="7"/>
      <c r="AA75" s="7" t="s">
        <v>759</v>
      </c>
      <c r="AB75" s="7" t="s">
        <v>759</v>
      </c>
      <c r="AC75" s="7"/>
      <c r="AD75" s="7"/>
      <c r="AE75" s="203" t="s">
        <v>831</v>
      </c>
      <c r="AF75" s="213" t="s">
        <v>931</v>
      </c>
    </row>
    <row r="76" spans="1:32" s="1" customFormat="1" ht="43.5" hidden="1" x14ac:dyDescent="0.35">
      <c r="A76" s="138">
        <f t="shared" si="5"/>
        <v>71</v>
      </c>
      <c r="B76" s="39" t="s">
        <v>588</v>
      </c>
      <c r="C76" s="39" t="s">
        <v>588</v>
      </c>
      <c r="D76" s="25" t="s">
        <v>214</v>
      </c>
      <c r="E76" s="40"/>
      <c r="F76" s="40" t="s">
        <v>217</v>
      </c>
      <c r="G76" s="25" t="s">
        <v>188</v>
      </c>
      <c r="H76" s="25" t="s">
        <v>188</v>
      </c>
      <c r="I76" s="25"/>
      <c r="J76" s="25">
        <v>1</v>
      </c>
      <c r="K76" s="39"/>
      <c r="L76" s="39"/>
      <c r="M76" s="37">
        <v>45448</v>
      </c>
      <c r="N76" s="13"/>
      <c r="O76" s="7" t="s">
        <v>532</v>
      </c>
      <c r="P76" s="13"/>
      <c r="Q76" s="9">
        <v>45860</v>
      </c>
      <c r="R76" s="13"/>
      <c r="S76" s="9">
        <v>45900</v>
      </c>
      <c r="T76" s="11">
        <f t="shared" ca="1" si="4"/>
        <v>664</v>
      </c>
      <c r="U76" s="97" t="s">
        <v>593</v>
      </c>
      <c r="V76" s="13"/>
      <c r="W76" s="160" t="s">
        <v>584</v>
      </c>
      <c r="X76" s="7" t="s">
        <v>704</v>
      </c>
      <c r="Y76" s="13"/>
      <c r="Z76" s="7"/>
      <c r="AA76" s="7" t="s">
        <v>759</v>
      </c>
      <c r="AB76" s="7" t="s">
        <v>759</v>
      </c>
      <c r="AC76" s="7"/>
      <c r="AD76" s="7"/>
      <c r="AE76" s="203" t="s">
        <v>831</v>
      </c>
      <c r="AF76" s="213" t="s">
        <v>931</v>
      </c>
    </row>
    <row r="77" spans="1:32" s="1" customFormat="1" ht="43.5" hidden="1" x14ac:dyDescent="0.35">
      <c r="A77" s="138">
        <f t="shared" si="5"/>
        <v>72</v>
      </c>
      <c r="B77" s="39" t="s">
        <v>588</v>
      </c>
      <c r="C77" s="39" t="s">
        <v>588</v>
      </c>
      <c r="D77" s="25" t="s">
        <v>214</v>
      </c>
      <c r="E77" s="40"/>
      <c r="F77" s="40" t="s">
        <v>218</v>
      </c>
      <c r="G77" s="25" t="s">
        <v>188</v>
      </c>
      <c r="H77" s="25" t="s">
        <v>188</v>
      </c>
      <c r="I77" s="25"/>
      <c r="J77" s="25">
        <v>1</v>
      </c>
      <c r="K77" s="39"/>
      <c r="L77" s="39"/>
      <c r="M77" s="37">
        <v>45448</v>
      </c>
      <c r="N77" s="13"/>
      <c r="O77" s="7" t="s">
        <v>532</v>
      </c>
      <c r="P77" s="13"/>
      <c r="Q77" s="9">
        <v>45860</v>
      </c>
      <c r="R77" s="13"/>
      <c r="S77" s="9">
        <v>45900</v>
      </c>
      <c r="T77" s="11">
        <f t="shared" ca="1" si="4"/>
        <v>664</v>
      </c>
      <c r="U77" s="97" t="s">
        <v>593</v>
      </c>
      <c r="V77" s="13"/>
      <c r="W77" s="160" t="s">
        <v>584</v>
      </c>
      <c r="X77" s="7" t="s">
        <v>705</v>
      </c>
      <c r="Y77" s="13"/>
      <c r="Z77" s="7"/>
      <c r="AA77" s="7" t="s">
        <v>759</v>
      </c>
      <c r="AB77" s="7" t="s">
        <v>759</v>
      </c>
      <c r="AC77" s="7"/>
      <c r="AD77" s="7"/>
      <c r="AE77" s="203" t="s">
        <v>831</v>
      </c>
      <c r="AF77" s="213" t="s">
        <v>931</v>
      </c>
    </row>
    <row r="78" spans="1:32" s="1" customFormat="1" ht="43.5" hidden="1" x14ac:dyDescent="0.35">
      <c r="A78" s="138">
        <f t="shared" si="5"/>
        <v>73</v>
      </c>
      <c r="B78" s="39" t="s">
        <v>588</v>
      </c>
      <c r="C78" s="39" t="s">
        <v>588</v>
      </c>
      <c r="D78" s="25" t="s">
        <v>232</v>
      </c>
      <c r="E78" s="40"/>
      <c r="F78" s="40">
        <v>4063128</v>
      </c>
      <c r="G78" s="25" t="s">
        <v>188</v>
      </c>
      <c r="H78" s="25" t="s">
        <v>188</v>
      </c>
      <c r="I78" s="25"/>
      <c r="J78" s="25">
        <v>1</v>
      </c>
      <c r="K78" s="39"/>
      <c r="L78" s="39"/>
      <c r="M78" s="37">
        <v>45448</v>
      </c>
      <c r="N78" s="13"/>
      <c r="O78" s="7" t="s">
        <v>532</v>
      </c>
      <c r="P78" s="13"/>
      <c r="Q78" s="9">
        <v>45860</v>
      </c>
      <c r="R78" s="13"/>
      <c r="S78" s="9">
        <v>45900</v>
      </c>
      <c r="T78" s="11">
        <f t="shared" ca="1" si="4"/>
        <v>664</v>
      </c>
      <c r="U78" s="97" t="s">
        <v>593</v>
      </c>
      <c r="V78" s="13"/>
      <c r="W78" s="160" t="s">
        <v>584</v>
      </c>
      <c r="X78" s="7" t="s">
        <v>706</v>
      </c>
      <c r="Y78" s="13"/>
      <c r="Z78" s="7"/>
      <c r="AA78" s="7" t="s">
        <v>759</v>
      </c>
      <c r="AB78" s="7" t="s">
        <v>759</v>
      </c>
      <c r="AC78" s="7"/>
      <c r="AD78" s="7"/>
      <c r="AE78" s="203" t="s">
        <v>831</v>
      </c>
      <c r="AF78" s="213" t="s">
        <v>931</v>
      </c>
    </row>
    <row r="79" spans="1:32" s="1" customFormat="1" ht="43.5" hidden="1" x14ac:dyDescent="0.35">
      <c r="A79" s="138">
        <f t="shared" si="5"/>
        <v>74</v>
      </c>
      <c r="B79" s="39" t="s">
        <v>588</v>
      </c>
      <c r="C79" s="39" t="s">
        <v>588</v>
      </c>
      <c r="D79" s="25" t="s">
        <v>239</v>
      </c>
      <c r="E79" s="40"/>
      <c r="F79" s="40" t="s">
        <v>241</v>
      </c>
      <c r="G79" s="25" t="s">
        <v>188</v>
      </c>
      <c r="H79" s="25" t="s">
        <v>188</v>
      </c>
      <c r="I79" s="25"/>
      <c r="J79" s="25">
        <v>1</v>
      </c>
      <c r="K79" s="39"/>
      <c r="L79" s="39"/>
      <c r="M79" s="37">
        <v>45448</v>
      </c>
      <c r="N79" s="13"/>
      <c r="O79" s="7" t="s">
        <v>532</v>
      </c>
      <c r="P79" s="13"/>
      <c r="Q79" s="9">
        <v>45860</v>
      </c>
      <c r="R79" s="13"/>
      <c r="S79" s="9">
        <v>45900</v>
      </c>
      <c r="T79" s="11">
        <f t="shared" ca="1" si="4"/>
        <v>664</v>
      </c>
      <c r="U79" s="97" t="s">
        <v>593</v>
      </c>
      <c r="V79" s="13"/>
      <c r="W79" s="160" t="s">
        <v>584</v>
      </c>
      <c r="X79" s="7" t="s">
        <v>707</v>
      </c>
      <c r="Y79" s="13"/>
      <c r="Z79" s="7"/>
      <c r="AA79" s="7" t="s">
        <v>759</v>
      </c>
      <c r="AB79" s="7" t="s">
        <v>759</v>
      </c>
      <c r="AC79" s="7"/>
      <c r="AD79" s="7"/>
      <c r="AE79" s="203" t="s">
        <v>831</v>
      </c>
      <c r="AF79" s="213" t="s">
        <v>931</v>
      </c>
    </row>
    <row r="80" spans="1:32" s="1" customFormat="1" ht="43.5" hidden="1" x14ac:dyDescent="0.35">
      <c r="A80" s="138">
        <f t="shared" si="5"/>
        <v>75</v>
      </c>
      <c r="B80" s="39" t="s">
        <v>588</v>
      </c>
      <c r="C80" s="39" t="s">
        <v>588</v>
      </c>
      <c r="D80" s="25" t="s">
        <v>239</v>
      </c>
      <c r="E80" s="40"/>
      <c r="F80" s="40" t="s">
        <v>242</v>
      </c>
      <c r="G80" s="25" t="s">
        <v>188</v>
      </c>
      <c r="H80" s="25" t="s">
        <v>188</v>
      </c>
      <c r="I80" s="25"/>
      <c r="J80" s="25">
        <v>1</v>
      </c>
      <c r="K80" s="39"/>
      <c r="L80" s="39"/>
      <c r="M80" s="37">
        <v>45448</v>
      </c>
      <c r="N80" s="13"/>
      <c r="O80" s="7" t="s">
        <v>532</v>
      </c>
      <c r="P80" s="13"/>
      <c r="Q80" s="9">
        <v>45860</v>
      </c>
      <c r="R80" s="13"/>
      <c r="S80" s="9">
        <v>45900</v>
      </c>
      <c r="T80" s="11">
        <f t="shared" ca="1" si="4"/>
        <v>664</v>
      </c>
      <c r="U80" s="97" t="s">
        <v>593</v>
      </c>
      <c r="V80" s="13"/>
      <c r="W80" s="160" t="s">
        <v>584</v>
      </c>
      <c r="X80" s="7" t="s">
        <v>708</v>
      </c>
      <c r="Y80" s="13"/>
      <c r="Z80" s="7"/>
      <c r="AA80" s="7" t="s">
        <v>759</v>
      </c>
      <c r="AB80" s="7" t="s">
        <v>759</v>
      </c>
      <c r="AC80" s="7"/>
      <c r="AD80" s="7"/>
      <c r="AE80" s="203" t="s">
        <v>831</v>
      </c>
      <c r="AF80" s="213" t="s">
        <v>931</v>
      </c>
    </row>
    <row r="81" spans="1:32" s="1" customFormat="1" ht="43.5" hidden="1" x14ac:dyDescent="0.35">
      <c r="A81" s="138">
        <f t="shared" si="5"/>
        <v>76</v>
      </c>
      <c r="B81" s="39" t="s">
        <v>588</v>
      </c>
      <c r="C81" s="39" t="s">
        <v>588</v>
      </c>
      <c r="D81" s="25" t="s">
        <v>239</v>
      </c>
      <c r="E81" s="40"/>
      <c r="F81" s="40" t="s">
        <v>243</v>
      </c>
      <c r="G81" s="25" t="s">
        <v>188</v>
      </c>
      <c r="H81" s="25" t="s">
        <v>188</v>
      </c>
      <c r="I81" s="25"/>
      <c r="J81" s="25">
        <v>1</v>
      </c>
      <c r="K81" s="39"/>
      <c r="L81" s="39"/>
      <c r="M81" s="37">
        <v>45448</v>
      </c>
      <c r="N81" s="13"/>
      <c r="O81" s="7" t="s">
        <v>532</v>
      </c>
      <c r="P81" s="13"/>
      <c r="Q81" s="9">
        <v>45860</v>
      </c>
      <c r="R81" s="13"/>
      <c r="S81" s="9">
        <v>45900</v>
      </c>
      <c r="T81" s="11">
        <f t="shared" ca="1" si="4"/>
        <v>664</v>
      </c>
      <c r="U81" s="97" t="s">
        <v>593</v>
      </c>
      <c r="V81" s="13"/>
      <c r="W81" s="160" t="s">
        <v>584</v>
      </c>
      <c r="X81" s="7" t="s">
        <v>709</v>
      </c>
      <c r="Y81" s="13"/>
      <c r="Z81" s="7"/>
      <c r="AA81" s="7" t="s">
        <v>759</v>
      </c>
      <c r="AB81" s="7" t="s">
        <v>759</v>
      </c>
      <c r="AC81" s="7"/>
      <c r="AD81" s="7"/>
      <c r="AE81" s="203" t="s">
        <v>831</v>
      </c>
      <c r="AF81" s="213" t="s">
        <v>931</v>
      </c>
    </row>
    <row r="82" spans="1:32" s="223" customFormat="1" ht="40" customHeight="1" x14ac:dyDescent="0.35">
      <c r="A82" s="203">
        <f t="shared" si="5"/>
        <v>77</v>
      </c>
      <c r="B82" s="214" t="s">
        <v>588</v>
      </c>
      <c r="C82" s="214" t="s">
        <v>588</v>
      </c>
      <c r="D82" s="207" t="s">
        <v>245</v>
      </c>
      <c r="E82" s="208"/>
      <c r="F82" s="208" t="s">
        <v>246</v>
      </c>
      <c r="G82" s="207" t="s">
        <v>188</v>
      </c>
      <c r="H82" s="207" t="s">
        <v>188</v>
      </c>
      <c r="I82" s="207"/>
      <c r="J82" s="207">
        <v>1</v>
      </c>
      <c r="K82" s="214"/>
      <c r="L82" s="214"/>
      <c r="M82" s="209">
        <v>45448</v>
      </c>
      <c r="N82" s="221"/>
      <c r="O82" s="203" t="s">
        <v>532</v>
      </c>
      <c r="P82" s="221"/>
      <c r="Q82" s="210">
        <v>45860</v>
      </c>
      <c r="R82" s="221"/>
      <c r="S82" s="210">
        <v>45900</v>
      </c>
      <c r="T82" s="211">
        <f t="shared" ca="1" si="4"/>
        <v>664</v>
      </c>
      <c r="U82" s="222" t="s">
        <v>593</v>
      </c>
      <c r="V82" s="221"/>
      <c r="W82" s="202" t="s">
        <v>584</v>
      </c>
      <c r="X82" s="203" t="s">
        <v>710</v>
      </c>
      <c r="Y82" s="221"/>
      <c r="Z82" s="203"/>
      <c r="AA82" s="203" t="s">
        <v>759</v>
      </c>
      <c r="AB82" s="203" t="s">
        <v>759</v>
      </c>
      <c r="AC82" s="203"/>
      <c r="AD82" s="203"/>
      <c r="AE82" s="203" t="s">
        <v>831</v>
      </c>
      <c r="AF82" s="213" t="s">
        <v>931</v>
      </c>
    </row>
    <row r="83" spans="1:32" s="223" customFormat="1" ht="17.5" customHeight="1" x14ac:dyDescent="0.35">
      <c r="A83" s="203">
        <f t="shared" si="5"/>
        <v>78</v>
      </c>
      <c r="B83" s="214" t="s">
        <v>588</v>
      </c>
      <c r="C83" s="214" t="s">
        <v>588</v>
      </c>
      <c r="D83" s="207" t="s">
        <v>245</v>
      </c>
      <c r="E83" s="208"/>
      <c r="F83" s="208" t="s">
        <v>247</v>
      </c>
      <c r="G83" s="207" t="s">
        <v>188</v>
      </c>
      <c r="H83" s="207" t="s">
        <v>188</v>
      </c>
      <c r="I83" s="207"/>
      <c r="J83" s="207">
        <v>1</v>
      </c>
      <c r="K83" s="214"/>
      <c r="L83" s="214"/>
      <c r="M83" s="209">
        <v>45448</v>
      </c>
      <c r="N83" s="221"/>
      <c r="O83" s="203" t="s">
        <v>532</v>
      </c>
      <c r="P83" s="221"/>
      <c r="Q83" s="210">
        <v>45860</v>
      </c>
      <c r="R83" s="221"/>
      <c r="S83" s="210">
        <v>45900</v>
      </c>
      <c r="T83" s="211">
        <f t="shared" ca="1" si="4"/>
        <v>664</v>
      </c>
      <c r="U83" s="222" t="s">
        <v>593</v>
      </c>
      <c r="V83" s="221"/>
      <c r="W83" s="202" t="s">
        <v>584</v>
      </c>
      <c r="X83" s="203" t="s">
        <v>711</v>
      </c>
      <c r="Y83" s="221"/>
      <c r="Z83" s="203"/>
      <c r="AA83" s="203" t="s">
        <v>759</v>
      </c>
      <c r="AB83" s="203" t="s">
        <v>759</v>
      </c>
      <c r="AC83" s="203"/>
      <c r="AD83" s="203"/>
      <c r="AE83" s="203" t="s">
        <v>891</v>
      </c>
      <c r="AF83" s="213" t="s">
        <v>930</v>
      </c>
    </row>
    <row r="84" spans="1:32" s="223" customFormat="1" ht="22.5" customHeight="1" x14ac:dyDescent="0.35">
      <c r="A84" s="203">
        <f t="shared" si="5"/>
        <v>79</v>
      </c>
      <c r="B84" s="214" t="s">
        <v>588</v>
      </c>
      <c r="C84" s="214" t="s">
        <v>588</v>
      </c>
      <c r="D84" s="207" t="s">
        <v>245</v>
      </c>
      <c r="E84" s="208"/>
      <c r="F84" s="208" t="s">
        <v>248</v>
      </c>
      <c r="G84" s="207" t="s">
        <v>188</v>
      </c>
      <c r="H84" s="207" t="s">
        <v>188</v>
      </c>
      <c r="I84" s="207"/>
      <c r="J84" s="207">
        <v>1</v>
      </c>
      <c r="K84" s="214"/>
      <c r="L84" s="214"/>
      <c r="M84" s="209">
        <v>45448</v>
      </c>
      <c r="N84" s="221"/>
      <c r="O84" s="203" t="s">
        <v>532</v>
      </c>
      <c r="P84" s="221"/>
      <c r="Q84" s="210">
        <v>45860</v>
      </c>
      <c r="R84" s="221"/>
      <c r="S84" s="210">
        <v>45900</v>
      </c>
      <c r="T84" s="211">
        <f t="shared" ca="1" si="4"/>
        <v>664</v>
      </c>
      <c r="U84" s="222" t="s">
        <v>593</v>
      </c>
      <c r="V84" s="221"/>
      <c r="W84" s="202" t="s">
        <v>584</v>
      </c>
      <c r="X84" s="203" t="s">
        <v>712</v>
      </c>
      <c r="Y84" s="221"/>
      <c r="Z84" s="203"/>
      <c r="AA84" s="203" t="s">
        <v>759</v>
      </c>
      <c r="AB84" s="203" t="s">
        <v>759</v>
      </c>
      <c r="AC84" s="203"/>
      <c r="AD84" s="203"/>
      <c r="AE84" s="203" t="s">
        <v>891</v>
      </c>
      <c r="AF84" s="213" t="s">
        <v>930</v>
      </c>
    </row>
    <row r="85" spans="1:32" s="213" customFormat="1" ht="25" customHeight="1" x14ac:dyDescent="0.35">
      <c r="A85" s="203">
        <f t="shared" si="5"/>
        <v>80</v>
      </c>
      <c r="B85" s="203" t="s">
        <v>588</v>
      </c>
      <c r="C85" s="203" t="s">
        <v>588</v>
      </c>
      <c r="D85" s="207" t="s">
        <v>245</v>
      </c>
      <c r="E85" s="208"/>
      <c r="F85" s="208" t="s">
        <v>249</v>
      </c>
      <c r="G85" s="207" t="s">
        <v>188</v>
      </c>
      <c r="H85" s="207" t="s">
        <v>188</v>
      </c>
      <c r="I85" s="207"/>
      <c r="J85" s="207">
        <v>1</v>
      </c>
      <c r="K85" s="203"/>
      <c r="L85" s="203"/>
      <c r="M85" s="209">
        <v>45448</v>
      </c>
      <c r="N85" s="203"/>
      <c r="O85" s="203" t="s">
        <v>532</v>
      </c>
      <c r="P85" s="203"/>
      <c r="Q85" s="210">
        <v>45860</v>
      </c>
      <c r="R85" s="203"/>
      <c r="S85" s="210">
        <v>45900</v>
      </c>
      <c r="T85" s="211">
        <f t="shared" ca="1" si="4"/>
        <v>664</v>
      </c>
      <c r="U85" s="212" t="s">
        <v>593</v>
      </c>
      <c r="V85" s="203"/>
      <c r="W85" s="202" t="s">
        <v>584</v>
      </c>
      <c r="X85" s="203" t="s">
        <v>713</v>
      </c>
      <c r="Y85" s="203"/>
      <c r="Z85" s="203"/>
      <c r="AA85" s="203" t="s">
        <v>759</v>
      </c>
      <c r="AB85" s="203" t="s">
        <v>759</v>
      </c>
      <c r="AC85" s="203"/>
      <c r="AD85" s="203"/>
      <c r="AE85" s="203" t="s">
        <v>891</v>
      </c>
      <c r="AF85" s="213" t="s">
        <v>930</v>
      </c>
    </row>
    <row r="86" spans="1:32" s="232" customFormat="1" ht="43.5" x14ac:dyDescent="0.35">
      <c r="A86" s="70">
        <f t="shared" si="5"/>
        <v>81</v>
      </c>
      <c r="B86" s="227" t="s">
        <v>589</v>
      </c>
      <c r="C86" s="227" t="s">
        <v>589</v>
      </c>
      <c r="D86" s="26" t="s">
        <v>277</v>
      </c>
      <c r="E86" s="228"/>
      <c r="F86" s="228" t="s">
        <v>278</v>
      </c>
      <c r="G86" s="26" t="s">
        <v>188</v>
      </c>
      <c r="H86" s="26" t="s">
        <v>188</v>
      </c>
      <c r="I86" s="26"/>
      <c r="J86" s="26">
        <v>1</v>
      </c>
      <c r="K86" s="227"/>
      <c r="L86" s="227"/>
      <c r="M86" s="229">
        <v>45448</v>
      </c>
      <c r="N86" s="156"/>
      <c r="O86" s="70" t="s">
        <v>532</v>
      </c>
      <c r="P86" s="156"/>
      <c r="Q86" s="69">
        <v>45860</v>
      </c>
      <c r="R86" s="156"/>
      <c r="S86" s="69">
        <v>45900</v>
      </c>
      <c r="T86" s="230">
        <f t="shared" ca="1" si="4"/>
        <v>664</v>
      </c>
      <c r="U86" s="140" t="s">
        <v>586</v>
      </c>
      <c r="V86" s="156"/>
      <c r="W86" s="231" t="s">
        <v>584</v>
      </c>
      <c r="X86" s="70" t="s">
        <v>686</v>
      </c>
      <c r="Y86" s="156"/>
      <c r="Z86" s="70"/>
      <c r="AA86" s="70" t="s">
        <v>759</v>
      </c>
      <c r="AB86" s="70" t="s">
        <v>759</v>
      </c>
      <c r="AC86" s="70" t="s">
        <v>788</v>
      </c>
      <c r="AD86" s="70" t="s">
        <v>849</v>
      </c>
      <c r="AE86" s="70" t="s">
        <v>849</v>
      </c>
      <c r="AF86" s="226" t="s">
        <v>932</v>
      </c>
    </row>
    <row r="87" spans="1:32" s="232" customFormat="1" ht="29" customHeight="1" x14ac:dyDescent="0.35">
      <c r="A87" s="70">
        <f t="shared" si="5"/>
        <v>82</v>
      </c>
      <c r="B87" s="227" t="s">
        <v>589</v>
      </c>
      <c r="C87" s="227" t="s">
        <v>589</v>
      </c>
      <c r="D87" s="26" t="s">
        <v>277</v>
      </c>
      <c r="E87" s="228"/>
      <c r="F87" s="228" t="s">
        <v>279</v>
      </c>
      <c r="G87" s="26" t="s">
        <v>188</v>
      </c>
      <c r="H87" s="26" t="s">
        <v>188</v>
      </c>
      <c r="I87" s="26"/>
      <c r="J87" s="26">
        <v>1</v>
      </c>
      <c r="K87" s="227"/>
      <c r="L87" s="227"/>
      <c r="M87" s="229">
        <v>45448</v>
      </c>
      <c r="N87" s="156"/>
      <c r="O87" s="70" t="s">
        <v>532</v>
      </c>
      <c r="P87" s="156"/>
      <c r="Q87" s="69">
        <v>45860</v>
      </c>
      <c r="R87" s="156"/>
      <c r="S87" s="69">
        <v>45900</v>
      </c>
      <c r="T87" s="230">
        <f t="shared" ca="1" si="4"/>
        <v>664</v>
      </c>
      <c r="U87" s="140" t="s">
        <v>586</v>
      </c>
      <c r="V87" s="156"/>
      <c r="W87" s="231" t="s">
        <v>584</v>
      </c>
      <c r="X87" s="70" t="s">
        <v>686</v>
      </c>
      <c r="Y87" s="70" t="s">
        <v>730</v>
      </c>
      <c r="Z87" s="70"/>
      <c r="AA87" s="70" t="s">
        <v>759</v>
      </c>
      <c r="AB87" s="70" t="s">
        <v>759</v>
      </c>
      <c r="AC87" s="70"/>
      <c r="AD87" s="70" t="s">
        <v>849</v>
      </c>
      <c r="AE87" s="70" t="s">
        <v>849</v>
      </c>
      <c r="AF87" s="226" t="s">
        <v>932</v>
      </c>
    </row>
    <row r="88" spans="1:32" s="1" customFormat="1" ht="69" customHeight="1" x14ac:dyDescent="0.35">
      <c r="A88" s="138">
        <f t="shared" si="5"/>
        <v>83</v>
      </c>
      <c r="B88" s="39" t="s">
        <v>589</v>
      </c>
      <c r="C88" s="39" t="s">
        <v>589</v>
      </c>
      <c r="D88" s="18" t="s">
        <v>299</v>
      </c>
      <c r="E88" s="18" t="s">
        <v>294</v>
      </c>
      <c r="F88" s="18">
        <v>18</v>
      </c>
      <c r="G88" s="19"/>
      <c r="H88" s="19"/>
      <c r="I88" s="19" t="s">
        <v>300</v>
      </c>
      <c r="J88" s="30"/>
      <c r="K88" s="39"/>
      <c r="L88" s="39"/>
      <c r="M88" s="34" t="s">
        <v>301</v>
      </c>
      <c r="N88" s="13"/>
      <c r="O88" s="7" t="s">
        <v>532</v>
      </c>
      <c r="P88" s="13"/>
      <c r="Q88" s="9">
        <v>45860</v>
      </c>
      <c r="R88" s="13"/>
      <c r="S88" s="9">
        <v>45900</v>
      </c>
      <c r="T88" s="11" t="e">
        <f t="shared" ca="1" si="4"/>
        <v>#VALUE!</v>
      </c>
      <c r="U88" s="140" t="s">
        <v>687</v>
      </c>
      <c r="V88" s="13"/>
      <c r="W88" s="160" t="s">
        <v>584</v>
      </c>
      <c r="X88" s="44" t="s">
        <v>693</v>
      </c>
      <c r="Y88" s="7" t="s">
        <v>729</v>
      </c>
      <c r="Z88" s="7"/>
      <c r="AA88" s="7" t="s">
        <v>759</v>
      </c>
      <c r="AB88" s="7" t="s">
        <v>759</v>
      </c>
      <c r="AC88" s="7"/>
      <c r="AD88" s="184" t="s">
        <v>849</v>
      </c>
      <c r="AE88" s="193" t="s">
        <v>891</v>
      </c>
      <c r="AF88" s="198"/>
    </row>
    <row r="89" spans="1:32" s="1" customFormat="1" ht="101.5" x14ac:dyDescent="0.35">
      <c r="A89" s="138">
        <f t="shared" si="5"/>
        <v>84</v>
      </c>
      <c r="B89" s="39"/>
      <c r="C89" s="39"/>
      <c r="D89" s="25" t="s">
        <v>286</v>
      </c>
      <c r="E89" s="40"/>
      <c r="F89" s="40" t="s">
        <v>34</v>
      </c>
      <c r="G89" s="25" t="s">
        <v>188</v>
      </c>
      <c r="H89" s="25" t="s">
        <v>188</v>
      </c>
      <c r="I89" s="25"/>
      <c r="J89" s="25">
        <v>1</v>
      </c>
      <c r="K89" s="39"/>
      <c r="L89" s="39"/>
      <c r="M89" s="37">
        <v>45448</v>
      </c>
      <c r="N89" s="13"/>
      <c r="O89" s="7" t="s">
        <v>532</v>
      </c>
      <c r="P89" s="13"/>
      <c r="Q89" s="9">
        <v>45860</v>
      </c>
      <c r="R89" s="13"/>
      <c r="S89" s="9">
        <v>45900</v>
      </c>
      <c r="T89" s="11">
        <f t="shared" ca="1" si="4"/>
        <v>664</v>
      </c>
      <c r="U89" s="140" t="s">
        <v>571</v>
      </c>
      <c r="V89" s="13"/>
      <c r="W89" s="154"/>
      <c r="X89" s="44" t="s">
        <v>693</v>
      </c>
      <c r="Y89" s="13"/>
      <c r="Z89" s="7"/>
      <c r="AA89" s="7" t="s">
        <v>759</v>
      </c>
      <c r="AB89" s="53" t="s">
        <v>759</v>
      </c>
      <c r="AC89" s="7" t="s">
        <v>791</v>
      </c>
      <c r="AD89" s="137" t="s">
        <v>891</v>
      </c>
      <c r="AE89" s="137" t="s">
        <v>891</v>
      </c>
      <c r="AF89" s="198"/>
    </row>
    <row r="90" spans="1:32" s="1" customFormat="1" ht="43.5" hidden="1" x14ac:dyDescent="0.35">
      <c r="A90" s="137">
        <f t="shared" si="5"/>
        <v>85</v>
      </c>
      <c r="B90" s="39" t="s">
        <v>588</v>
      </c>
      <c r="C90" s="39" t="s">
        <v>588</v>
      </c>
      <c r="D90" s="18" t="s">
        <v>138</v>
      </c>
      <c r="E90" s="18" t="s">
        <v>313</v>
      </c>
      <c r="F90" s="18" t="s">
        <v>315</v>
      </c>
      <c r="G90" s="29"/>
      <c r="H90" s="29"/>
      <c r="I90" s="29"/>
      <c r="J90" s="30"/>
      <c r="K90" s="39"/>
      <c r="L90" s="39"/>
      <c r="M90" s="35">
        <v>45562</v>
      </c>
      <c r="N90" s="13"/>
      <c r="O90" s="7" t="s">
        <v>532</v>
      </c>
      <c r="P90" s="13"/>
      <c r="Q90" s="9">
        <v>45860</v>
      </c>
      <c r="R90" s="13"/>
      <c r="S90" s="9">
        <v>45900</v>
      </c>
      <c r="T90" s="11">
        <f t="shared" ca="1" si="4"/>
        <v>550</v>
      </c>
      <c r="U90" s="97" t="s">
        <v>593</v>
      </c>
      <c r="V90" s="13"/>
      <c r="W90" s="160" t="s">
        <v>584</v>
      </c>
      <c r="X90" s="7" t="s">
        <v>714</v>
      </c>
      <c r="Y90" s="13"/>
      <c r="Z90" s="7"/>
      <c r="AA90" s="7" t="s">
        <v>759</v>
      </c>
      <c r="AB90" s="53" t="s">
        <v>759</v>
      </c>
      <c r="AC90" s="7"/>
      <c r="AD90" s="184" t="s">
        <v>849</v>
      </c>
      <c r="AE90" s="193" t="s">
        <v>849</v>
      </c>
      <c r="AF90" s="198"/>
    </row>
    <row r="91" spans="1:32" s="1" customFormat="1" ht="43.5" x14ac:dyDescent="0.35">
      <c r="A91" s="138">
        <f t="shared" si="5"/>
        <v>86</v>
      </c>
      <c r="B91" s="39"/>
      <c r="C91" s="39"/>
      <c r="D91" s="18" t="s">
        <v>146</v>
      </c>
      <c r="E91" s="18" t="s">
        <v>147</v>
      </c>
      <c r="F91" s="18" t="s">
        <v>148</v>
      </c>
      <c r="G91" s="25"/>
      <c r="H91" s="23"/>
      <c r="I91" s="20" t="s">
        <v>149</v>
      </c>
      <c r="J91" s="20">
        <v>1</v>
      </c>
      <c r="K91" s="39"/>
      <c r="L91" s="39"/>
      <c r="M91" s="35">
        <v>45424</v>
      </c>
      <c r="N91" s="13"/>
      <c r="O91" s="7" t="s">
        <v>532</v>
      </c>
      <c r="P91" s="13"/>
      <c r="Q91" s="9">
        <v>45860</v>
      </c>
      <c r="R91" s="13"/>
      <c r="S91" s="9">
        <v>45900</v>
      </c>
      <c r="T91" s="11">
        <f t="shared" ca="1" si="4"/>
        <v>688</v>
      </c>
      <c r="U91" s="140" t="s">
        <v>572</v>
      </c>
      <c r="V91" s="13"/>
      <c r="W91" s="154"/>
      <c r="X91" s="44" t="s">
        <v>693</v>
      </c>
      <c r="Y91" s="13"/>
      <c r="Z91" s="7"/>
      <c r="AA91" s="7" t="s">
        <v>759</v>
      </c>
      <c r="AB91" s="53" t="s">
        <v>759</v>
      </c>
      <c r="AC91" s="7" t="s">
        <v>789</v>
      </c>
      <c r="AD91" s="137" t="s">
        <v>891</v>
      </c>
      <c r="AE91" s="137" t="s">
        <v>891</v>
      </c>
      <c r="AF91" s="198"/>
    </row>
    <row r="92" spans="1:32" s="1" customFormat="1" ht="43.5" x14ac:dyDescent="0.35">
      <c r="A92" s="138">
        <f t="shared" si="5"/>
        <v>87</v>
      </c>
      <c r="B92" s="39"/>
      <c r="C92" s="39"/>
      <c r="D92" s="18" t="s">
        <v>146</v>
      </c>
      <c r="E92" s="18" t="s">
        <v>147</v>
      </c>
      <c r="F92" s="18" t="s">
        <v>150</v>
      </c>
      <c r="G92" s="25"/>
      <c r="H92" s="23"/>
      <c r="I92" s="24" t="s">
        <v>149</v>
      </c>
      <c r="J92" s="20">
        <v>1</v>
      </c>
      <c r="K92" s="39"/>
      <c r="L92" s="39"/>
      <c r="M92" s="35">
        <v>45424</v>
      </c>
      <c r="N92" s="13"/>
      <c r="O92" s="7" t="s">
        <v>532</v>
      </c>
      <c r="P92" s="13"/>
      <c r="Q92" s="9">
        <v>45860</v>
      </c>
      <c r="R92" s="13"/>
      <c r="S92" s="9">
        <v>45900</v>
      </c>
      <c r="T92" s="11">
        <f t="shared" ca="1" si="4"/>
        <v>688</v>
      </c>
      <c r="U92" s="140" t="s">
        <v>572</v>
      </c>
      <c r="V92" s="13"/>
      <c r="W92" s="154"/>
      <c r="X92" s="44" t="s">
        <v>693</v>
      </c>
      <c r="Y92" s="13"/>
      <c r="Z92" s="7"/>
      <c r="AA92" s="7" t="s">
        <v>759</v>
      </c>
      <c r="AB92" s="53" t="s">
        <v>759</v>
      </c>
      <c r="AC92" s="7" t="s">
        <v>790</v>
      </c>
      <c r="AD92" s="137" t="s">
        <v>891</v>
      </c>
      <c r="AE92" s="137" t="s">
        <v>891</v>
      </c>
      <c r="AF92" s="198"/>
    </row>
    <row r="93" spans="1:32" s="1" customFormat="1" ht="43.5" hidden="1" x14ac:dyDescent="0.35">
      <c r="A93" s="137">
        <f t="shared" si="5"/>
        <v>88</v>
      </c>
      <c r="B93" s="39" t="s">
        <v>588</v>
      </c>
      <c r="C93" s="39" t="s">
        <v>588</v>
      </c>
      <c r="D93" s="18" t="s">
        <v>138</v>
      </c>
      <c r="E93" s="18" t="s">
        <v>313</v>
      </c>
      <c r="F93" s="18" t="s">
        <v>316</v>
      </c>
      <c r="G93" s="29"/>
      <c r="H93" s="29"/>
      <c r="I93" s="29"/>
      <c r="J93" s="30"/>
      <c r="K93" s="39"/>
      <c r="L93" s="39"/>
      <c r="M93" s="35">
        <v>45562</v>
      </c>
      <c r="N93" s="13"/>
      <c r="O93" s="7" t="s">
        <v>532</v>
      </c>
      <c r="P93" s="13"/>
      <c r="Q93" s="9">
        <v>45860</v>
      </c>
      <c r="R93" s="13"/>
      <c r="S93" s="9">
        <v>45900</v>
      </c>
      <c r="T93" s="11">
        <f t="shared" ca="1" si="4"/>
        <v>550</v>
      </c>
      <c r="U93" s="97" t="s">
        <v>593</v>
      </c>
      <c r="V93" s="13"/>
      <c r="W93" s="160" t="s">
        <v>584</v>
      </c>
      <c r="X93" s="7" t="s">
        <v>715</v>
      </c>
      <c r="Y93" s="13"/>
      <c r="Z93" s="7"/>
      <c r="AA93" s="7" t="s">
        <v>759</v>
      </c>
      <c r="AB93" s="53" t="s">
        <v>759</v>
      </c>
      <c r="AC93" s="7"/>
      <c r="AD93" s="137" t="s">
        <v>891</v>
      </c>
      <c r="AE93" s="137" t="s">
        <v>891</v>
      </c>
      <c r="AF93" s="198"/>
    </row>
    <row r="94" spans="1:32" s="1" customFormat="1" ht="43.5" hidden="1" x14ac:dyDescent="0.35">
      <c r="A94" s="137">
        <f t="shared" si="5"/>
        <v>89</v>
      </c>
      <c r="B94" s="39" t="s">
        <v>588</v>
      </c>
      <c r="C94" s="39" t="s">
        <v>588</v>
      </c>
      <c r="D94" s="18" t="s">
        <v>138</v>
      </c>
      <c r="E94" s="18" t="s">
        <v>313</v>
      </c>
      <c r="F94" s="18" t="s">
        <v>318</v>
      </c>
      <c r="G94" s="29"/>
      <c r="H94" s="29"/>
      <c r="I94" s="29"/>
      <c r="J94" s="30"/>
      <c r="K94" s="39"/>
      <c r="L94" s="39"/>
      <c r="M94" s="35">
        <v>45562</v>
      </c>
      <c r="N94" s="13"/>
      <c r="O94" s="7" t="s">
        <v>532</v>
      </c>
      <c r="P94" s="13"/>
      <c r="Q94" s="9">
        <v>45860</v>
      </c>
      <c r="R94" s="13"/>
      <c r="S94" s="9">
        <v>45900</v>
      </c>
      <c r="T94" s="11">
        <f t="shared" ca="1" si="4"/>
        <v>550</v>
      </c>
      <c r="U94" s="97" t="s">
        <v>593</v>
      </c>
      <c r="V94" s="13"/>
      <c r="W94" s="160" t="s">
        <v>584</v>
      </c>
      <c r="X94" s="7" t="s">
        <v>716</v>
      </c>
      <c r="Y94" s="13"/>
      <c r="Z94" s="7"/>
      <c r="AA94" s="7" t="s">
        <v>759</v>
      </c>
      <c r="AB94" s="53" t="s">
        <v>759</v>
      </c>
      <c r="AC94" s="7"/>
      <c r="AD94" s="137" t="s">
        <v>891</v>
      </c>
      <c r="AE94" s="137" t="s">
        <v>891</v>
      </c>
      <c r="AF94" s="198"/>
    </row>
    <row r="95" spans="1:32" s="1" customFormat="1" ht="43.5" hidden="1" x14ac:dyDescent="0.35">
      <c r="A95" s="137">
        <f t="shared" si="5"/>
        <v>90</v>
      </c>
      <c r="B95" s="39" t="s">
        <v>588</v>
      </c>
      <c r="C95" s="39" t="s">
        <v>588</v>
      </c>
      <c r="D95" s="18" t="s">
        <v>138</v>
      </c>
      <c r="E95" s="18" t="s">
        <v>313</v>
      </c>
      <c r="F95" s="18" t="s">
        <v>319</v>
      </c>
      <c r="G95" s="29"/>
      <c r="H95" s="29"/>
      <c r="I95" s="29"/>
      <c r="J95" s="30"/>
      <c r="K95" s="39"/>
      <c r="L95" s="39"/>
      <c r="M95" s="35">
        <v>45562</v>
      </c>
      <c r="N95" s="13"/>
      <c r="O95" s="7" t="s">
        <v>532</v>
      </c>
      <c r="P95" s="13"/>
      <c r="Q95" s="9">
        <v>45860</v>
      </c>
      <c r="R95" s="13"/>
      <c r="S95" s="9">
        <v>45900</v>
      </c>
      <c r="T95" s="11">
        <f t="shared" ca="1" si="4"/>
        <v>550</v>
      </c>
      <c r="U95" s="97" t="s">
        <v>593</v>
      </c>
      <c r="V95" s="13"/>
      <c r="W95" s="160" t="s">
        <v>584</v>
      </c>
      <c r="X95" s="7" t="s">
        <v>717</v>
      </c>
      <c r="Y95" s="13"/>
      <c r="Z95" s="7"/>
      <c r="AA95" s="7" t="s">
        <v>759</v>
      </c>
      <c r="AB95" s="53" t="s">
        <v>759</v>
      </c>
      <c r="AC95" s="7"/>
      <c r="AD95" s="137" t="s">
        <v>891</v>
      </c>
      <c r="AE95" s="137" t="s">
        <v>891</v>
      </c>
      <c r="AF95" s="198"/>
    </row>
    <row r="96" spans="1:32" s="1" customFormat="1" ht="43.5" x14ac:dyDescent="0.35">
      <c r="A96" s="138">
        <f t="shared" si="5"/>
        <v>91</v>
      </c>
      <c r="B96" s="39" t="s">
        <v>588</v>
      </c>
      <c r="C96" s="39" t="s">
        <v>588</v>
      </c>
      <c r="D96" s="7" t="s">
        <v>289</v>
      </c>
      <c r="E96" s="40"/>
      <c r="F96" s="40" t="s">
        <v>290</v>
      </c>
      <c r="G96" s="25" t="s">
        <v>188</v>
      </c>
      <c r="H96" s="25" t="s">
        <v>188</v>
      </c>
      <c r="I96" s="25"/>
      <c r="J96" s="25">
        <v>1</v>
      </c>
      <c r="K96" s="39"/>
      <c r="L96" s="39"/>
      <c r="M96" s="37">
        <v>45448</v>
      </c>
      <c r="N96" s="13"/>
      <c r="O96" s="7" t="s">
        <v>532</v>
      </c>
      <c r="P96" s="13"/>
      <c r="Q96" s="9">
        <v>45860</v>
      </c>
      <c r="R96" s="13"/>
      <c r="S96" s="9">
        <v>45900</v>
      </c>
      <c r="T96" s="11">
        <f t="shared" ca="1" si="4"/>
        <v>664</v>
      </c>
      <c r="U96" s="8" t="s">
        <v>593</v>
      </c>
      <c r="V96" s="13"/>
      <c r="W96" s="160" t="s">
        <v>584</v>
      </c>
      <c r="X96" s="44" t="s">
        <v>693</v>
      </c>
      <c r="Y96" s="13"/>
      <c r="Z96" s="7"/>
      <c r="AA96" s="7" t="s">
        <v>759</v>
      </c>
      <c r="AB96" s="53" t="s">
        <v>759</v>
      </c>
      <c r="AC96" s="7" t="s">
        <v>792</v>
      </c>
      <c r="AD96" s="137" t="s">
        <v>891</v>
      </c>
      <c r="AE96" s="137" t="s">
        <v>891</v>
      </c>
      <c r="AF96" s="198"/>
    </row>
    <row r="97" spans="1:32" s="1" customFormat="1" ht="72.5" x14ac:dyDescent="0.35">
      <c r="A97" s="137">
        <f t="shared" si="5"/>
        <v>92</v>
      </c>
      <c r="B97" s="39"/>
      <c r="C97" s="39"/>
      <c r="D97" s="18" t="s">
        <v>326</v>
      </c>
      <c r="E97" s="18" t="s">
        <v>327</v>
      </c>
      <c r="F97" s="18" t="s">
        <v>328</v>
      </c>
      <c r="G97" s="29"/>
      <c r="H97" s="29"/>
      <c r="I97" s="29"/>
      <c r="J97" s="30"/>
      <c r="K97" s="39"/>
      <c r="L97" s="39"/>
      <c r="M97" s="35">
        <v>45562</v>
      </c>
      <c r="N97" s="13"/>
      <c r="O97" s="7" t="s">
        <v>532</v>
      </c>
      <c r="P97" s="13"/>
      <c r="Q97" s="9">
        <v>45860</v>
      </c>
      <c r="R97" s="13"/>
      <c r="S97" s="9">
        <v>45900</v>
      </c>
      <c r="T97" s="11">
        <f t="shared" ca="1" si="4"/>
        <v>550</v>
      </c>
      <c r="U97" s="140" t="s">
        <v>573</v>
      </c>
      <c r="V97" s="13"/>
      <c r="W97" s="154"/>
      <c r="X97" s="44" t="s">
        <v>693</v>
      </c>
      <c r="Y97" s="13"/>
      <c r="Z97" s="7"/>
      <c r="AA97" s="7" t="s">
        <v>759</v>
      </c>
      <c r="AB97" s="53" t="s">
        <v>759</v>
      </c>
      <c r="AC97" s="7" t="s">
        <v>795</v>
      </c>
      <c r="AD97" s="137" t="s">
        <v>891</v>
      </c>
      <c r="AE97" s="137" t="s">
        <v>891</v>
      </c>
      <c r="AF97" s="198"/>
    </row>
    <row r="98" spans="1:32" s="1" customFormat="1" ht="129.5" customHeight="1" x14ac:dyDescent="0.35">
      <c r="A98" s="138">
        <f t="shared" si="5"/>
        <v>93</v>
      </c>
      <c r="B98" s="39"/>
      <c r="C98" s="39"/>
      <c r="D98" s="25" t="s">
        <v>225</v>
      </c>
      <c r="E98" s="40"/>
      <c r="F98" s="40" t="s">
        <v>226</v>
      </c>
      <c r="G98" s="25" t="s">
        <v>188</v>
      </c>
      <c r="H98" s="26" t="s">
        <v>188</v>
      </c>
      <c r="I98" s="26"/>
      <c r="J98" s="26">
        <v>1</v>
      </c>
      <c r="K98" s="39"/>
      <c r="L98" s="39"/>
      <c r="M98" s="37">
        <v>45448</v>
      </c>
      <c r="N98" s="13"/>
      <c r="O98" s="7" t="s">
        <v>532</v>
      </c>
      <c r="P98" s="13"/>
      <c r="Q98" s="9">
        <v>45860</v>
      </c>
      <c r="R98" s="13"/>
      <c r="S98" s="9">
        <v>45900</v>
      </c>
      <c r="T98" s="11">
        <f t="shared" ca="1" si="4"/>
        <v>664</v>
      </c>
      <c r="U98" s="140" t="s">
        <v>574</v>
      </c>
      <c r="V98" s="13"/>
      <c r="W98" s="154"/>
      <c r="X98" s="44" t="s">
        <v>693</v>
      </c>
      <c r="Y98" s="34"/>
      <c r="Z98" s="7"/>
      <c r="AA98" s="7" t="s">
        <v>759</v>
      </c>
      <c r="AB98" s="53" t="s">
        <v>759</v>
      </c>
      <c r="AC98" s="7" t="s">
        <v>793</v>
      </c>
      <c r="AD98" s="184" t="s">
        <v>849</v>
      </c>
      <c r="AE98" s="193" t="s">
        <v>849</v>
      </c>
      <c r="AF98" s="198"/>
    </row>
    <row r="99" spans="1:32" s="1" customFormat="1" ht="125" customHeight="1" x14ac:dyDescent="0.35">
      <c r="A99" s="138">
        <f t="shared" si="5"/>
        <v>94</v>
      </c>
      <c r="B99" s="39"/>
      <c r="C99" s="39"/>
      <c r="D99" s="25" t="s">
        <v>225</v>
      </c>
      <c r="E99" s="40"/>
      <c r="F99" s="40" t="s">
        <v>227</v>
      </c>
      <c r="G99" s="25" t="s">
        <v>188</v>
      </c>
      <c r="H99" s="26" t="s">
        <v>188</v>
      </c>
      <c r="I99" s="26"/>
      <c r="J99" s="26">
        <v>1</v>
      </c>
      <c r="K99" s="39"/>
      <c r="L99" s="39"/>
      <c r="M99" s="37">
        <v>45448</v>
      </c>
      <c r="N99" s="13"/>
      <c r="O99" s="7" t="s">
        <v>532</v>
      </c>
      <c r="P99" s="13"/>
      <c r="Q99" s="9">
        <v>45860</v>
      </c>
      <c r="R99" s="13"/>
      <c r="S99" s="9">
        <v>45900</v>
      </c>
      <c r="T99" s="11">
        <f t="shared" ca="1" si="4"/>
        <v>664</v>
      </c>
      <c r="U99" s="140" t="s">
        <v>575</v>
      </c>
      <c r="V99" s="13"/>
      <c r="W99" s="154"/>
      <c r="X99" s="44" t="s">
        <v>693</v>
      </c>
      <c r="Y99" s="34"/>
      <c r="Z99" s="7"/>
      <c r="AA99" s="7" t="s">
        <v>759</v>
      </c>
      <c r="AB99" s="53" t="s">
        <v>759</v>
      </c>
      <c r="AC99" s="7" t="s">
        <v>794</v>
      </c>
      <c r="AD99" s="184" t="s">
        <v>849</v>
      </c>
      <c r="AE99" s="193" t="s">
        <v>849</v>
      </c>
      <c r="AF99" s="198"/>
    </row>
    <row r="100" spans="1:32" s="1" customFormat="1" ht="43.5" hidden="1" x14ac:dyDescent="0.35">
      <c r="A100" s="138">
        <f t="shared" si="5"/>
        <v>95</v>
      </c>
      <c r="B100" s="39" t="s">
        <v>588</v>
      </c>
      <c r="C100" s="39" t="s">
        <v>588</v>
      </c>
      <c r="D100" s="25" t="s">
        <v>239</v>
      </c>
      <c r="E100" s="40"/>
      <c r="F100" s="40" t="s">
        <v>240</v>
      </c>
      <c r="G100" s="25" t="s">
        <v>188</v>
      </c>
      <c r="H100" s="25" t="s">
        <v>188</v>
      </c>
      <c r="I100" s="25"/>
      <c r="J100" s="25">
        <v>1</v>
      </c>
      <c r="K100" s="39"/>
      <c r="L100" s="39"/>
      <c r="M100" s="37">
        <v>45448</v>
      </c>
      <c r="N100" s="13"/>
      <c r="O100" s="7" t="s">
        <v>532</v>
      </c>
      <c r="P100" s="13"/>
      <c r="Q100" s="13"/>
      <c r="R100" s="13"/>
      <c r="S100" s="9">
        <v>45900</v>
      </c>
      <c r="T100" s="11">
        <f t="shared" ca="1" si="4"/>
        <v>664</v>
      </c>
      <c r="U100" s="8" t="s">
        <v>593</v>
      </c>
      <c r="V100" s="13"/>
      <c r="W100" s="154"/>
      <c r="X100" s="7" t="s">
        <v>718</v>
      </c>
      <c r="Y100" s="34"/>
      <c r="Z100" s="81"/>
      <c r="AA100" s="81"/>
      <c r="AB100" s="81"/>
      <c r="AC100" s="81"/>
      <c r="AD100" s="81"/>
      <c r="AE100" s="194"/>
      <c r="AF100" s="198"/>
    </row>
    <row r="129" spans="21:21" x14ac:dyDescent="0.35">
      <c r="U129"/>
    </row>
    <row r="130" spans="21:21" x14ac:dyDescent="0.35">
      <c r="U130"/>
    </row>
    <row r="131" spans="21:21" x14ac:dyDescent="0.35">
      <c r="U131"/>
    </row>
    <row r="132" spans="21:21" x14ac:dyDescent="0.35">
      <c r="U132"/>
    </row>
    <row r="133" spans="21:21" x14ac:dyDescent="0.35">
      <c r="U133"/>
    </row>
    <row r="134" spans="21:21" x14ac:dyDescent="0.35">
      <c r="U134"/>
    </row>
    <row r="135" spans="21:21" x14ac:dyDescent="0.35">
      <c r="U135"/>
    </row>
    <row r="136" spans="21:21" x14ac:dyDescent="0.35">
      <c r="U136"/>
    </row>
    <row r="137" spans="21:21" x14ac:dyDescent="0.35">
      <c r="U137"/>
    </row>
    <row r="138" spans="21:21" x14ac:dyDescent="0.35">
      <c r="U138"/>
    </row>
    <row r="139" spans="21:21" x14ac:dyDescent="0.35">
      <c r="U139"/>
    </row>
    <row r="140" spans="21:21" x14ac:dyDescent="0.35">
      <c r="U140"/>
    </row>
    <row r="141" spans="21:21" x14ac:dyDescent="0.35">
      <c r="U141"/>
    </row>
    <row r="142" spans="21:21" x14ac:dyDescent="0.35">
      <c r="U142"/>
    </row>
    <row r="143" spans="21:21" x14ac:dyDescent="0.35">
      <c r="U143"/>
    </row>
  </sheetData>
  <autoFilter ref="A4:Y100" xr:uid="{00000000-0009-0000-0000-000002000000}"/>
  <mergeCells count="33">
    <mergeCell ref="A1:L1"/>
    <mergeCell ref="M1:V1"/>
    <mergeCell ref="A2:A4"/>
    <mergeCell ref="B2:C2"/>
    <mergeCell ref="D2:F2"/>
    <mergeCell ref="I2:L2"/>
    <mergeCell ref="N2:U2"/>
    <mergeCell ref="B3:B4"/>
    <mergeCell ref="C3:C4"/>
    <mergeCell ref="D3:D4"/>
    <mergeCell ref="T3:T4"/>
    <mergeCell ref="E3:E4"/>
    <mergeCell ref="U3:U4"/>
    <mergeCell ref="G3:G4"/>
    <mergeCell ref="I3:I4"/>
    <mergeCell ref="Z3:Z4"/>
    <mergeCell ref="V3:V4"/>
    <mergeCell ref="F3:F4"/>
    <mergeCell ref="X3:X4"/>
    <mergeCell ref="H3:H4"/>
    <mergeCell ref="AE3:AE4"/>
    <mergeCell ref="AD3:AD4"/>
    <mergeCell ref="AC3:AC5"/>
    <mergeCell ref="AB3:AB5"/>
    <mergeCell ref="J3:J4"/>
    <mergeCell ref="K3:K4"/>
    <mergeCell ref="L3:L4"/>
    <mergeCell ref="M3:M4"/>
    <mergeCell ref="AA3:AA5"/>
    <mergeCell ref="N3:N4"/>
    <mergeCell ref="Y3:Y4"/>
    <mergeCell ref="O3:S3"/>
    <mergeCell ref="W3:W4"/>
  </mergeCells>
  <phoneticPr fontId="20" type="noConversion"/>
  <dataValidations count="3">
    <dataValidation type="list" allowBlank="1" showInputMessage="1" showErrorMessage="1" sqref="N53:N93 N6:N47" xr:uid="{A9AC6630-E309-4DB9-BBBA-2E90B49817D2}">
      <formula1>"Да, Нет"</formula1>
    </dataValidation>
    <dataValidation type="list" allowBlank="1" showInputMessage="1" showErrorMessage="1" sqref="P53:P93 P6:P47" xr:uid="{CD845511-6AC7-44FC-A912-995D2BCA43CF}">
      <formula1>"Ожидание согласования замены от Заказчика, Запрос ТКП на замену оборудования, Ожидание поставки оборудования, Поверка/Калибровка, В пути Заказчику "</formula1>
    </dataValidation>
    <dataValidation type="list" allowBlank="1" showInputMessage="1" showErrorMessage="1" sqref="O6:O100" xr:uid="{94E06C49-1242-4D1D-8851-E2C5F26544F1}">
      <formula1>#REF!</formula1>
    </dataValidation>
  </dataValidations>
  <pageMargins left="0.7" right="0.7" top="0.75" bottom="0.75" header="0.3" footer="0.3"/>
  <pageSetup paperSize="8" scale="57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D60"/>
  <sheetViews>
    <sheetView zoomScale="50" zoomScaleNormal="50" workbookViewId="0">
      <selection activeCell="AG16" sqref="AG16"/>
    </sheetView>
  </sheetViews>
  <sheetFormatPr defaultColWidth="9.1796875" defaultRowHeight="14.5" x14ac:dyDescent="0.35"/>
  <cols>
    <col min="1" max="1" width="6.1796875" customWidth="1"/>
    <col min="2" max="3" width="0" hidden="1" customWidth="1"/>
    <col min="4" max="4" width="34.81640625" customWidth="1"/>
    <col min="5" max="5" width="26.81640625" customWidth="1"/>
    <col min="6" max="6" width="21.453125" customWidth="1"/>
    <col min="7" max="7" width="31.453125" hidden="1" customWidth="1"/>
    <col min="8" max="12" width="0" hidden="1" customWidth="1"/>
    <col min="13" max="14" width="14.1796875" hidden="1" customWidth="1"/>
    <col min="15" max="15" width="20.1796875" hidden="1" customWidth="1"/>
    <col min="16" max="16" width="0" hidden="1" customWidth="1"/>
    <col min="17" max="17" width="9.54296875" hidden="1" customWidth="1"/>
    <col min="18" max="18" width="14.7265625" hidden="1" customWidth="1"/>
    <col min="19" max="19" width="8.90625" hidden="1" customWidth="1"/>
    <col min="20" max="20" width="14.26953125" hidden="1" customWidth="1"/>
    <col min="21" max="21" width="35.1796875" customWidth="1"/>
    <col min="22" max="22" width="14.26953125" hidden="1" customWidth="1"/>
    <col min="23" max="23" width="21.1796875" hidden="1" customWidth="1"/>
    <col min="24" max="24" width="34" style="123" customWidth="1"/>
    <col min="25" max="25" width="26.1796875" style="123" customWidth="1"/>
    <col min="26" max="26" width="42" style="123" customWidth="1"/>
    <col min="27" max="28" width="66" style="123" customWidth="1"/>
    <col min="29" max="29" width="21.7265625" style="123" customWidth="1"/>
    <col min="30" max="30" width="8.453125" customWidth="1"/>
  </cols>
  <sheetData>
    <row r="1" spans="1:30" s="1" customFormat="1" ht="23.25" customHeight="1" x14ac:dyDescent="0.35">
      <c r="A1" s="282" t="s">
        <v>0</v>
      </c>
      <c r="B1" s="282"/>
      <c r="C1" s="282"/>
      <c r="D1" s="282"/>
      <c r="E1" s="282"/>
      <c r="F1" s="282"/>
      <c r="G1" s="282"/>
      <c r="H1" s="282"/>
      <c r="I1" s="282"/>
      <c r="J1" s="282"/>
      <c r="K1" s="282"/>
      <c r="L1" s="282"/>
      <c r="M1" s="283" t="s">
        <v>1</v>
      </c>
      <c r="N1" s="284"/>
      <c r="O1" s="284"/>
      <c r="P1" s="284"/>
      <c r="Q1" s="284"/>
      <c r="R1" s="284"/>
      <c r="S1" s="284"/>
      <c r="T1" s="284"/>
      <c r="U1" s="284"/>
      <c r="V1" s="285"/>
      <c r="W1" s="115"/>
      <c r="X1" s="291" t="s">
        <v>665</v>
      </c>
      <c r="Y1" s="292"/>
      <c r="Z1" s="289" t="s">
        <v>768</v>
      </c>
      <c r="AA1" s="289" t="s">
        <v>834</v>
      </c>
      <c r="AB1" s="265" t="s">
        <v>938</v>
      </c>
      <c r="AC1" s="189"/>
      <c r="AD1" s="81"/>
    </row>
    <row r="2" spans="1:30" s="1" customFormat="1" ht="15.75" customHeight="1" x14ac:dyDescent="0.35">
      <c r="A2" s="271" t="s">
        <v>2</v>
      </c>
      <c r="B2" s="272" t="s">
        <v>3</v>
      </c>
      <c r="C2" s="272"/>
      <c r="D2" s="273" t="s">
        <v>4</v>
      </c>
      <c r="E2" s="274"/>
      <c r="F2" s="274"/>
      <c r="G2" s="4" t="s">
        <v>5</v>
      </c>
      <c r="H2" s="5"/>
      <c r="I2" s="273" t="s">
        <v>6</v>
      </c>
      <c r="J2" s="274"/>
      <c r="K2" s="274"/>
      <c r="L2" s="286"/>
      <c r="M2" s="10" t="s">
        <v>127</v>
      </c>
      <c r="N2" s="266" t="s">
        <v>7</v>
      </c>
      <c r="O2" s="267"/>
      <c r="P2" s="267"/>
      <c r="Q2" s="267"/>
      <c r="R2" s="267"/>
      <c r="S2" s="267"/>
      <c r="T2" s="267"/>
      <c r="U2" s="268"/>
      <c r="V2" s="10" t="s">
        <v>127</v>
      </c>
      <c r="W2" s="115"/>
      <c r="X2" s="291"/>
      <c r="Y2" s="292"/>
      <c r="Z2" s="289"/>
      <c r="AA2" s="290"/>
      <c r="AB2" s="287"/>
      <c r="AC2" s="189"/>
      <c r="AD2" s="81"/>
    </row>
    <row r="3" spans="1:30" s="1" customFormat="1" ht="45" customHeight="1" x14ac:dyDescent="0.35">
      <c r="A3" s="271"/>
      <c r="B3" s="271" t="s">
        <v>99</v>
      </c>
      <c r="C3" s="271" t="s">
        <v>8</v>
      </c>
      <c r="D3" s="271" t="s">
        <v>9</v>
      </c>
      <c r="E3" s="271" t="s">
        <v>10</v>
      </c>
      <c r="F3" s="271" t="s">
        <v>102</v>
      </c>
      <c r="G3" s="246" t="s">
        <v>11</v>
      </c>
      <c r="H3" s="275" t="s">
        <v>98</v>
      </c>
      <c r="I3" s="246" t="s">
        <v>12</v>
      </c>
      <c r="J3" s="271" t="s">
        <v>13</v>
      </c>
      <c r="K3" s="271" t="s">
        <v>14</v>
      </c>
      <c r="L3" s="271" t="s">
        <v>15</v>
      </c>
      <c r="M3" s="248" t="s">
        <v>104</v>
      </c>
      <c r="N3" s="249" t="s">
        <v>101</v>
      </c>
      <c r="O3" s="279" t="s">
        <v>115</v>
      </c>
      <c r="P3" s="280"/>
      <c r="Q3" s="280"/>
      <c r="R3" s="280"/>
      <c r="S3" s="281"/>
      <c r="T3" s="249" t="s">
        <v>112</v>
      </c>
      <c r="U3" s="248" t="s">
        <v>113</v>
      </c>
      <c r="V3" s="248" t="s">
        <v>114</v>
      </c>
      <c r="W3" s="263" t="s">
        <v>108</v>
      </c>
      <c r="X3" s="291"/>
      <c r="Y3" s="292"/>
      <c r="Z3" s="289"/>
      <c r="AA3" s="290"/>
      <c r="AB3" s="287"/>
      <c r="AC3" s="189"/>
      <c r="AD3" s="81"/>
    </row>
    <row r="4" spans="1:30" s="1" customFormat="1" ht="45" customHeight="1" x14ac:dyDescent="0.35">
      <c r="A4" s="271"/>
      <c r="B4" s="271" t="s">
        <v>17</v>
      </c>
      <c r="C4" s="271" t="s">
        <v>18</v>
      </c>
      <c r="D4" s="271"/>
      <c r="E4" s="271" t="s">
        <v>10</v>
      </c>
      <c r="F4" s="271" t="s">
        <v>19</v>
      </c>
      <c r="G4" s="247"/>
      <c r="H4" s="276"/>
      <c r="I4" s="247"/>
      <c r="J4" s="271" t="s">
        <v>13</v>
      </c>
      <c r="K4" s="271" t="s">
        <v>20</v>
      </c>
      <c r="L4" s="271" t="s">
        <v>21</v>
      </c>
      <c r="M4" s="248"/>
      <c r="N4" s="250"/>
      <c r="O4" s="12" t="s">
        <v>16</v>
      </c>
      <c r="P4" s="15" t="s">
        <v>103</v>
      </c>
      <c r="Q4" s="12" t="s">
        <v>109</v>
      </c>
      <c r="R4" s="12" t="s">
        <v>110</v>
      </c>
      <c r="S4" s="12" t="s">
        <v>111</v>
      </c>
      <c r="T4" s="250"/>
      <c r="U4" s="248"/>
      <c r="V4" s="248" t="s">
        <v>22</v>
      </c>
      <c r="W4" s="264"/>
      <c r="X4" s="291"/>
      <c r="Y4" s="292"/>
      <c r="Z4" s="289"/>
      <c r="AA4" s="290"/>
      <c r="AB4" s="287"/>
      <c r="AC4" s="189"/>
      <c r="AD4" s="81"/>
    </row>
    <row r="5" spans="1:30" s="1" customFormat="1" ht="15" customHeight="1" x14ac:dyDescent="0.35">
      <c r="A5" s="2">
        <v>1</v>
      </c>
      <c r="B5" s="2">
        <v>2</v>
      </c>
      <c r="C5" s="2">
        <v>3</v>
      </c>
      <c r="D5" s="2">
        <v>2</v>
      </c>
      <c r="E5" s="2">
        <v>3</v>
      </c>
      <c r="F5" s="2">
        <v>4</v>
      </c>
      <c r="G5" s="2">
        <v>5</v>
      </c>
      <c r="H5" s="2">
        <v>4.2</v>
      </c>
      <c r="I5" s="2">
        <v>4.5999999999999996</v>
      </c>
      <c r="J5" s="2">
        <v>5</v>
      </c>
      <c r="K5" s="2">
        <v>5.4</v>
      </c>
      <c r="L5" s="2">
        <v>5.8</v>
      </c>
      <c r="M5" s="2">
        <v>6</v>
      </c>
      <c r="N5" s="2">
        <v>7</v>
      </c>
      <c r="O5" s="2">
        <v>8</v>
      </c>
      <c r="P5" s="2">
        <v>8.1999999999999993</v>
      </c>
      <c r="Q5" s="2">
        <v>9</v>
      </c>
      <c r="R5" s="2">
        <v>10</v>
      </c>
      <c r="S5" s="2">
        <v>11</v>
      </c>
      <c r="T5" s="2">
        <v>12</v>
      </c>
      <c r="U5" s="2">
        <v>13</v>
      </c>
      <c r="V5" s="2">
        <v>14</v>
      </c>
      <c r="W5" s="116">
        <v>15</v>
      </c>
      <c r="X5" s="291"/>
      <c r="Y5" s="292"/>
      <c r="Z5" s="289"/>
      <c r="AA5" s="290"/>
      <c r="AB5" s="287"/>
      <c r="AC5" s="189"/>
      <c r="AD5" s="81"/>
    </row>
    <row r="6" spans="1:30" s="1" customFormat="1" ht="29" hidden="1" x14ac:dyDescent="0.35">
      <c r="A6" s="38">
        <v>65</v>
      </c>
      <c r="B6" s="39"/>
      <c r="C6" s="39"/>
      <c r="D6" s="102" t="s">
        <v>165</v>
      </c>
      <c r="E6" s="25" t="s">
        <v>166</v>
      </c>
      <c r="F6" s="25">
        <v>259198</v>
      </c>
      <c r="G6" s="25"/>
      <c r="H6" s="26"/>
      <c r="I6" s="26" t="s">
        <v>32</v>
      </c>
      <c r="J6" s="21">
        <v>1</v>
      </c>
      <c r="K6" s="39"/>
      <c r="L6" s="39"/>
      <c r="M6" s="37">
        <v>45415</v>
      </c>
      <c r="N6" s="13"/>
      <c r="O6" s="7" t="s">
        <v>564</v>
      </c>
      <c r="P6" s="13"/>
      <c r="Q6" s="13"/>
      <c r="R6" s="13"/>
      <c r="S6" s="69">
        <v>45920</v>
      </c>
      <c r="T6" s="11">
        <f t="shared" ref="T6:T9" ca="1" si="0">DATEDIF(M6,TODAY(),"D")</f>
        <v>697</v>
      </c>
      <c r="U6" s="13" t="s">
        <v>334</v>
      </c>
      <c r="V6" s="13"/>
      <c r="W6" s="89"/>
      <c r="X6" s="125" t="s">
        <v>605</v>
      </c>
      <c r="Y6" s="81"/>
      <c r="Z6" s="81"/>
      <c r="AA6" s="197"/>
      <c r="AB6" s="195"/>
      <c r="AC6" s="189"/>
      <c r="AD6" s="81"/>
    </row>
    <row r="7" spans="1:30" s="1" customFormat="1" ht="87" hidden="1" x14ac:dyDescent="0.35">
      <c r="A7" s="38">
        <v>158</v>
      </c>
      <c r="B7" s="39"/>
      <c r="C7" s="39"/>
      <c r="D7" s="25" t="s">
        <v>271</v>
      </c>
      <c r="E7" s="40"/>
      <c r="F7" s="40" t="s">
        <v>272</v>
      </c>
      <c r="G7" s="25" t="s">
        <v>188</v>
      </c>
      <c r="H7" s="25" t="s">
        <v>188</v>
      </c>
      <c r="I7" s="25"/>
      <c r="J7" s="25">
        <v>1</v>
      </c>
      <c r="K7" s="39"/>
      <c r="L7" s="39"/>
      <c r="M7" s="37">
        <v>45448</v>
      </c>
      <c r="N7" s="13"/>
      <c r="O7" s="7" t="s">
        <v>538</v>
      </c>
      <c r="P7" s="13"/>
      <c r="Q7" s="13"/>
      <c r="R7" s="13"/>
      <c r="S7" s="9">
        <v>45901</v>
      </c>
      <c r="T7" s="11">
        <f t="shared" ca="1" si="0"/>
        <v>664</v>
      </c>
      <c r="U7" s="7" t="s">
        <v>549</v>
      </c>
      <c r="V7" s="9">
        <v>45901</v>
      </c>
      <c r="W7" s="89" t="s">
        <v>562</v>
      </c>
      <c r="X7" s="104" t="s">
        <v>640</v>
      </c>
      <c r="Y7" s="7"/>
      <c r="Z7" s="81"/>
      <c r="AA7" s="197"/>
      <c r="AB7" s="195"/>
      <c r="AC7" s="189"/>
      <c r="AD7" s="81"/>
    </row>
    <row r="8" spans="1:30" s="1" customFormat="1" ht="26" hidden="1" x14ac:dyDescent="0.35">
      <c r="A8" s="87"/>
      <c r="B8" s="39"/>
      <c r="C8" s="39"/>
      <c r="D8" s="103" t="s">
        <v>329</v>
      </c>
      <c r="E8" s="18" t="s">
        <v>330</v>
      </c>
      <c r="F8" s="18">
        <v>311381133</v>
      </c>
      <c r="G8" s="29"/>
      <c r="H8" s="29"/>
      <c r="I8" s="29"/>
      <c r="J8" s="30"/>
      <c r="K8" s="39"/>
      <c r="L8" s="39"/>
      <c r="M8" s="37">
        <v>45562</v>
      </c>
      <c r="N8" s="13"/>
      <c r="O8" s="7" t="s">
        <v>564</v>
      </c>
      <c r="P8" s="13"/>
      <c r="Q8" s="13"/>
      <c r="R8" s="13"/>
      <c r="S8" s="9">
        <v>45901</v>
      </c>
      <c r="T8" s="11">
        <f t="shared" ca="1" si="0"/>
        <v>550</v>
      </c>
      <c r="U8" s="7" t="s">
        <v>335</v>
      </c>
      <c r="V8" s="9">
        <v>45901</v>
      </c>
      <c r="W8" s="89"/>
      <c r="X8" s="125" t="s">
        <v>605</v>
      </c>
      <c r="Y8" s="7"/>
      <c r="Z8" s="81"/>
      <c r="AA8" s="197"/>
      <c r="AB8" s="195"/>
      <c r="AC8" s="189"/>
      <c r="AD8" s="81"/>
    </row>
    <row r="9" spans="1:30" s="1" customFormat="1" ht="43.5" hidden="1" x14ac:dyDescent="0.35">
      <c r="A9" s="6">
        <v>134</v>
      </c>
      <c r="B9" s="7" t="s">
        <v>27</v>
      </c>
      <c r="C9" s="7" t="s">
        <v>27</v>
      </c>
      <c r="D9" s="104" t="s">
        <v>28</v>
      </c>
      <c r="E9" s="7" t="s">
        <v>29</v>
      </c>
      <c r="F9" s="8" t="s">
        <v>30</v>
      </c>
      <c r="G9" s="7" t="s">
        <v>31</v>
      </c>
      <c r="H9" s="7" t="s">
        <v>32</v>
      </c>
      <c r="I9" s="7" t="s">
        <v>23</v>
      </c>
      <c r="J9" s="9">
        <v>45578</v>
      </c>
      <c r="K9" s="9">
        <v>45578</v>
      </c>
      <c r="L9" s="9">
        <v>45583</v>
      </c>
      <c r="M9" s="37">
        <v>45615</v>
      </c>
      <c r="N9" s="7" t="s">
        <v>100</v>
      </c>
      <c r="O9" s="7" t="s">
        <v>564</v>
      </c>
      <c r="P9" s="7"/>
      <c r="Q9" s="7"/>
      <c r="R9" s="7"/>
      <c r="S9" s="9">
        <v>45901</v>
      </c>
      <c r="T9" s="11">
        <f t="shared" ca="1" si="0"/>
        <v>497</v>
      </c>
      <c r="U9" s="7" t="s">
        <v>563</v>
      </c>
      <c r="V9" s="9">
        <v>45901</v>
      </c>
      <c r="W9" s="89"/>
      <c r="X9" s="125" t="s">
        <v>605</v>
      </c>
      <c r="Y9" s="7"/>
      <c r="Z9" s="81"/>
      <c r="AA9" s="197"/>
      <c r="AB9" s="195"/>
      <c r="AC9" s="189"/>
      <c r="AD9" s="81"/>
    </row>
    <row r="10" spans="1:30" s="1" customFormat="1" ht="66.75" customHeight="1" x14ac:dyDescent="0.35">
      <c r="A10" s="114"/>
      <c r="B10" s="164"/>
      <c r="C10" s="164"/>
      <c r="D10" s="47" t="s">
        <v>304</v>
      </c>
      <c r="E10" s="47" t="s">
        <v>305</v>
      </c>
      <c r="F10" s="47" t="s">
        <v>306</v>
      </c>
      <c r="G10" s="29"/>
      <c r="H10" s="29"/>
      <c r="I10" s="29"/>
      <c r="J10" s="30"/>
      <c r="K10" s="39"/>
      <c r="L10" s="39"/>
      <c r="M10" s="35">
        <v>45442</v>
      </c>
      <c r="N10" s="13"/>
      <c r="O10" s="13" t="s">
        <v>537</v>
      </c>
      <c r="P10" s="13"/>
      <c r="Q10" s="9">
        <v>45860</v>
      </c>
      <c r="R10" s="7">
        <v>55</v>
      </c>
      <c r="S10" s="9">
        <f>Q10+R10</f>
        <v>45915</v>
      </c>
      <c r="T10" s="11">
        <f t="shared" ref="T10:T38" ca="1" si="1">DATEDIF(M10,TODAY(),"D")</f>
        <v>670</v>
      </c>
      <c r="U10" s="7" t="s">
        <v>554</v>
      </c>
      <c r="V10" s="13"/>
      <c r="W10" s="89"/>
      <c r="X10" s="241" t="s">
        <v>617</v>
      </c>
      <c r="Y10" s="7"/>
      <c r="Z10" s="182" t="s">
        <v>773</v>
      </c>
      <c r="AA10" s="235" t="s">
        <v>850</v>
      </c>
      <c r="AB10" s="185"/>
      <c r="AC10" s="189"/>
      <c r="AD10" s="81"/>
    </row>
    <row r="11" spans="1:30" s="1" customFormat="1" ht="58" x14ac:dyDescent="0.35">
      <c r="A11" s="114"/>
      <c r="B11" s="164"/>
      <c r="C11" s="164"/>
      <c r="D11" s="47" t="s">
        <v>304</v>
      </c>
      <c r="E11" s="47" t="s">
        <v>305</v>
      </c>
      <c r="F11" s="47" t="s">
        <v>307</v>
      </c>
      <c r="G11" s="29"/>
      <c r="H11" s="29"/>
      <c r="I11" s="29"/>
      <c r="J11" s="30"/>
      <c r="K11" s="39"/>
      <c r="L11" s="39"/>
      <c r="M11" s="35">
        <v>45442</v>
      </c>
      <c r="N11" s="13"/>
      <c r="O11" s="13" t="s">
        <v>537</v>
      </c>
      <c r="P11" s="13"/>
      <c r="Q11" s="9">
        <v>45860</v>
      </c>
      <c r="R11" s="7">
        <v>55</v>
      </c>
      <c r="S11" s="9">
        <f>Q11+R11</f>
        <v>45915</v>
      </c>
      <c r="T11" s="11">
        <f t="shared" ca="1" si="1"/>
        <v>670</v>
      </c>
      <c r="U11" s="7" t="s">
        <v>554</v>
      </c>
      <c r="V11" s="13"/>
      <c r="W11" s="89"/>
      <c r="X11" s="241" t="s">
        <v>617</v>
      </c>
      <c r="Y11" s="7"/>
      <c r="Z11" s="182" t="s">
        <v>773</v>
      </c>
      <c r="AA11" s="235" t="s">
        <v>850</v>
      </c>
      <c r="AB11" s="185"/>
      <c r="AC11" s="189"/>
    </row>
    <row r="12" spans="1:30" s="1" customFormat="1" ht="58" x14ac:dyDescent="0.35">
      <c r="A12" s="114"/>
      <c r="B12" s="164"/>
      <c r="C12" s="164"/>
      <c r="D12" s="47" t="s">
        <v>304</v>
      </c>
      <c r="E12" s="47" t="s">
        <v>305</v>
      </c>
      <c r="F12" s="47" t="s">
        <v>308</v>
      </c>
      <c r="G12" s="29"/>
      <c r="H12" s="29"/>
      <c r="I12" s="29"/>
      <c r="J12" s="30"/>
      <c r="K12" s="39"/>
      <c r="L12" s="39"/>
      <c r="M12" s="35">
        <v>45442</v>
      </c>
      <c r="N12" s="13"/>
      <c r="O12" s="13" t="s">
        <v>537</v>
      </c>
      <c r="P12" s="13"/>
      <c r="Q12" s="9">
        <v>45860</v>
      </c>
      <c r="R12" s="7">
        <v>55</v>
      </c>
      <c r="S12" s="9">
        <f>Q12+R12</f>
        <v>45915</v>
      </c>
      <c r="T12" s="11">
        <f t="shared" ca="1" si="1"/>
        <v>670</v>
      </c>
      <c r="U12" s="7" t="s">
        <v>554</v>
      </c>
      <c r="V12" s="13"/>
      <c r="W12" s="89"/>
      <c r="X12" s="241" t="s">
        <v>617</v>
      </c>
      <c r="Y12" s="7"/>
      <c r="Z12" s="182" t="s">
        <v>773</v>
      </c>
      <c r="AA12" s="235" t="s">
        <v>850</v>
      </c>
      <c r="AB12" s="185"/>
      <c r="AC12" s="189"/>
    </row>
    <row r="13" spans="1:30" s="1" customFormat="1" ht="91.5" customHeight="1" x14ac:dyDescent="0.35">
      <c r="A13" s="6">
        <v>122</v>
      </c>
      <c r="B13" s="7" t="s">
        <v>33</v>
      </c>
      <c r="C13" s="7" t="s">
        <v>33</v>
      </c>
      <c r="D13" s="7" t="s">
        <v>81</v>
      </c>
      <c r="E13" s="7" t="s">
        <v>82</v>
      </c>
      <c r="F13" s="8">
        <v>54</v>
      </c>
      <c r="G13" s="7" t="s">
        <v>83</v>
      </c>
      <c r="H13" s="7" t="s">
        <v>32</v>
      </c>
      <c r="I13" s="7" t="s">
        <v>97</v>
      </c>
      <c r="J13" s="9">
        <v>45509</v>
      </c>
      <c r="K13" s="9">
        <v>45516</v>
      </c>
      <c r="L13" s="9">
        <v>45516</v>
      </c>
      <c r="M13" s="9">
        <v>45516</v>
      </c>
      <c r="N13" s="7" t="s">
        <v>100</v>
      </c>
      <c r="O13" s="7" t="s">
        <v>538</v>
      </c>
      <c r="P13" s="7"/>
      <c r="Q13" s="9">
        <v>45911</v>
      </c>
      <c r="R13" s="7">
        <v>15</v>
      </c>
      <c r="S13" s="9">
        <f>Q13+R13</f>
        <v>45926</v>
      </c>
      <c r="T13" s="11">
        <f t="shared" ca="1" si="1"/>
        <v>596</v>
      </c>
      <c r="U13" s="7" t="s">
        <v>591</v>
      </c>
      <c r="V13" s="7"/>
      <c r="W13" s="89"/>
      <c r="X13" s="125" t="s">
        <v>643</v>
      </c>
      <c r="Y13" s="7"/>
      <c r="Z13" s="88" t="s">
        <v>773</v>
      </c>
      <c r="AA13" s="235"/>
      <c r="AB13" s="185"/>
      <c r="AC13" s="189"/>
    </row>
    <row r="14" spans="1:30" s="1" customFormat="1" ht="58" x14ac:dyDescent="0.35">
      <c r="A14" s="38">
        <v>166</v>
      </c>
      <c r="B14" s="39"/>
      <c r="C14" s="39"/>
      <c r="D14" s="102" t="s">
        <v>284</v>
      </c>
      <c r="E14" s="111"/>
      <c r="F14" s="111" t="s">
        <v>285</v>
      </c>
      <c r="G14" s="102" t="s">
        <v>188</v>
      </c>
      <c r="H14" s="102" t="s">
        <v>188</v>
      </c>
      <c r="I14" s="102"/>
      <c r="J14" s="102">
        <v>1</v>
      </c>
      <c r="K14" s="112"/>
      <c r="L14" s="112"/>
      <c r="M14" s="113">
        <v>45448</v>
      </c>
      <c r="N14" s="110"/>
      <c r="O14" s="110" t="s">
        <v>124</v>
      </c>
      <c r="P14" s="110"/>
      <c r="Q14" s="108">
        <v>45868</v>
      </c>
      <c r="R14" s="104">
        <v>77</v>
      </c>
      <c r="S14" s="108">
        <f>Q14+R14</f>
        <v>45945</v>
      </c>
      <c r="T14" s="109">
        <f t="shared" ca="1" si="1"/>
        <v>664</v>
      </c>
      <c r="U14" s="104" t="s">
        <v>595</v>
      </c>
      <c r="V14" s="110"/>
      <c r="W14" s="117"/>
      <c r="X14" s="124" t="s">
        <v>608</v>
      </c>
      <c r="Y14" s="7"/>
      <c r="Z14" s="88"/>
      <c r="AA14" s="235" t="s">
        <v>851</v>
      </c>
      <c r="AB14" s="196" t="s">
        <v>885</v>
      </c>
      <c r="AC14" s="189"/>
    </row>
    <row r="15" spans="1:30" s="1" customFormat="1" ht="58" x14ac:dyDescent="0.35">
      <c r="A15" s="87">
        <v>127</v>
      </c>
      <c r="B15" s="39"/>
      <c r="C15" s="39"/>
      <c r="D15" s="7" t="s">
        <v>237</v>
      </c>
      <c r="E15" s="40"/>
      <c r="F15" s="40" t="s">
        <v>238</v>
      </c>
      <c r="G15" s="25" t="s">
        <v>188</v>
      </c>
      <c r="H15" s="25" t="s">
        <v>188</v>
      </c>
      <c r="I15" s="25"/>
      <c r="J15" s="25">
        <v>1</v>
      </c>
      <c r="K15" s="39"/>
      <c r="L15" s="39"/>
      <c r="M15" s="126">
        <v>45448</v>
      </c>
      <c r="N15" s="13"/>
      <c r="O15" s="13" t="s">
        <v>124</v>
      </c>
      <c r="P15" s="13"/>
      <c r="Q15" s="9">
        <v>45859</v>
      </c>
      <c r="R15" s="7"/>
      <c r="S15" s="9">
        <v>45945</v>
      </c>
      <c r="T15" s="11">
        <f t="shared" ca="1" si="1"/>
        <v>664</v>
      </c>
      <c r="U15" s="7" t="s">
        <v>551</v>
      </c>
      <c r="V15" s="13"/>
      <c r="W15" s="89"/>
      <c r="X15" s="124" t="s">
        <v>609</v>
      </c>
      <c r="Y15" s="125" t="s">
        <v>631</v>
      </c>
      <c r="Z15" s="182" t="s">
        <v>773</v>
      </c>
      <c r="AA15" s="235" t="s">
        <v>850</v>
      </c>
      <c r="AB15" s="185"/>
      <c r="AC15" s="189"/>
    </row>
    <row r="16" spans="1:30" s="1" customFormat="1" ht="101.5" x14ac:dyDescent="0.35">
      <c r="A16" s="114">
        <v>171</v>
      </c>
      <c r="B16" s="164"/>
      <c r="C16" s="164"/>
      <c r="D16" s="23" t="s">
        <v>293</v>
      </c>
      <c r="E16" s="47" t="s">
        <v>294</v>
      </c>
      <c r="F16" s="165" t="s">
        <v>295</v>
      </c>
      <c r="G16" s="102" t="s">
        <v>188</v>
      </c>
      <c r="H16" s="25" t="s">
        <v>188</v>
      </c>
      <c r="I16" s="25"/>
      <c r="J16" s="25">
        <v>1</v>
      </c>
      <c r="K16" s="39"/>
      <c r="L16" s="39"/>
      <c r="M16" s="113">
        <v>45448</v>
      </c>
      <c r="N16" s="110"/>
      <c r="O16" s="110" t="s">
        <v>124</v>
      </c>
      <c r="P16" s="13"/>
      <c r="Q16" s="108">
        <v>45868</v>
      </c>
      <c r="R16" s="104">
        <v>77</v>
      </c>
      <c r="S16" s="108">
        <f>Q16+R16</f>
        <v>45945</v>
      </c>
      <c r="T16" s="109">
        <f t="shared" ca="1" si="1"/>
        <v>664</v>
      </c>
      <c r="U16" s="104" t="s">
        <v>596</v>
      </c>
      <c r="V16" s="110"/>
      <c r="W16" s="117"/>
      <c r="X16" s="124" t="s">
        <v>609</v>
      </c>
      <c r="Y16" s="125" t="s">
        <v>632</v>
      </c>
      <c r="Z16" s="182" t="s">
        <v>774</v>
      </c>
      <c r="AA16" s="235" t="s">
        <v>852</v>
      </c>
      <c r="AB16" s="185"/>
      <c r="AC16" s="189"/>
    </row>
    <row r="17" spans="1:29" s="1" customFormat="1" ht="113" customHeight="1" x14ac:dyDescent="0.35">
      <c r="A17" s="122">
        <v>165</v>
      </c>
      <c r="B17" s="39"/>
      <c r="C17" s="39"/>
      <c r="D17" s="104" t="s">
        <v>603</v>
      </c>
      <c r="E17" s="111" t="s">
        <v>604</v>
      </c>
      <c r="F17" s="111" t="s">
        <v>283</v>
      </c>
      <c r="G17" s="102" t="s">
        <v>188</v>
      </c>
      <c r="H17" s="25" t="s">
        <v>188</v>
      </c>
      <c r="I17" s="25"/>
      <c r="J17" s="25">
        <v>1</v>
      </c>
      <c r="K17" s="39"/>
      <c r="L17" s="39"/>
      <c r="M17" s="113">
        <v>45448</v>
      </c>
      <c r="N17" s="110"/>
      <c r="O17" s="110" t="s">
        <v>124</v>
      </c>
      <c r="P17" s="13"/>
      <c r="Q17" s="108">
        <v>45868</v>
      </c>
      <c r="R17" s="104">
        <v>77</v>
      </c>
      <c r="S17" s="108">
        <f>Q17+R17</f>
        <v>45945</v>
      </c>
      <c r="T17" s="109">
        <f t="shared" ca="1" si="1"/>
        <v>664</v>
      </c>
      <c r="U17" s="104" t="s">
        <v>597</v>
      </c>
      <c r="V17" s="110"/>
      <c r="W17" s="117"/>
      <c r="X17" s="124" t="s">
        <v>609</v>
      </c>
      <c r="Y17" s="125" t="s">
        <v>633</v>
      </c>
      <c r="Z17" s="88"/>
      <c r="AA17" s="235" t="s">
        <v>850</v>
      </c>
      <c r="AB17" s="185"/>
      <c r="AC17" s="189"/>
    </row>
    <row r="18" spans="1:29" s="1" customFormat="1" ht="105" x14ac:dyDescent="0.35">
      <c r="A18" s="38">
        <v>91</v>
      </c>
      <c r="B18" s="39"/>
      <c r="C18" s="39"/>
      <c r="D18" s="25" t="s">
        <v>187</v>
      </c>
      <c r="E18" s="40"/>
      <c r="F18" s="40" t="s">
        <v>859</v>
      </c>
      <c r="G18" s="25" t="s">
        <v>188</v>
      </c>
      <c r="H18" s="25" t="s">
        <v>188</v>
      </c>
      <c r="I18" s="25"/>
      <c r="J18" s="25">
        <v>1</v>
      </c>
      <c r="K18" s="39"/>
      <c r="L18" s="39"/>
      <c r="M18" s="37">
        <v>45448</v>
      </c>
      <c r="N18" s="13"/>
      <c r="O18" s="13" t="s">
        <v>531</v>
      </c>
      <c r="P18" s="13"/>
      <c r="Q18" s="9">
        <v>45860</v>
      </c>
      <c r="R18" s="7">
        <v>61</v>
      </c>
      <c r="S18" s="108">
        <v>45921</v>
      </c>
      <c r="T18" s="11">
        <f t="shared" ca="1" si="1"/>
        <v>664</v>
      </c>
      <c r="U18" s="13"/>
      <c r="V18" s="13"/>
      <c r="W18" s="89"/>
      <c r="X18" s="241" t="s">
        <v>608</v>
      </c>
      <c r="Y18" s="7"/>
      <c r="Z18" s="88"/>
      <c r="AA18" s="235" t="s">
        <v>853</v>
      </c>
      <c r="AB18" s="236" t="s">
        <v>893</v>
      </c>
      <c r="AC18" s="204"/>
    </row>
    <row r="19" spans="1:29" s="1" customFormat="1" ht="217.5" x14ac:dyDescent="0.35">
      <c r="A19" s="114">
        <v>95</v>
      </c>
      <c r="B19" s="164"/>
      <c r="C19" s="164"/>
      <c r="D19" s="23" t="s">
        <v>194</v>
      </c>
      <c r="E19" s="165"/>
      <c r="F19" s="165" t="s">
        <v>195</v>
      </c>
      <c r="G19" s="25" t="s">
        <v>188</v>
      </c>
      <c r="H19" s="25" t="s">
        <v>188</v>
      </c>
      <c r="I19" s="25"/>
      <c r="J19" s="25">
        <v>1</v>
      </c>
      <c r="K19" s="39"/>
      <c r="L19" s="39"/>
      <c r="M19" s="37">
        <v>45448</v>
      </c>
      <c r="N19" s="13"/>
      <c r="O19" s="13" t="s">
        <v>124</v>
      </c>
      <c r="P19" s="13"/>
      <c r="Q19" s="9">
        <v>45859</v>
      </c>
      <c r="R19" s="7">
        <v>60</v>
      </c>
      <c r="S19" s="9">
        <f>Q19+R19</f>
        <v>45919</v>
      </c>
      <c r="T19" s="11">
        <f t="shared" ca="1" si="1"/>
        <v>664</v>
      </c>
      <c r="U19" s="7" t="s">
        <v>550</v>
      </c>
      <c r="V19" s="7"/>
      <c r="W19" s="88"/>
      <c r="X19" s="241" t="s">
        <v>622</v>
      </c>
      <c r="Y19" s="7"/>
      <c r="Z19" s="88" t="s">
        <v>812</v>
      </c>
      <c r="AA19" s="88" t="s">
        <v>812</v>
      </c>
      <c r="AB19" s="196"/>
      <c r="AC19" s="189"/>
    </row>
    <row r="20" spans="1:29" s="1" customFormat="1" ht="116" x14ac:dyDescent="0.35">
      <c r="A20" s="114">
        <v>148</v>
      </c>
      <c r="B20" s="164"/>
      <c r="C20" s="164"/>
      <c r="D20" s="53" t="s">
        <v>258</v>
      </c>
      <c r="E20" s="165"/>
      <c r="F20" s="165" t="s">
        <v>259</v>
      </c>
      <c r="G20" s="102" t="s">
        <v>188</v>
      </c>
      <c r="H20" s="102" t="s">
        <v>188</v>
      </c>
      <c r="I20" s="102"/>
      <c r="J20" s="102">
        <v>1</v>
      </c>
      <c r="K20" s="112"/>
      <c r="L20" s="112"/>
      <c r="M20" s="113">
        <v>45448</v>
      </c>
      <c r="N20" s="110"/>
      <c r="O20" s="110" t="s">
        <v>124</v>
      </c>
      <c r="P20" s="110"/>
      <c r="Q20" s="108">
        <v>45868</v>
      </c>
      <c r="R20" s="104">
        <v>60</v>
      </c>
      <c r="S20" s="108">
        <f>Q20+R20</f>
        <v>45928</v>
      </c>
      <c r="T20" s="109">
        <f t="shared" ca="1" si="1"/>
        <v>664</v>
      </c>
      <c r="U20" s="104" t="s">
        <v>552</v>
      </c>
      <c r="V20" s="110"/>
      <c r="W20" s="117"/>
      <c r="X20" s="124" t="s">
        <v>609</v>
      </c>
      <c r="Y20" s="125" t="s">
        <v>634</v>
      </c>
      <c r="Z20" s="88"/>
      <c r="AA20" s="235" t="s">
        <v>854</v>
      </c>
      <c r="AB20" s="185"/>
      <c r="AC20" s="189"/>
    </row>
    <row r="21" spans="1:29" s="1" customFormat="1" ht="145" x14ac:dyDescent="0.35">
      <c r="A21" s="114">
        <v>160</v>
      </c>
      <c r="B21" s="164"/>
      <c r="C21" s="164"/>
      <c r="D21" s="53" t="s">
        <v>275</v>
      </c>
      <c r="E21" s="165"/>
      <c r="F21" s="165" t="s">
        <v>276</v>
      </c>
      <c r="G21" s="25" t="s">
        <v>188</v>
      </c>
      <c r="H21" s="25" t="s">
        <v>188</v>
      </c>
      <c r="I21" s="25"/>
      <c r="J21" s="25">
        <v>1</v>
      </c>
      <c r="K21" s="39"/>
      <c r="L21" s="39"/>
      <c r="M21" s="37">
        <v>45448</v>
      </c>
      <c r="N21" s="13"/>
      <c r="O21" s="13" t="s">
        <v>124</v>
      </c>
      <c r="P21" s="13"/>
      <c r="Q21" s="9">
        <v>45868</v>
      </c>
      <c r="R21" s="7">
        <v>60</v>
      </c>
      <c r="S21" s="9">
        <f>Q21+R21</f>
        <v>45928</v>
      </c>
      <c r="T21" s="11">
        <f t="shared" ca="1" si="1"/>
        <v>664</v>
      </c>
      <c r="U21" s="7" t="s">
        <v>553</v>
      </c>
      <c r="V21" s="13"/>
      <c r="W21" s="89"/>
      <c r="X21" s="124" t="s">
        <v>609</v>
      </c>
      <c r="Y21" s="7" t="s">
        <v>627</v>
      </c>
      <c r="Z21" s="88"/>
      <c r="AA21" s="235" t="s">
        <v>851</v>
      </c>
      <c r="AB21" s="196" t="s">
        <v>929</v>
      </c>
      <c r="AC21" s="189"/>
    </row>
    <row r="22" spans="1:29" s="1" customFormat="1" ht="58" x14ac:dyDescent="0.35">
      <c r="A22" s="83"/>
      <c r="B22" s="39"/>
      <c r="C22" s="39"/>
      <c r="D22" s="18" t="s">
        <v>138</v>
      </c>
      <c r="E22" s="18" t="s">
        <v>313</v>
      </c>
      <c r="F22" s="18" t="s">
        <v>314</v>
      </c>
      <c r="G22" s="29"/>
      <c r="H22" s="29"/>
      <c r="I22" s="29"/>
      <c r="J22" s="30"/>
      <c r="K22" s="39"/>
      <c r="L22" s="39"/>
      <c r="M22" s="35">
        <v>45562</v>
      </c>
      <c r="N22" s="13"/>
      <c r="O22" s="13" t="s">
        <v>124</v>
      </c>
      <c r="P22" s="13"/>
      <c r="Q22" s="9">
        <v>45868</v>
      </c>
      <c r="R22" s="7">
        <v>60</v>
      </c>
      <c r="S22" s="9">
        <f>Q22+R22</f>
        <v>45928</v>
      </c>
      <c r="T22" s="11">
        <f t="shared" ca="1" si="1"/>
        <v>550</v>
      </c>
      <c r="U22" s="7" t="s">
        <v>555</v>
      </c>
      <c r="V22" s="13"/>
      <c r="W22" s="89"/>
      <c r="X22" s="124" t="s">
        <v>609</v>
      </c>
      <c r="Y22" s="7" t="s">
        <v>628</v>
      </c>
      <c r="Z22" s="88"/>
      <c r="AA22" s="235" t="s">
        <v>855</v>
      </c>
      <c r="AB22" s="185"/>
      <c r="AC22" s="189"/>
    </row>
    <row r="23" spans="1:29" s="1" customFormat="1" ht="58" x14ac:dyDescent="0.35">
      <c r="A23" s="83"/>
      <c r="B23" s="39"/>
      <c r="C23" s="39"/>
      <c r="D23" s="18" t="s">
        <v>138</v>
      </c>
      <c r="E23" s="18" t="s">
        <v>313</v>
      </c>
      <c r="F23" s="18" t="s">
        <v>317</v>
      </c>
      <c r="G23" s="29"/>
      <c r="H23" s="29"/>
      <c r="I23" s="29"/>
      <c r="J23" s="30"/>
      <c r="K23" s="39"/>
      <c r="L23" s="39"/>
      <c r="M23" s="35">
        <v>45562</v>
      </c>
      <c r="N23" s="13"/>
      <c r="O23" s="13" t="s">
        <v>124</v>
      </c>
      <c r="P23" s="13"/>
      <c r="Q23" s="9">
        <v>45868</v>
      </c>
      <c r="R23" s="7">
        <v>60</v>
      </c>
      <c r="S23" s="9">
        <f>Q23+R23</f>
        <v>45928</v>
      </c>
      <c r="T23" s="11">
        <f t="shared" ca="1" si="1"/>
        <v>550</v>
      </c>
      <c r="U23" s="7" t="s">
        <v>556</v>
      </c>
      <c r="V23" s="13"/>
      <c r="W23" s="89"/>
      <c r="X23" s="124" t="s">
        <v>609</v>
      </c>
      <c r="Y23" s="7" t="s">
        <v>628</v>
      </c>
      <c r="Z23" s="88"/>
      <c r="AA23" s="235" t="s">
        <v>855</v>
      </c>
      <c r="AB23" s="185"/>
      <c r="AC23" s="189"/>
    </row>
    <row r="24" spans="1:29" s="1" customFormat="1" ht="43.5" x14ac:dyDescent="0.35">
      <c r="A24" s="114">
        <v>96</v>
      </c>
      <c r="B24" s="164"/>
      <c r="C24" s="164"/>
      <c r="D24" s="23" t="s">
        <v>196</v>
      </c>
      <c r="E24" s="165"/>
      <c r="F24" s="165" t="s">
        <v>197</v>
      </c>
      <c r="G24" s="25" t="s">
        <v>188</v>
      </c>
      <c r="H24" s="25" t="s">
        <v>188</v>
      </c>
      <c r="I24" s="25"/>
      <c r="J24" s="25">
        <v>1</v>
      </c>
      <c r="K24" s="39"/>
      <c r="L24" s="39"/>
      <c r="M24" s="37">
        <v>45448</v>
      </c>
      <c r="N24" s="13"/>
      <c r="O24" s="13" t="s">
        <v>537</v>
      </c>
      <c r="P24" s="13"/>
      <c r="Q24" s="9">
        <v>45859</v>
      </c>
      <c r="R24" s="13"/>
      <c r="S24" s="92">
        <v>45930</v>
      </c>
      <c r="T24" s="11">
        <f t="shared" ca="1" si="1"/>
        <v>664</v>
      </c>
      <c r="U24" s="13"/>
      <c r="V24" s="13"/>
      <c r="W24" s="89"/>
      <c r="X24" s="124" t="s">
        <v>609</v>
      </c>
      <c r="Y24" s="7" t="s">
        <v>639</v>
      </c>
      <c r="Z24" s="88"/>
      <c r="AA24" s="235" t="s">
        <v>855</v>
      </c>
      <c r="AB24" s="185"/>
      <c r="AC24" s="189"/>
    </row>
    <row r="25" spans="1:29" s="1" customFormat="1" ht="43.5" x14ac:dyDescent="0.35">
      <c r="A25" s="114">
        <v>97</v>
      </c>
      <c r="B25" s="164"/>
      <c r="C25" s="164"/>
      <c r="D25" s="23" t="s">
        <v>196</v>
      </c>
      <c r="E25" s="165"/>
      <c r="F25" s="165" t="s">
        <v>198</v>
      </c>
      <c r="G25" s="25" t="s">
        <v>188</v>
      </c>
      <c r="H25" s="25" t="s">
        <v>188</v>
      </c>
      <c r="I25" s="25"/>
      <c r="J25" s="25">
        <v>1</v>
      </c>
      <c r="K25" s="39"/>
      <c r="L25" s="39"/>
      <c r="M25" s="37">
        <v>45448</v>
      </c>
      <c r="N25" s="13"/>
      <c r="O25" s="13" t="s">
        <v>537</v>
      </c>
      <c r="P25" s="13"/>
      <c r="Q25" s="9">
        <v>45859</v>
      </c>
      <c r="R25" s="13"/>
      <c r="S25" s="92">
        <v>45930</v>
      </c>
      <c r="T25" s="11">
        <f t="shared" ca="1" si="1"/>
        <v>664</v>
      </c>
      <c r="U25" s="13"/>
      <c r="V25" s="13"/>
      <c r="W25" s="89"/>
      <c r="X25" s="124" t="s">
        <v>609</v>
      </c>
      <c r="Y25" s="7" t="s">
        <v>639</v>
      </c>
      <c r="Z25" s="88"/>
      <c r="AA25" s="235" t="s">
        <v>855</v>
      </c>
      <c r="AB25" s="185"/>
      <c r="AC25" s="189"/>
    </row>
    <row r="26" spans="1:29" s="1" customFormat="1" ht="65" customHeight="1" x14ac:dyDescent="0.35">
      <c r="A26" s="114">
        <v>99</v>
      </c>
      <c r="B26" s="164"/>
      <c r="C26" s="164"/>
      <c r="D26" s="53" t="s">
        <v>200</v>
      </c>
      <c r="E26" s="165"/>
      <c r="F26" s="165" t="s">
        <v>201</v>
      </c>
      <c r="G26" s="102" t="s">
        <v>188</v>
      </c>
      <c r="H26" s="102" t="s">
        <v>188</v>
      </c>
      <c r="I26" s="102"/>
      <c r="J26" s="102">
        <v>1</v>
      </c>
      <c r="K26" s="112"/>
      <c r="L26" s="112"/>
      <c r="M26" s="113">
        <v>45448</v>
      </c>
      <c r="N26" s="110"/>
      <c r="O26" s="110" t="s">
        <v>537</v>
      </c>
      <c r="P26" s="110"/>
      <c r="Q26" s="108">
        <v>45859</v>
      </c>
      <c r="R26" s="110"/>
      <c r="S26" s="132">
        <v>45930</v>
      </c>
      <c r="T26" s="109">
        <f t="shared" ca="1" si="1"/>
        <v>664</v>
      </c>
      <c r="U26" s="110"/>
      <c r="V26" s="110"/>
      <c r="W26" s="117"/>
      <c r="X26" s="124" t="s">
        <v>609</v>
      </c>
      <c r="Y26" s="125" t="s">
        <v>635</v>
      </c>
      <c r="Z26" s="88"/>
      <c r="AA26" s="235" t="s">
        <v>835</v>
      </c>
      <c r="AB26" s="185"/>
      <c r="AC26" s="189"/>
    </row>
    <row r="27" spans="1:29" s="1" customFormat="1" ht="122" customHeight="1" x14ac:dyDescent="0.35">
      <c r="A27" s="38">
        <v>100</v>
      </c>
      <c r="B27" s="39"/>
      <c r="C27" s="39"/>
      <c r="D27" s="7" t="s">
        <v>200</v>
      </c>
      <c r="E27" s="40"/>
      <c r="F27" s="40" t="s">
        <v>202</v>
      </c>
      <c r="G27" s="25" t="s">
        <v>188</v>
      </c>
      <c r="H27" s="25" t="s">
        <v>188</v>
      </c>
      <c r="I27" s="25"/>
      <c r="J27" s="25">
        <v>1</v>
      </c>
      <c r="K27" s="39"/>
      <c r="L27" s="39"/>
      <c r="M27" s="37">
        <v>45448</v>
      </c>
      <c r="N27" s="13"/>
      <c r="O27" s="13" t="s">
        <v>537</v>
      </c>
      <c r="P27" s="13"/>
      <c r="Q27" s="9">
        <v>45859</v>
      </c>
      <c r="R27" s="13"/>
      <c r="S27" s="92">
        <v>45930</v>
      </c>
      <c r="T27" s="11">
        <f t="shared" ca="1" si="1"/>
        <v>664</v>
      </c>
      <c r="U27" s="13"/>
      <c r="V27" s="13"/>
      <c r="W27" s="89"/>
      <c r="X27" s="104" t="s">
        <v>642</v>
      </c>
      <c r="Y27" s="7"/>
      <c r="Z27" s="88"/>
      <c r="AA27" s="235" t="s">
        <v>946</v>
      </c>
      <c r="AB27" s="185"/>
      <c r="AC27" s="189"/>
    </row>
    <row r="28" spans="1:29" s="1" customFormat="1" ht="21" x14ac:dyDescent="0.35">
      <c r="A28" s="114">
        <v>115</v>
      </c>
      <c r="B28" s="164"/>
      <c r="C28" s="164"/>
      <c r="D28" s="23" t="s">
        <v>223</v>
      </c>
      <c r="E28" s="165"/>
      <c r="F28" s="165" t="s">
        <v>224</v>
      </c>
      <c r="G28" s="25" t="s">
        <v>188</v>
      </c>
      <c r="H28" s="25" t="s">
        <v>188</v>
      </c>
      <c r="I28" s="25"/>
      <c r="J28" s="25">
        <v>1</v>
      </c>
      <c r="K28" s="39"/>
      <c r="L28" s="39"/>
      <c r="M28" s="37">
        <v>45448</v>
      </c>
      <c r="N28" s="13"/>
      <c r="O28" s="13" t="s">
        <v>537</v>
      </c>
      <c r="P28" s="13"/>
      <c r="Q28" s="9">
        <v>45859</v>
      </c>
      <c r="R28" s="13"/>
      <c r="S28" s="92">
        <v>45930</v>
      </c>
      <c r="T28" s="11">
        <f t="shared" ca="1" si="1"/>
        <v>664</v>
      </c>
      <c r="U28" s="13"/>
      <c r="V28" s="13"/>
      <c r="W28" s="89"/>
      <c r="X28" s="124" t="s">
        <v>608</v>
      </c>
      <c r="Y28" s="7"/>
      <c r="Z28" s="88"/>
      <c r="AA28" s="235" t="s">
        <v>851</v>
      </c>
      <c r="AB28" s="196" t="s">
        <v>937</v>
      </c>
      <c r="AC28" s="189"/>
    </row>
    <row r="29" spans="1:29" s="1" customFormat="1" ht="42" x14ac:dyDescent="0.35">
      <c r="A29" s="38">
        <v>122</v>
      </c>
      <c r="B29" s="39"/>
      <c r="C29" s="39"/>
      <c r="D29" s="25" t="s">
        <v>232</v>
      </c>
      <c r="E29" s="40"/>
      <c r="F29" s="40">
        <v>4063132</v>
      </c>
      <c r="G29" s="25" t="s">
        <v>188</v>
      </c>
      <c r="H29" s="25" t="s">
        <v>188</v>
      </c>
      <c r="I29" s="25"/>
      <c r="J29" s="25">
        <v>1</v>
      </c>
      <c r="K29" s="39"/>
      <c r="L29" s="39"/>
      <c r="M29" s="37">
        <v>45448</v>
      </c>
      <c r="N29" s="13"/>
      <c r="O29" s="13" t="s">
        <v>537</v>
      </c>
      <c r="P29" s="13"/>
      <c r="Q29" s="9">
        <v>45859</v>
      </c>
      <c r="R29" s="13"/>
      <c r="S29" s="92">
        <v>45930</v>
      </c>
      <c r="T29" s="11">
        <f t="shared" ca="1" si="1"/>
        <v>664</v>
      </c>
      <c r="U29" s="13"/>
      <c r="V29" s="13"/>
      <c r="W29" s="89"/>
      <c r="X29" s="124" t="s">
        <v>608</v>
      </c>
      <c r="Y29" s="7"/>
      <c r="Z29" s="88"/>
      <c r="AA29" s="235" t="s">
        <v>836</v>
      </c>
      <c r="AB29" s="185"/>
      <c r="AC29" s="189"/>
    </row>
    <row r="30" spans="1:29" s="1" customFormat="1" ht="42" x14ac:dyDescent="0.35">
      <c r="A30" s="114">
        <v>123</v>
      </c>
      <c r="B30" s="164"/>
      <c r="C30" s="164"/>
      <c r="D30" s="53" t="s">
        <v>233</v>
      </c>
      <c r="E30" s="165"/>
      <c r="F30" s="165">
        <v>44278162</v>
      </c>
      <c r="G30" s="25" t="s">
        <v>188</v>
      </c>
      <c r="H30" s="25" t="s">
        <v>188</v>
      </c>
      <c r="I30" s="25"/>
      <c r="J30" s="25">
        <v>1</v>
      </c>
      <c r="K30" s="39"/>
      <c r="L30" s="39"/>
      <c r="M30" s="37">
        <v>45448</v>
      </c>
      <c r="N30" s="13"/>
      <c r="O30" s="13" t="s">
        <v>537</v>
      </c>
      <c r="P30" s="13"/>
      <c r="Q30" s="9">
        <v>45859</v>
      </c>
      <c r="R30" s="13"/>
      <c r="S30" s="92">
        <v>45930</v>
      </c>
      <c r="T30" s="11">
        <f t="shared" ca="1" si="1"/>
        <v>664</v>
      </c>
      <c r="U30" s="13"/>
      <c r="V30" s="13"/>
      <c r="W30" s="89"/>
      <c r="X30" s="124" t="s">
        <v>608</v>
      </c>
      <c r="Y30" s="7"/>
      <c r="Z30" s="88"/>
      <c r="AA30" s="235" t="s">
        <v>836</v>
      </c>
      <c r="AB30" s="185"/>
      <c r="AC30" s="189"/>
    </row>
    <row r="31" spans="1:29" s="1" customFormat="1" ht="48" customHeight="1" x14ac:dyDescent="0.35">
      <c r="A31" s="87">
        <v>126</v>
      </c>
      <c r="B31" s="39"/>
      <c r="C31" s="39"/>
      <c r="D31" s="104" t="s">
        <v>236</v>
      </c>
      <c r="E31" s="111"/>
      <c r="F31" s="111">
        <v>113802260</v>
      </c>
      <c r="G31" s="102" t="s">
        <v>188</v>
      </c>
      <c r="H31" s="102" t="s">
        <v>188</v>
      </c>
      <c r="I31" s="102"/>
      <c r="J31" s="102">
        <v>1</v>
      </c>
      <c r="K31" s="112"/>
      <c r="L31" s="112"/>
      <c r="M31" s="113">
        <v>45448</v>
      </c>
      <c r="N31" s="110"/>
      <c r="O31" s="110" t="s">
        <v>537</v>
      </c>
      <c r="P31" s="110"/>
      <c r="Q31" s="108">
        <v>45859</v>
      </c>
      <c r="R31" s="110"/>
      <c r="S31" s="132">
        <v>45930</v>
      </c>
      <c r="T31" s="109">
        <f t="shared" ca="1" si="1"/>
        <v>664</v>
      </c>
      <c r="U31" s="110"/>
      <c r="V31" s="110"/>
      <c r="W31" s="117"/>
      <c r="X31" s="124" t="s">
        <v>609</v>
      </c>
      <c r="Y31" s="125" t="s">
        <v>636</v>
      </c>
      <c r="Z31" s="88"/>
      <c r="AA31" s="235" t="s">
        <v>836</v>
      </c>
      <c r="AB31" s="185"/>
      <c r="AC31" s="189"/>
    </row>
    <row r="32" spans="1:29" s="1" customFormat="1" ht="72" customHeight="1" x14ac:dyDescent="0.35">
      <c r="A32" s="114">
        <v>156</v>
      </c>
      <c r="B32" s="164"/>
      <c r="C32" s="164"/>
      <c r="D32" s="23" t="s">
        <v>268</v>
      </c>
      <c r="E32" s="165"/>
      <c r="F32" s="165">
        <v>1188</v>
      </c>
      <c r="G32" s="102" t="s">
        <v>188</v>
      </c>
      <c r="H32" s="102" t="s">
        <v>188</v>
      </c>
      <c r="I32" s="102"/>
      <c r="J32" s="102">
        <v>1</v>
      </c>
      <c r="K32" s="112"/>
      <c r="L32" s="112"/>
      <c r="M32" s="113">
        <v>45448</v>
      </c>
      <c r="N32" s="110"/>
      <c r="O32" s="110" t="s">
        <v>537</v>
      </c>
      <c r="P32" s="110"/>
      <c r="Q32" s="108">
        <v>45859</v>
      </c>
      <c r="R32" s="110"/>
      <c r="S32" s="108">
        <v>45930</v>
      </c>
      <c r="T32" s="109">
        <f t="shared" ca="1" si="1"/>
        <v>664</v>
      </c>
      <c r="U32" s="110"/>
      <c r="V32" s="110"/>
      <c r="W32" s="117"/>
      <c r="X32" s="124" t="s">
        <v>609</v>
      </c>
      <c r="Y32" s="125" t="s">
        <v>637</v>
      </c>
      <c r="Z32" s="182" t="s">
        <v>754</v>
      </c>
      <c r="AA32" s="163" t="s">
        <v>856</v>
      </c>
      <c r="AB32" s="124"/>
      <c r="AC32" s="189"/>
    </row>
    <row r="33" spans="1:29" s="1" customFormat="1" ht="29" x14ac:dyDescent="0.35">
      <c r="A33" s="114">
        <v>157</v>
      </c>
      <c r="B33" s="164"/>
      <c r="C33" s="164"/>
      <c r="D33" s="53" t="s">
        <v>269</v>
      </c>
      <c r="E33" s="165"/>
      <c r="F33" s="165" t="s">
        <v>270</v>
      </c>
      <c r="G33" s="25" t="s">
        <v>188</v>
      </c>
      <c r="H33" s="25" t="s">
        <v>188</v>
      </c>
      <c r="I33" s="25"/>
      <c r="J33" s="25">
        <v>1</v>
      </c>
      <c r="K33" s="39"/>
      <c r="L33" s="39"/>
      <c r="M33" s="37">
        <v>45448</v>
      </c>
      <c r="N33" s="13"/>
      <c r="O33" s="13" t="s">
        <v>537</v>
      </c>
      <c r="P33" s="13"/>
      <c r="Q33" s="9">
        <v>45859</v>
      </c>
      <c r="R33" s="13"/>
      <c r="S33" s="9">
        <v>45930</v>
      </c>
      <c r="T33" s="11">
        <f t="shared" ca="1" si="1"/>
        <v>664</v>
      </c>
      <c r="U33" s="13"/>
      <c r="V33" s="13"/>
      <c r="W33" s="89"/>
      <c r="X33" s="124" t="s">
        <v>608</v>
      </c>
      <c r="Y33" s="7"/>
      <c r="Z33" s="88"/>
      <c r="AA33" s="235" t="s">
        <v>857</v>
      </c>
      <c r="AB33" s="185"/>
      <c r="AC33" s="189"/>
    </row>
    <row r="34" spans="1:29" s="1" customFormat="1" ht="63" x14ac:dyDescent="0.35">
      <c r="A34" s="166">
        <v>168</v>
      </c>
      <c r="B34" s="161"/>
      <c r="C34" s="161"/>
      <c r="D34" s="167" t="s">
        <v>287</v>
      </c>
      <c r="E34" s="168"/>
      <c r="F34" s="168" t="s">
        <v>288</v>
      </c>
      <c r="G34" s="25" t="s">
        <v>188</v>
      </c>
      <c r="H34" s="25" t="s">
        <v>188</v>
      </c>
      <c r="I34" s="25"/>
      <c r="J34" s="25">
        <v>1</v>
      </c>
      <c r="K34" s="3"/>
      <c r="L34" s="3"/>
      <c r="M34" s="37">
        <v>45448</v>
      </c>
      <c r="N34" s="13"/>
      <c r="O34" s="13" t="s">
        <v>537</v>
      </c>
      <c r="P34" s="13"/>
      <c r="Q34" s="9">
        <v>45859</v>
      </c>
      <c r="R34" s="13"/>
      <c r="S34" s="9">
        <v>45930</v>
      </c>
      <c r="T34" s="11">
        <f t="shared" ca="1" si="1"/>
        <v>664</v>
      </c>
      <c r="U34" s="13"/>
      <c r="V34" s="13"/>
      <c r="W34" s="89"/>
      <c r="X34" s="124" t="s">
        <v>608</v>
      </c>
      <c r="Y34" s="7" t="s">
        <v>644</v>
      </c>
      <c r="Z34" s="88"/>
      <c r="AA34" s="235" t="s">
        <v>851</v>
      </c>
      <c r="AB34" s="185" t="s">
        <v>947</v>
      </c>
      <c r="AC34" s="189"/>
    </row>
    <row r="35" spans="1:29" s="1" customFormat="1" ht="42.5" hidden="1" customHeight="1" x14ac:dyDescent="0.35">
      <c r="A35" s="17">
        <v>170</v>
      </c>
      <c r="B35" s="3"/>
      <c r="C35" s="3"/>
      <c r="D35" s="54" t="s">
        <v>291</v>
      </c>
      <c r="E35" s="33"/>
      <c r="F35" s="33" t="s">
        <v>292</v>
      </c>
      <c r="G35" s="25" t="s">
        <v>188</v>
      </c>
      <c r="H35" s="25" t="s">
        <v>188</v>
      </c>
      <c r="I35" s="25"/>
      <c r="J35" s="25">
        <v>1</v>
      </c>
      <c r="K35" s="3"/>
      <c r="L35" s="3"/>
      <c r="M35" s="37">
        <v>45448</v>
      </c>
      <c r="N35" s="13"/>
      <c r="O35" s="13" t="s">
        <v>537</v>
      </c>
      <c r="P35" s="13"/>
      <c r="Q35" s="9">
        <v>45859</v>
      </c>
      <c r="R35" s="13"/>
      <c r="S35" s="9">
        <v>45930</v>
      </c>
      <c r="T35" s="11">
        <f t="shared" ca="1" si="1"/>
        <v>664</v>
      </c>
      <c r="U35" s="13"/>
      <c r="V35" s="13"/>
      <c r="W35" s="89"/>
      <c r="X35" s="104" t="s">
        <v>623</v>
      </c>
      <c r="Y35" s="7"/>
      <c r="Z35" s="88"/>
      <c r="AA35" s="235" t="s">
        <v>836</v>
      </c>
      <c r="AB35" s="185"/>
      <c r="AC35" s="189"/>
    </row>
    <row r="36" spans="1:29" s="1" customFormat="1" ht="21" x14ac:dyDescent="0.35">
      <c r="A36" s="166"/>
      <c r="B36" s="161"/>
      <c r="C36" s="161"/>
      <c r="D36" s="169" t="s">
        <v>173</v>
      </c>
      <c r="E36" s="169" t="s">
        <v>321</v>
      </c>
      <c r="F36" s="169" t="s">
        <v>322</v>
      </c>
      <c r="G36" s="29"/>
      <c r="H36" s="29"/>
      <c r="I36" s="29"/>
      <c r="J36" s="30"/>
      <c r="K36" s="3"/>
      <c r="L36" s="3"/>
      <c r="M36" s="35">
        <v>45562</v>
      </c>
      <c r="N36" s="13"/>
      <c r="O36" s="13" t="s">
        <v>537</v>
      </c>
      <c r="P36" s="13"/>
      <c r="Q36" s="9">
        <v>45859</v>
      </c>
      <c r="R36" s="13"/>
      <c r="S36" s="9">
        <v>45930</v>
      </c>
      <c r="T36" s="11">
        <f t="shared" ca="1" si="1"/>
        <v>550</v>
      </c>
      <c r="U36" s="13"/>
      <c r="V36" s="13"/>
      <c r="W36" s="89"/>
      <c r="X36" s="124" t="s">
        <v>608</v>
      </c>
      <c r="Y36" s="7"/>
      <c r="Z36" s="88"/>
      <c r="AA36" s="235" t="s">
        <v>851</v>
      </c>
      <c r="AB36" s="196" t="s">
        <v>945</v>
      </c>
      <c r="AC36" s="189"/>
    </row>
    <row r="37" spans="1:29" s="1" customFormat="1" ht="21" x14ac:dyDescent="0.35">
      <c r="A37" s="166"/>
      <c r="B37" s="161"/>
      <c r="C37" s="161"/>
      <c r="D37" s="169" t="s">
        <v>173</v>
      </c>
      <c r="E37" s="169" t="s">
        <v>321</v>
      </c>
      <c r="F37" s="169" t="s">
        <v>323</v>
      </c>
      <c r="G37" s="29"/>
      <c r="H37" s="29"/>
      <c r="I37" s="29"/>
      <c r="J37" s="30"/>
      <c r="K37" s="3"/>
      <c r="L37" s="3"/>
      <c r="M37" s="35">
        <v>45562</v>
      </c>
      <c r="N37" s="13"/>
      <c r="O37" s="13" t="s">
        <v>537</v>
      </c>
      <c r="P37" s="13"/>
      <c r="Q37" s="9">
        <v>45859</v>
      </c>
      <c r="R37" s="13"/>
      <c r="S37" s="9">
        <v>45930</v>
      </c>
      <c r="T37" s="11">
        <f t="shared" ca="1" si="1"/>
        <v>550</v>
      </c>
      <c r="U37" s="13"/>
      <c r="V37" s="13"/>
      <c r="W37" s="89"/>
      <c r="X37" s="124" t="s">
        <v>608</v>
      </c>
      <c r="Y37" s="7"/>
      <c r="Z37" s="88"/>
      <c r="AA37" s="235" t="s">
        <v>851</v>
      </c>
      <c r="AB37" s="196" t="s">
        <v>945</v>
      </c>
      <c r="AC37" s="189"/>
    </row>
    <row r="38" spans="1:29" s="1" customFormat="1" ht="21" x14ac:dyDescent="0.35">
      <c r="A38" s="166"/>
      <c r="B38" s="161"/>
      <c r="C38" s="161"/>
      <c r="D38" s="169" t="s">
        <v>173</v>
      </c>
      <c r="E38" s="169" t="s">
        <v>321</v>
      </c>
      <c r="F38" s="169" t="s">
        <v>324</v>
      </c>
      <c r="G38" s="29"/>
      <c r="H38" s="29"/>
      <c r="I38" s="29"/>
      <c r="J38" s="30"/>
      <c r="K38" s="3"/>
      <c r="L38" s="3"/>
      <c r="M38" s="35">
        <v>45562</v>
      </c>
      <c r="N38" s="13"/>
      <c r="O38" s="13" t="s">
        <v>537</v>
      </c>
      <c r="P38" s="13"/>
      <c r="Q38" s="9">
        <v>45859</v>
      </c>
      <c r="R38" s="13"/>
      <c r="S38" s="9">
        <v>45930</v>
      </c>
      <c r="T38" s="11">
        <f t="shared" ca="1" si="1"/>
        <v>550</v>
      </c>
      <c r="U38" s="13"/>
      <c r="V38" s="13"/>
      <c r="W38" s="89"/>
      <c r="X38" s="124" t="s">
        <v>608</v>
      </c>
      <c r="Y38" s="7"/>
      <c r="Z38" s="88"/>
      <c r="AA38" s="235" t="s">
        <v>851</v>
      </c>
      <c r="AB38" s="196" t="s">
        <v>945</v>
      </c>
      <c r="AC38" s="189"/>
    </row>
    <row r="39" spans="1:29" s="1" customFormat="1" ht="21" x14ac:dyDescent="0.35">
      <c r="A39" s="114"/>
      <c r="B39" s="114"/>
      <c r="C39" s="114"/>
      <c r="D39" s="170" t="s">
        <v>173</v>
      </c>
      <c r="E39" s="170" t="s">
        <v>321</v>
      </c>
      <c r="F39" s="170" t="s">
        <v>325</v>
      </c>
      <c r="G39" s="6"/>
      <c r="H39" s="6"/>
      <c r="I39" s="6"/>
      <c r="J39" s="100"/>
      <c r="K39" s="87"/>
      <c r="L39" s="87"/>
      <c r="M39" s="101">
        <v>45562</v>
      </c>
      <c r="N39" s="86"/>
      <c r="O39" s="86" t="s">
        <v>537</v>
      </c>
      <c r="P39" s="86"/>
      <c r="Q39" s="41">
        <v>45859</v>
      </c>
      <c r="R39" s="86"/>
      <c r="S39" s="41">
        <v>45930</v>
      </c>
      <c r="T39" s="85">
        <f t="shared" ref="T39:T60" ca="1" si="2">DATEDIF(M39,TODAY(),"D")</f>
        <v>550</v>
      </c>
      <c r="V39" s="86"/>
      <c r="W39" s="118"/>
      <c r="X39" s="124" t="s">
        <v>608</v>
      </c>
      <c r="Y39" s="7"/>
      <c r="Z39" s="88"/>
      <c r="AA39" s="235" t="s">
        <v>851</v>
      </c>
      <c r="AB39" s="196" t="s">
        <v>945</v>
      </c>
      <c r="AC39" s="189"/>
    </row>
    <row r="40" spans="1:29" s="1" customFormat="1" ht="43.5" x14ac:dyDescent="0.35">
      <c r="A40" s="166">
        <v>79</v>
      </c>
      <c r="B40" s="161"/>
      <c r="C40" s="161"/>
      <c r="D40" s="171" t="s">
        <v>169</v>
      </c>
      <c r="E40" s="47" t="s">
        <v>170</v>
      </c>
      <c r="F40" s="172" t="s">
        <v>171</v>
      </c>
      <c r="G40" s="29"/>
      <c r="H40" s="29"/>
      <c r="I40" s="29"/>
      <c r="J40" s="30"/>
      <c r="K40" s="3"/>
      <c r="L40" s="3"/>
      <c r="M40" s="35">
        <v>45442</v>
      </c>
      <c r="N40" s="13"/>
      <c r="O40" s="13" t="s">
        <v>537</v>
      </c>
      <c r="P40" s="13"/>
      <c r="Q40" s="9">
        <v>45859</v>
      </c>
      <c r="R40" s="13"/>
      <c r="S40" s="9">
        <v>45930</v>
      </c>
      <c r="T40" s="11">
        <f t="shared" ca="1" si="2"/>
        <v>670</v>
      </c>
      <c r="U40" s="13"/>
      <c r="V40" s="13"/>
      <c r="W40" s="89"/>
      <c r="X40" s="125" t="s">
        <v>618</v>
      </c>
      <c r="Y40" s="7"/>
      <c r="Z40" s="88"/>
      <c r="AA40" s="235" t="s">
        <v>857</v>
      </c>
      <c r="AB40" s="185"/>
      <c r="AC40" s="189"/>
    </row>
    <row r="41" spans="1:29" s="1" customFormat="1" ht="43.5" x14ac:dyDescent="0.35">
      <c r="A41" s="166">
        <v>80</v>
      </c>
      <c r="B41" s="161"/>
      <c r="C41" s="161"/>
      <c r="D41" s="171" t="s">
        <v>169</v>
      </c>
      <c r="E41" s="47" t="s">
        <v>170</v>
      </c>
      <c r="F41" s="172" t="s">
        <v>172</v>
      </c>
      <c r="G41" s="29"/>
      <c r="H41" s="29"/>
      <c r="I41" s="29"/>
      <c r="J41" s="30"/>
      <c r="K41" s="3"/>
      <c r="L41" s="3"/>
      <c r="M41" s="35">
        <v>45442</v>
      </c>
      <c r="N41" s="13"/>
      <c r="O41" s="13" t="s">
        <v>537</v>
      </c>
      <c r="P41" s="13"/>
      <c r="Q41" s="9">
        <v>45859</v>
      </c>
      <c r="R41" s="13"/>
      <c r="S41" s="9">
        <v>45930</v>
      </c>
      <c r="T41" s="11">
        <f t="shared" ca="1" si="2"/>
        <v>670</v>
      </c>
      <c r="U41" s="13"/>
      <c r="V41" s="13"/>
      <c r="W41" s="89"/>
      <c r="X41" s="125" t="s">
        <v>618</v>
      </c>
      <c r="Y41" s="7"/>
      <c r="Z41" s="88"/>
      <c r="AA41" s="235" t="s">
        <v>857</v>
      </c>
      <c r="AB41" s="185"/>
      <c r="AC41" s="189"/>
    </row>
    <row r="42" spans="1:29" s="1" customFormat="1" ht="57.65" customHeight="1" x14ac:dyDescent="0.35">
      <c r="A42" s="166">
        <v>118</v>
      </c>
      <c r="B42" s="161"/>
      <c r="C42" s="161"/>
      <c r="D42" s="23" t="s">
        <v>228</v>
      </c>
      <c r="E42" s="168"/>
      <c r="F42" s="168" t="s">
        <v>229</v>
      </c>
      <c r="G42" s="25" t="s">
        <v>188</v>
      </c>
      <c r="H42" s="25" t="s">
        <v>188</v>
      </c>
      <c r="I42" s="25"/>
      <c r="J42" s="25">
        <v>1</v>
      </c>
      <c r="K42" s="3"/>
      <c r="L42" s="3"/>
      <c r="M42" s="37">
        <v>45448</v>
      </c>
      <c r="N42" s="13"/>
      <c r="O42" s="13" t="s">
        <v>537</v>
      </c>
      <c r="P42" s="13"/>
      <c r="Q42" s="9">
        <v>45859</v>
      </c>
      <c r="R42" s="13"/>
      <c r="S42" s="9">
        <v>45930</v>
      </c>
      <c r="T42" s="11">
        <f t="shared" ca="1" si="2"/>
        <v>664</v>
      </c>
      <c r="U42" s="13"/>
      <c r="V42" s="13"/>
      <c r="W42" s="89"/>
      <c r="X42" s="124" t="s">
        <v>609</v>
      </c>
      <c r="Y42" s="7" t="s">
        <v>630</v>
      </c>
      <c r="Z42" s="88"/>
      <c r="AA42" s="235" t="s">
        <v>857</v>
      </c>
      <c r="AB42" s="185"/>
      <c r="AC42" s="189"/>
    </row>
    <row r="43" spans="1:29" s="1" customFormat="1" ht="57.65" customHeight="1" x14ac:dyDescent="0.35">
      <c r="A43" s="166">
        <v>119</v>
      </c>
      <c r="B43" s="161"/>
      <c r="C43" s="161"/>
      <c r="D43" s="23" t="s">
        <v>228</v>
      </c>
      <c r="E43" s="168"/>
      <c r="F43" s="168" t="s">
        <v>230</v>
      </c>
      <c r="G43" s="25" t="s">
        <v>188</v>
      </c>
      <c r="H43" s="25" t="s">
        <v>188</v>
      </c>
      <c r="I43" s="25"/>
      <c r="J43" s="25">
        <v>1</v>
      </c>
      <c r="K43" s="3"/>
      <c r="L43" s="3"/>
      <c r="M43" s="37">
        <v>45448</v>
      </c>
      <c r="N43" s="13"/>
      <c r="O43" s="13" t="s">
        <v>537</v>
      </c>
      <c r="P43" s="13"/>
      <c r="Q43" s="9">
        <v>45859</v>
      </c>
      <c r="R43" s="13"/>
      <c r="S43" s="9">
        <v>45930</v>
      </c>
      <c r="T43" s="11">
        <f t="shared" ca="1" si="2"/>
        <v>664</v>
      </c>
      <c r="U43" s="13"/>
      <c r="V43" s="13"/>
      <c r="W43" s="89"/>
      <c r="X43" s="124" t="s">
        <v>609</v>
      </c>
      <c r="Y43" s="7" t="s">
        <v>630</v>
      </c>
      <c r="Z43" s="88"/>
      <c r="AA43" s="235" t="s">
        <v>857</v>
      </c>
      <c r="AB43" s="185"/>
      <c r="AC43" s="189"/>
    </row>
    <row r="44" spans="1:29" s="1" customFormat="1" ht="57.65" customHeight="1" x14ac:dyDescent="0.35">
      <c r="A44" s="166">
        <v>120</v>
      </c>
      <c r="B44" s="161"/>
      <c r="C44" s="161"/>
      <c r="D44" s="23" t="s">
        <v>228</v>
      </c>
      <c r="E44" s="168"/>
      <c r="F44" s="168" t="s">
        <v>231</v>
      </c>
      <c r="G44" s="25" t="s">
        <v>188</v>
      </c>
      <c r="H44" s="25" t="s">
        <v>188</v>
      </c>
      <c r="I44" s="25"/>
      <c r="J44" s="25">
        <v>1</v>
      </c>
      <c r="K44" s="3"/>
      <c r="L44" s="3"/>
      <c r="M44" s="37">
        <v>45448</v>
      </c>
      <c r="N44" s="13"/>
      <c r="O44" s="13" t="s">
        <v>537</v>
      </c>
      <c r="P44" s="13"/>
      <c r="Q44" s="9">
        <v>45859</v>
      </c>
      <c r="R44" s="13"/>
      <c r="S44" s="9">
        <v>45930</v>
      </c>
      <c r="T44" s="11">
        <f t="shared" ca="1" si="2"/>
        <v>664</v>
      </c>
      <c r="U44" s="13"/>
      <c r="V44" s="13"/>
      <c r="W44" s="89"/>
      <c r="X44" s="124" t="s">
        <v>609</v>
      </c>
      <c r="Y44" s="7" t="s">
        <v>630</v>
      </c>
      <c r="Z44" s="88"/>
      <c r="AA44" s="235" t="s">
        <v>857</v>
      </c>
      <c r="AB44" s="185"/>
      <c r="AC44" s="189"/>
    </row>
    <row r="45" spans="1:29" s="1" customFormat="1" ht="42" customHeight="1" x14ac:dyDescent="0.35">
      <c r="A45" s="166">
        <v>124</v>
      </c>
      <c r="B45" s="161"/>
      <c r="C45" s="161"/>
      <c r="D45" s="23" t="s">
        <v>234</v>
      </c>
      <c r="E45" s="168"/>
      <c r="F45" s="168" t="s">
        <v>312</v>
      </c>
      <c r="G45" s="102" t="s">
        <v>188</v>
      </c>
      <c r="H45" s="102" t="s">
        <v>188</v>
      </c>
      <c r="I45" s="102"/>
      <c r="J45" s="102">
        <v>1</v>
      </c>
      <c r="K45" s="133"/>
      <c r="L45" s="133"/>
      <c r="M45" s="113">
        <v>45448</v>
      </c>
      <c r="N45" s="110"/>
      <c r="O45" s="110" t="s">
        <v>537</v>
      </c>
      <c r="P45" s="110"/>
      <c r="Q45" s="108">
        <v>45859</v>
      </c>
      <c r="R45" s="110"/>
      <c r="S45" s="108">
        <v>45930</v>
      </c>
      <c r="T45" s="109">
        <f t="shared" ca="1" si="2"/>
        <v>664</v>
      </c>
      <c r="U45" s="110"/>
      <c r="V45" s="110"/>
      <c r="W45" s="117"/>
      <c r="X45" s="124" t="s">
        <v>609</v>
      </c>
      <c r="Y45" s="125" t="s">
        <v>629</v>
      </c>
      <c r="Z45" s="88"/>
      <c r="AA45" s="235" t="s">
        <v>857</v>
      </c>
      <c r="AB45" s="185"/>
      <c r="AC45" s="189"/>
    </row>
    <row r="46" spans="1:29" s="1" customFormat="1" ht="46" customHeight="1" x14ac:dyDescent="0.35">
      <c r="A46" s="166">
        <v>125</v>
      </c>
      <c r="B46" s="161"/>
      <c r="C46" s="161"/>
      <c r="D46" s="23" t="s">
        <v>234</v>
      </c>
      <c r="E46" s="168"/>
      <c r="F46" s="168" t="s">
        <v>235</v>
      </c>
      <c r="G46" s="102" t="s">
        <v>188</v>
      </c>
      <c r="H46" s="102" t="s">
        <v>188</v>
      </c>
      <c r="I46" s="102"/>
      <c r="J46" s="102">
        <v>1</v>
      </c>
      <c r="K46" s="133"/>
      <c r="L46" s="133"/>
      <c r="M46" s="113">
        <v>45448</v>
      </c>
      <c r="N46" s="110"/>
      <c r="O46" s="110" t="s">
        <v>537</v>
      </c>
      <c r="P46" s="110"/>
      <c r="Q46" s="108">
        <v>45859</v>
      </c>
      <c r="R46" s="110"/>
      <c r="S46" s="108">
        <v>45930</v>
      </c>
      <c r="T46" s="109">
        <f t="shared" ca="1" si="2"/>
        <v>664</v>
      </c>
      <c r="U46" s="110"/>
      <c r="V46" s="110"/>
      <c r="W46" s="117"/>
      <c r="X46" s="124" t="s">
        <v>609</v>
      </c>
      <c r="Y46" s="125" t="s">
        <v>629</v>
      </c>
      <c r="Z46" s="88"/>
      <c r="AA46" s="235" t="s">
        <v>857</v>
      </c>
      <c r="AB46" s="185"/>
      <c r="AC46" s="189"/>
    </row>
    <row r="47" spans="1:29" s="1" customFormat="1" ht="43.5" x14ac:dyDescent="0.35">
      <c r="A47" s="166">
        <v>141</v>
      </c>
      <c r="B47" s="161"/>
      <c r="C47" s="161"/>
      <c r="D47" s="53" t="s">
        <v>250</v>
      </c>
      <c r="E47" s="168"/>
      <c r="F47" s="168" t="s">
        <v>251</v>
      </c>
      <c r="G47" s="25" t="s">
        <v>188</v>
      </c>
      <c r="H47" s="25" t="s">
        <v>188</v>
      </c>
      <c r="I47" s="25"/>
      <c r="J47" s="25">
        <v>1</v>
      </c>
      <c r="K47" s="3"/>
      <c r="L47" s="3"/>
      <c r="M47" s="126">
        <v>45448</v>
      </c>
      <c r="N47" s="13"/>
      <c r="O47" s="13" t="s">
        <v>537</v>
      </c>
      <c r="P47" s="13"/>
      <c r="Q47" s="9">
        <v>45859</v>
      </c>
      <c r="R47" s="13"/>
      <c r="S47" s="9">
        <v>45930</v>
      </c>
      <c r="T47" s="11">
        <f t="shared" ca="1" si="2"/>
        <v>664</v>
      </c>
      <c r="U47" s="13"/>
      <c r="V47" s="13"/>
      <c r="W47" s="89"/>
      <c r="X47" s="125" t="s">
        <v>618</v>
      </c>
      <c r="Y47" s="7"/>
      <c r="Z47" s="88"/>
      <c r="AA47" s="235" t="s">
        <v>857</v>
      </c>
      <c r="AB47" s="185"/>
      <c r="AC47" s="189"/>
    </row>
    <row r="48" spans="1:29" s="1" customFormat="1" ht="43.5" x14ac:dyDescent="0.35">
      <c r="A48" s="166">
        <v>142</v>
      </c>
      <c r="B48" s="161"/>
      <c r="C48" s="161"/>
      <c r="D48" s="53" t="s">
        <v>250</v>
      </c>
      <c r="E48" s="168"/>
      <c r="F48" s="168" t="s">
        <v>252</v>
      </c>
      <c r="G48" s="25" t="s">
        <v>188</v>
      </c>
      <c r="H48" s="25" t="s">
        <v>188</v>
      </c>
      <c r="I48" s="25"/>
      <c r="J48" s="25">
        <v>1</v>
      </c>
      <c r="K48" s="3"/>
      <c r="L48" s="3"/>
      <c r="M48" s="126">
        <v>45448</v>
      </c>
      <c r="N48" s="13"/>
      <c r="O48" s="13" t="s">
        <v>537</v>
      </c>
      <c r="P48" s="13"/>
      <c r="Q48" s="9">
        <v>45859</v>
      </c>
      <c r="R48" s="13"/>
      <c r="S48" s="9">
        <v>45930</v>
      </c>
      <c r="T48" s="11">
        <f t="shared" ca="1" si="2"/>
        <v>664</v>
      </c>
      <c r="U48" s="13"/>
      <c r="V48" s="13"/>
      <c r="W48" s="89"/>
      <c r="X48" s="125" t="s">
        <v>618</v>
      </c>
      <c r="Y48" s="7"/>
      <c r="Z48" s="88"/>
      <c r="AA48" s="235" t="s">
        <v>857</v>
      </c>
      <c r="AB48" s="185"/>
      <c r="AC48" s="189"/>
    </row>
    <row r="49" spans="1:29" s="1" customFormat="1" ht="43.5" x14ac:dyDescent="0.35">
      <c r="A49" s="166">
        <v>143</v>
      </c>
      <c r="B49" s="161"/>
      <c r="C49" s="161"/>
      <c r="D49" s="53" t="s">
        <v>250</v>
      </c>
      <c r="E49" s="168"/>
      <c r="F49" s="168" t="s">
        <v>253</v>
      </c>
      <c r="G49" s="25" t="s">
        <v>188</v>
      </c>
      <c r="H49" s="25" t="s">
        <v>188</v>
      </c>
      <c r="I49" s="25"/>
      <c r="J49" s="25">
        <v>1</v>
      </c>
      <c r="K49" s="3"/>
      <c r="L49" s="3"/>
      <c r="M49" s="126">
        <v>45448</v>
      </c>
      <c r="N49" s="13"/>
      <c r="O49" s="13" t="s">
        <v>537</v>
      </c>
      <c r="P49" s="13"/>
      <c r="Q49" s="9">
        <v>45859</v>
      </c>
      <c r="R49" s="13"/>
      <c r="S49" s="9">
        <v>45930</v>
      </c>
      <c r="T49" s="11">
        <f t="shared" ca="1" si="2"/>
        <v>664</v>
      </c>
      <c r="U49" s="13"/>
      <c r="V49" s="13"/>
      <c r="W49" s="89"/>
      <c r="X49" s="125" t="s">
        <v>618</v>
      </c>
      <c r="Y49" s="7"/>
      <c r="Z49" s="88"/>
      <c r="AA49" s="235" t="s">
        <v>857</v>
      </c>
      <c r="AB49" s="185"/>
      <c r="AC49" s="189"/>
    </row>
    <row r="50" spans="1:29" s="1" customFormat="1" ht="43.5" x14ac:dyDescent="0.35">
      <c r="A50" s="166">
        <v>144</v>
      </c>
      <c r="B50" s="161"/>
      <c r="C50" s="161"/>
      <c r="D50" s="53" t="s">
        <v>250</v>
      </c>
      <c r="E50" s="168"/>
      <c r="F50" s="168" t="s">
        <v>254</v>
      </c>
      <c r="G50" s="25" t="s">
        <v>188</v>
      </c>
      <c r="H50" s="25" t="s">
        <v>188</v>
      </c>
      <c r="I50" s="25"/>
      <c r="J50" s="25">
        <v>1</v>
      </c>
      <c r="K50" s="3"/>
      <c r="L50" s="3"/>
      <c r="M50" s="126">
        <v>45448</v>
      </c>
      <c r="N50" s="13"/>
      <c r="O50" s="13" t="s">
        <v>537</v>
      </c>
      <c r="P50" s="13"/>
      <c r="Q50" s="9">
        <v>45859</v>
      </c>
      <c r="R50" s="13"/>
      <c r="S50" s="9">
        <v>45930</v>
      </c>
      <c r="T50" s="11">
        <f t="shared" ca="1" si="2"/>
        <v>664</v>
      </c>
      <c r="U50" s="13"/>
      <c r="V50" s="13"/>
      <c r="W50" s="89"/>
      <c r="X50" s="125" t="s">
        <v>618</v>
      </c>
      <c r="Y50" s="7"/>
      <c r="Z50" s="88"/>
      <c r="AA50" s="235" t="s">
        <v>857</v>
      </c>
      <c r="AB50" s="185"/>
      <c r="AC50" s="189"/>
    </row>
    <row r="51" spans="1:29" s="1" customFormat="1" ht="43.5" x14ac:dyDescent="0.35">
      <c r="A51" s="166">
        <v>145</v>
      </c>
      <c r="B51" s="161"/>
      <c r="C51" s="161"/>
      <c r="D51" s="53" t="s">
        <v>250</v>
      </c>
      <c r="E51" s="168"/>
      <c r="F51" s="168" t="s">
        <v>255</v>
      </c>
      <c r="G51" s="25" t="s">
        <v>188</v>
      </c>
      <c r="H51" s="25" t="s">
        <v>188</v>
      </c>
      <c r="I51" s="25"/>
      <c r="J51" s="25">
        <v>1</v>
      </c>
      <c r="K51" s="3"/>
      <c r="L51" s="3"/>
      <c r="M51" s="126">
        <v>45448</v>
      </c>
      <c r="N51" s="13"/>
      <c r="O51" s="13" t="s">
        <v>537</v>
      </c>
      <c r="P51" s="13"/>
      <c r="Q51" s="9">
        <v>45859</v>
      </c>
      <c r="R51" s="13"/>
      <c r="S51" s="9">
        <v>45930</v>
      </c>
      <c r="T51" s="11">
        <f t="shared" ca="1" si="2"/>
        <v>664</v>
      </c>
      <c r="U51" s="13"/>
      <c r="V51" s="13"/>
      <c r="W51" s="89"/>
      <c r="X51" s="125" t="s">
        <v>618</v>
      </c>
      <c r="Y51" s="7"/>
      <c r="Z51" s="88"/>
      <c r="AA51" s="235" t="s">
        <v>857</v>
      </c>
      <c r="AB51" s="185"/>
      <c r="AC51" s="189"/>
    </row>
    <row r="52" spans="1:29" s="1" customFormat="1" ht="43.5" x14ac:dyDescent="0.35">
      <c r="A52" s="166">
        <v>146</v>
      </c>
      <c r="B52" s="161"/>
      <c r="C52" s="161"/>
      <c r="D52" s="53" t="s">
        <v>250</v>
      </c>
      <c r="E52" s="168"/>
      <c r="F52" s="168" t="s">
        <v>256</v>
      </c>
      <c r="G52" s="25" t="s">
        <v>188</v>
      </c>
      <c r="H52" s="25" t="s">
        <v>188</v>
      </c>
      <c r="I52" s="25"/>
      <c r="J52" s="25">
        <v>1</v>
      </c>
      <c r="K52" s="3"/>
      <c r="L52" s="3"/>
      <c r="M52" s="126">
        <v>45448</v>
      </c>
      <c r="N52" s="13"/>
      <c r="O52" s="13" t="s">
        <v>537</v>
      </c>
      <c r="P52" s="13"/>
      <c r="Q52" s="9">
        <v>45859</v>
      </c>
      <c r="R52" s="13"/>
      <c r="S52" s="9">
        <v>45930</v>
      </c>
      <c r="T52" s="11">
        <f t="shared" ca="1" si="2"/>
        <v>664</v>
      </c>
      <c r="U52" s="13"/>
      <c r="V52" s="13"/>
      <c r="W52" s="89"/>
      <c r="X52" s="125" t="s">
        <v>618</v>
      </c>
      <c r="Y52" s="7"/>
      <c r="Z52" s="88"/>
      <c r="AA52" s="235" t="s">
        <v>857</v>
      </c>
      <c r="AB52" s="185"/>
      <c r="AC52" s="189"/>
    </row>
    <row r="53" spans="1:29" s="1" customFormat="1" ht="43.5" x14ac:dyDescent="0.35">
      <c r="A53" s="166">
        <v>147</v>
      </c>
      <c r="B53" s="161"/>
      <c r="C53" s="161"/>
      <c r="D53" s="53" t="s">
        <v>250</v>
      </c>
      <c r="E53" s="168"/>
      <c r="F53" s="168" t="s">
        <v>257</v>
      </c>
      <c r="G53" s="25" t="s">
        <v>188</v>
      </c>
      <c r="H53" s="25" t="s">
        <v>188</v>
      </c>
      <c r="I53" s="25"/>
      <c r="J53" s="25">
        <v>1</v>
      </c>
      <c r="K53" s="3"/>
      <c r="L53" s="3"/>
      <c r="M53" s="126">
        <v>45448</v>
      </c>
      <c r="N53" s="13"/>
      <c r="O53" s="13" t="s">
        <v>537</v>
      </c>
      <c r="P53" s="13"/>
      <c r="Q53" s="9">
        <v>45859</v>
      </c>
      <c r="R53" s="13"/>
      <c r="S53" s="9">
        <v>45930</v>
      </c>
      <c r="T53" s="11">
        <f t="shared" ca="1" si="2"/>
        <v>664</v>
      </c>
      <c r="U53" s="13"/>
      <c r="V53" s="13"/>
      <c r="W53" s="89"/>
      <c r="X53" s="125" t="s">
        <v>618</v>
      </c>
      <c r="Y53" s="7"/>
      <c r="Z53" s="88"/>
      <c r="AA53" s="235" t="s">
        <v>857</v>
      </c>
      <c r="AB53" s="185"/>
      <c r="AC53" s="189"/>
    </row>
    <row r="54" spans="1:29" s="1" customFormat="1" ht="43.5" x14ac:dyDescent="0.35">
      <c r="A54" s="166">
        <v>149</v>
      </c>
      <c r="B54" s="161"/>
      <c r="C54" s="161"/>
      <c r="D54" s="53" t="s">
        <v>250</v>
      </c>
      <c r="E54" s="168"/>
      <c r="F54" s="168" t="s">
        <v>260</v>
      </c>
      <c r="G54" s="25" t="s">
        <v>188</v>
      </c>
      <c r="H54" s="25" t="s">
        <v>188</v>
      </c>
      <c r="I54" s="25"/>
      <c r="J54" s="25">
        <v>1</v>
      </c>
      <c r="K54" s="3"/>
      <c r="L54" s="3"/>
      <c r="M54" s="126">
        <v>45448</v>
      </c>
      <c r="N54" s="13"/>
      <c r="O54" s="13" t="s">
        <v>537</v>
      </c>
      <c r="P54" s="13"/>
      <c r="Q54" s="9">
        <v>45859</v>
      </c>
      <c r="R54" s="13"/>
      <c r="S54" s="9">
        <v>45930</v>
      </c>
      <c r="T54" s="11">
        <f t="shared" ca="1" si="2"/>
        <v>664</v>
      </c>
      <c r="U54" s="13"/>
      <c r="V54" s="13"/>
      <c r="W54" s="89"/>
      <c r="X54" s="125" t="s">
        <v>618</v>
      </c>
      <c r="Y54" s="7"/>
      <c r="Z54" s="88"/>
      <c r="AA54" s="235" t="s">
        <v>857</v>
      </c>
      <c r="AB54" s="185"/>
      <c r="AC54" s="189"/>
    </row>
    <row r="55" spans="1:29" s="1" customFormat="1" ht="43.5" x14ac:dyDescent="0.35">
      <c r="A55" s="166">
        <v>150</v>
      </c>
      <c r="B55" s="161"/>
      <c r="C55" s="161"/>
      <c r="D55" s="53" t="s">
        <v>250</v>
      </c>
      <c r="E55" s="168"/>
      <c r="F55" s="168" t="s">
        <v>261</v>
      </c>
      <c r="G55" s="25" t="s">
        <v>188</v>
      </c>
      <c r="H55" s="25" t="s">
        <v>188</v>
      </c>
      <c r="I55" s="25"/>
      <c r="J55" s="25">
        <v>1</v>
      </c>
      <c r="K55" s="3"/>
      <c r="L55" s="3"/>
      <c r="M55" s="126">
        <v>45448</v>
      </c>
      <c r="N55" s="13"/>
      <c r="O55" s="13" t="s">
        <v>537</v>
      </c>
      <c r="P55" s="13"/>
      <c r="Q55" s="9">
        <v>45859</v>
      </c>
      <c r="R55" s="13"/>
      <c r="S55" s="9">
        <v>45930</v>
      </c>
      <c r="T55" s="11">
        <f t="shared" ca="1" si="2"/>
        <v>664</v>
      </c>
      <c r="U55" s="13"/>
      <c r="V55" s="13"/>
      <c r="W55" s="89"/>
      <c r="X55" s="125" t="s">
        <v>618</v>
      </c>
      <c r="Y55" s="7"/>
      <c r="Z55" s="88"/>
      <c r="AA55" s="235" t="s">
        <v>857</v>
      </c>
      <c r="AB55" s="185"/>
      <c r="AC55" s="189"/>
    </row>
    <row r="56" spans="1:29" s="1" customFormat="1" ht="43.5" x14ac:dyDescent="0.35">
      <c r="A56" s="166">
        <v>151</v>
      </c>
      <c r="B56" s="161"/>
      <c r="C56" s="161"/>
      <c r="D56" s="53" t="s">
        <v>250</v>
      </c>
      <c r="E56" s="168"/>
      <c r="F56" s="168" t="s">
        <v>262</v>
      </c>
      <c r="G56" s="25" t="s">
        <v>188</v>
      </c>
      <c r="H56" s="25" t="s">
        <v>188</v>
      </c>
      <c r="I56" s="25"/>
      <c r="J56" s="25">
        <v>1</v>
      </c>
      <c r="K56" s="3"/>
      <c r="L56" s="3"/>
      <c r="M56" s="126">
        <v>45448</v>
      </c>
      <c r="N56" s="13"/>
      <c r="O56" s="13" t="s">
        <v>537</v>
      </c>
      <c r="P56" s="13"/>
      <c r="Q56" s="9">
        <v>45859</v>
      </c>
      <c r="R56" s="13"/>
      <c r="S56" s="9">
        <v>45930</v>
      </c>
      <c r="T56" s="11">
        <f t="shared" ca="1" si="2"/>
        <v>664</v>
      </c>
      <c r="U56" s="13"/>
      <c r="V56" s="13"/>
      <c r="W56" s="89"/>
      <c r="X56" s="125" t="s">
        <v>618</v>
      </c>
      <c r="Y56" s="7"/>
      <c r="Z56" s="88"/>
      <c r="AA56" s="235" t="s">
        <v>857</v>
      </c>
      <c r="AB56" s="185"/>
      <c r="AC56" s="189"/>
    </row>
    <row r="57" spans="1:29" s="1" customFormat="1" ht="43.5" x14ac:dyDescent="0.35">
      <c r="A57" s="166">
        <v>152</v>
      </c>
      <c r="B57" s="161"/>
      <c r="C57" s="161"/>
      <c r="D57" s="53" t="s">
        <v>250</v>
      </c>
      <c r="E57" s="168"/>
      <c r="F57" s="168" t="s">
        <v>263</v>
      </c>
      <c r="G57" s="25" t="s">
        <v>188</v>
      </c>
      <c r="H57" s="25" t="s">
        <v>188</v>
      </c>
      <c r="I57" s="25"/>
      <c r="J57" s="25">
        <v>1</v>
      </c>
      <c r="K57" s="3"/>
      <c r="L57" s="3"/>
      <c r="M57" s="126">
        <v>45448</v>
      </c>
      <c r="N57" s="13"/>
      <c r="O57" s="13" t="s">
        <v>537</v>
      </c>
      <c r="P57" s="13"/>
      <c r="Q57" s="9">
        <v>45859</v>
      </c>
      <c r="R57" s="13"/>
      <c r="S57" s="9">
        <v>45930</v>
      </c>
      <c r="T57" s="11">
        <f t="shared" ca="1" si="2"/>
        <v>664</v>
      </c>
      <c r="U57" s="13"/>
      <c r="V57" s="13"/>
      <c r="W57" s="89"/>
      <c r="X57" s="125" t="s">
        <v>618</v>
      </c>
      <c r="Y57" s="7"/>
      <c r="Z57" s="88"/>
      <c r="AA57" s="235" t="s">
        <v>857</v>
      </c>
      <c r="AB57" s="185"/>
      <c r="AC57" s="189"/>
    </row>
    <row r="58" spans="1:29" s="1" customFormat="1" ht="43.5" x14ac:dyDescent="0.35">
      <c r="A58" s="166">
        <v>153</v>
      </c>
      <c r="B58" s="161"/>
      <c r="C58" s="161"/>
      <c r="D58" s="53" t="s">
        <v>250</v>
      </c>
      <c r="E58" s="168"/>
      <c r="F58" s="168" t="s">
        <v>264</v>
      </c>
      <c r="G58" s="25" t="s">
        <v>188</v>
      </c>
      <c r="H58" s="25" t="s">
        <v>188</v>
      </c>
      <c r="I58" s="25"/>
      <c r="J58" s="25">
        <v>1</v>
      </c>
      <c r="K58" s="3"/>
      <c r="L58" s="3"/>
      <c r="M58" s="126">
        <v>45448</v>
      </c>
      <c r="N58" s="13"/>
      <c r="O58" s="13" t="s">
        <v>537</v>
      </c>
      <c r="P58" s="13"/>
      <c r="Q58" s="9">
        <v>45859</v>
      </c>
      <c r="R58" s="13"/>
      <c r="S58" s="9">
        <v>45930</v>
      </c>
      <c r="T58" s="11">
        <f t="shared" ca="1" si="2"/>
        <v>664</v>
      </c>
      <c r="U58" s="13"/>
      <c r="V58" s="13"/>
      <c r="W58" s="89"/>
      <c r="X58" s="125" t="s">
        <v>618</v>
      </c>
      <c r="Y58" s="7"/>
      <c r="Z58" s="88"/>
      <c r="AA58" s="235" t="s">
        <v>857</v>
      </c>
      <c r="AB58" s="185"/>
      <c r="AC58" s="189"/>
    </row>
    <row r="59" spans="1:29" s="1" customFormat="1" ht="43.5" x14ac:dyDescent="0.35">
      <c r="A59" s="166">
        <v>159</v>
      </c>
      <c r="B59" s="161"/>
      <c r="C59" s="161"/>
      <c r="D59" s="23" t="s">
        <v>273</v>
      </c>
      <c r="E59" s="168"/>
      <c r="F59" s="168" t="s">
        <v>274</v>
      </c>
      <c r="G59" s="25" t="s">
        <v>188</v>
      </c>
      <c r="H59" s="25" t="s">
        <v>188</v>
      </c>
      <c r="I59" s="25"/>
      <c r="J59" s="25">
        <v>1</v>
      </c>
      <c r="K59" s="3"/>
      <c r="L59" s="3"/>
      <c r="M59" s="37">
        <v>45448</v>
      </c>
      <c r="N59" s="13"/>
      <c r="O59" s="13" t="s">
        <v>537</v>
      </c>
      <c r="P59" s="13"/>
      <c r="Q59" s="9">
        <v>45859</v>
      </c>
      <c r="R59" s="13"/>
      <c r="S59" s="9">
        <v>45930</v>
      </c>
      <c r="T59" s="11">
        <f t="shared" ca="1" si="2"/>
        <v>664</v>
      </c>
      <c r="U59" s="13"/>
      <c r="V59" s="13"/>
      <c r="W59" s="89"/>
      <c r="X59" s="125" t="s">
        <v>618</v>
      </c>
      <c r="Y59" s="7"/>
      <c r="Z59" s="88"/>
      <c r="AA59" s="235" t="s">
        <v>857</v>
      </c>
      <c r="AB59" s="185"/>
      <c r="AC59" s="189"/>
    </row>
    <row r="60" spans="1:29" s="1" customFormat="1" ht="127" customHeight="1" x14ac:dyDescent="0.35">
      <c r="A60" s="166">
        <v>172</v>
      </c>
      <c r="B60" s="161"/>
      <c r="C60" s="161"/>
      <c r="D60" s="173" t="s">
        <v>296</v>
      </c>
      <c r="E60" s="50" t="s">
        <v>297</v>
      </c>
      <c r="F60" s="50">
        <v>7596</v>
      </c>
      <c r="G60" s="102"/>
      <c r="H60" s="102"/>
      <c r="I60" s="134" t="s">
        <v>298</v>
      </c>
      <c r="J60" s="102">
        <v>1</v>
      </c>
      <c r="K60" s="133"/>
      <c r="L60" s="133"/>
      <c r="M60" s="135">
        <v>45497</v>
      </c>
      <c r="N60" s="110"/>
      <c r="O60" s="104" t="s">
        <v>537</v>
      </c>
      <c r="P60" s="110"/>
      <c r="Q60" s="108">
        <v>45859</v>
      </c>
      <c r="R60" s="110"/>
      <c r="S60" s="108">
        <v>45930</v>
      </c>
      <c r="T60" s="109">
        <f t="shared" ca="1" si="2"/>
        <v>615</v>
      </c>
      <c r="U60" s="110"/>
      <c r="V60" s="110"/>
      <c r="W60" s="117"/>
      <c r="X60" s="124" t="s">
        <v>609</v>
      </c>
      <c r="Y60" s="125" t="s">
        <v>638</v>
      </c>
      <c r="Z60" s="88"/>
      <c r="AA60" s="235" t="s">
        <v>857</v>
      </c>
      <c r="AB60" s="185"/>
      <c r="AC60" s="189"/>
    </row>
  </sheetData>
  <autoFilter ref="A5:W60" xr:uid="{00000000-0009-0000-0000-000003000000}">
    <sortState xmlns:xlrd2="http://schemas.microsoft.com/office/spreadsheetml/2017/richdata2" ref="A10:W60">
      <sortCondition ref="S5:S60"/>
    </sortState>
  </autoFilter>
  <mergeCells count="29">
    <mergeCell ref="N3:N4"/>
    <mergeCell ref="O3:S3"/>
    <mergeCell ref="V3:V4"/>
    <mergeCell ref="I2:L2"/>
    <mergeCell ref="B3:B4"/>
    <mergeCell ref="C3:C4"/>
    <mergeCell ref="D3:D4"/>
    <mergeCell ref="E3:E4"/>
    <mergeCell ref="B2:C2"/>
    <mergeCell ref="D2:F2"/>
    <mergeCell ref="K3:K4"/>
    <mergeCell ref="L3:L4"/>
    <mergeCell ref="M3:M4"/>
    <mergeCell ref="AB1:AB5"/>
    <mergeCell ref="F3:F4"/>
    <mergeCell ref="G3:G4"/>
    <mergeCell ref="H3:H4"/>
    <mergeCell ref="I3:I4"/>
    <mergeCell ref="J3:J4"/>
    <mergeCell ref="W3:W4"/>
    <mergeCell ref="AA1:AA5"/>
    <mergeCell ref="T3:T4"/>
    <mergeCell ref="U3:U4"/>
    <mergeCell ref="Z1:Z5"/>
    <mergeCell ref="X1:Y5"/>
    <mergeCell ref="N2:U2"/>
    <mergeCell ref="A1:L1"/>
    <mergeCell ref="M1:V1"/>
    <mergeCell ref="A2:A4"/>
  </mergeCells>
  <phoneticPr fontId="20" type="noConversion"/>
  <conditionalFormatting sqref="F40:F41">
    <cfRule type="duplicateValues" dxfId="0" priority="1"/>
    <cfRule type="colorScale" priority="2">
      <colorScale>
        <cfvo type="num" val="0"/>
        <cfvo type="num" val="0"/>
        <color rgb="FFFF7128"/>
        <color rgb="FFFFEF9C"/>
      </colorScale>
    </cfRule>
  </conditionalFormatting>
  <dataValidations disablePrompts="1" count="2">
    <dataValidation type="list" allowBlank="1" showInputMessage="1" showErrorMessage="1" sqref="P39 P6:P33" xr:uid="{00000000-0002-0000-0300-000000000000}">
      <formula1>"Ожидание согласования замены от Заказчика, Запрос ТКП на замену оборудования, Ожидание поставки оборудования, Поверка/Калибровка, В пути Заказчику "</formula1>
    </dataValidation>
    <dataValidation type="list" allowBlank="1" showInputMessage="1" showErrorMessage="1" sqref="N39 N6:N33" xr:uid="{00000000-0002-0000-0300-000001000000}">
      <formula1>"Да, Нет"</formula1>
    </dataValidation>
  </dataValidations>
  <pageMargins left="0.7" right="0.7" top="0.75" bottom="0.75" header="0.3" footer="0.3"/>
  <pageSetup paperSize="8" scale="59" fitToHeight="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00000000-0002-0000-0300-000004000000}">
          <x14:formula1>
            <xm:f>'\\tyngd-fs01\work\Users\m.egodish\Documents\[Копия Форма потребность 2021.xlsx]Список'!#REF!</xm:f>
          </x14:formula1>
          <xm:sqref>H6:H15</xm:sqref>
        </x14:dataValidation>
        <x14:dataValidation type="list" allowBlank="1" showInputMessage="1" showErrorMessage="1" xr:uid="{00000000-0002-0000-0300-000002000000}">
          <x14:formula1>
            <xm:f>'\\tyngd-fs01\work\Users\zakharovam1\Desktop\[Единая форма неисправного оборудования.xlsx]Список'!#REF!</xm:f>
          </x14:formula1>
          <xm:sqref>B16:C60 H16:H39</xm:sqref>
        </x14:dataValidation>
        <x14:dataValidation type="list" allowBlank="1" showInputMessage="1" showErrorMessage="1" xr:uid="{00000000-0002-0000-0300-000003000000}">
          <x14:formula1>
            <xm:f>Список!$A$11:$A$28</xm:f>
          </x14:formula1>
          <xm:sqref>O6:O60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8"/>
  <sheetViews>
    <sheetView workbookViewId="0">
      <selection activeCell="L3" sqref="L3"/>
    </sheetView>
  </sheetViews>
  <sheetFormatPr defaultRowHeight="14.5" x14ac:dyDescent="0.35"/>
  <cols>
    <col min="12" max="14" width="8.81640625" customWidth="1"/>
  </cols>
  <sheetData>
    <row r="1" spans="1:1" x14ac:dyDescent="0.35">
      <c r="A1" s="16" t="s">
        <v>116</v>
      </c>
    </row>
    <row r="3" spans="1:1" x14ac:dyDescent="0.35">
      <c r="A3" t="s">
        <v>7</v>
      </c>
    </row>
    <row r="4" spans="1:1" x14ac:dyDescent="0.35">
      <c r="A4" t="s">
        <v>117</v>
      </c>
    </row>
    <row r="5" spans="1:1" x14ac:dyDescent="0.35">
      <c r="A5" t="s">
        <v>118</v>
      </c>
    </row>
    <row r="6" spans="1:1" x14ac:dyDescent="0.35">
      <c r="A6" t="s">
        <v>119</v>
      </c>
    </row>
    <row r="7" spans="1:1" x14ac:dyDescent="0.35">
      <c r="A7" t="s">
        <v>120</v>
      </c>
    </row>
    <row r="8" spans="1:1" x14ac:dyDescent="0.35">
      <c r="A8" t="s">
        <v>121</v>
      </c>
    </row>
    <row r="10" spans="1:1" x14ac:dyDescent="0.35">
      <c r="A10" s="16" t="s">
        <v>122</v>
      </c>
    </row>
    <row r="12" spans="1:1" x14ac:dyDescent="0.35">
      <c r="A12" t="s">
        <v>527</v>
      </c>
    </row>
    <row r="13" spans="1:1" x14ac:dyDescent="0.35">
      <c r="A13" t="s">
        <v>528</v>
      </c>
    </row>
    <row r="14" spans="1:1" x14ac:dyDescent="0.35">
      <c r="A14" t="s">
        <v>529</v>
      </c>
    </row>
    <row r="15" spans="1:1" x14ac:dyDescent="0.35">
      <c r="A15" t="s">
        <v>530</v>
      </c>
    </row>
    <row r="16" spans="1:1" x14ac:dyDescent="0.35">
      <c r="A16" t="s">
        <v>531</v>
      </c>
    </row>
    <row r="17" spans="1:1" x14ac:dyDescent="0.35">
      <c r="A17" t="s">
        <v>532</v>
      </c>
    </row>
    <row r="18" spans="1:1" x14ac:dyDescent="0.35">
      <c r="A18" t="s">
        <v>533</v>
      </c>
    </row>
    <row r="19" spans="1:1" x14ac:dyDescent="0.35">
      <c r="A19" t="s">
        <v>534</v>
      </c>
    </row>
    <row r="20" spans="1:1" x14ac:dyDescent="0.35">
      <c r="A20" t="s">
        <v>535</v>
      </c>
    </row>
    <row r="21" spans="1:1" x14ac:dyDescent="0.35">
      <c r="A21" t="s">
        <v>536</v>
      </c>
    </row>
    <row r="22" spans="1:1" x14ac:dyDescent="0.35">
      <c r="A22" t="s">
        <v>537</v>
      </c>
    </row>
    <row r="23" spans="1:1" x14ac:dyDescent="0.35">
      <c r="A23" t="s">
        <v>538</v>
      </c>
    </row>
    <row r="24" spans="1:1" x14ac:dyDescent="0.35">
      <c r="A24" t="s">
        <v>564</v>
      </c>
    </row>
    <row r="25" spans="1:1" x14ac:dyDescent="0.35">
      <c r="A25" t="s">
        <v>126</v>
      </c>
    </row>
    <row r="26" spans="1:1" x14ac:dyDescent="0.35">
      <c r="A26" t="s">
        <v>539</v>
      </c>
    </row>
    <row r="27" spans="1:1" x14ac:dyDescent="0.35">
      <c r="A27" t="s">
        <v>540</v>
      </c>
    </row>
    <row r="28" spans="1:1" x14ac:dyDescent="0.35">
      <c r="A28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3</vt:i4>
      </vt:variant>
    </vt:vector>
  </HeadingPairs>
  <TitlesOfParts>
    <vt:vector size="8" baseType="lpstr">
      <vt:lpstr>Общая информация</vt:lpstr>
      <vt:lpstr>1 группа</vt:lpstr>
      <vt:lpstr>2 группа</vt:lpstr>
      <vt:lpstr>3 группа</vt:lpstr>
      <vt:lpstr>Список</vt:lpstr>
      <vt:lpstr>'1 группа'!Область_печати</vt:lpstr>
      <vt:lpstr>'2 группа'!Область_печати</vt:lpstr>
      <vt:lpstr>'3 группа'!Область_печати</vt:lpstr>
    </vt:vector>
  </TitlesOfParts>
  <Company>IT Organization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Захаров Андрей Михайлович</dc:creator>
  <cp:lastModifiedBy>Andrey Bulashev</cp:lastModifiedBy>
  <cp:lastPrinted>2025-08-01T04:21:21Z</cp:lastPrinted>
  <dcterms:created xsi:type="dcterms:W3CDTF">2025-05-16T08:54:51Z</dcterms:created>
  <dcterms:modified xsi:type="dcterms:W3CDTF">2026-04-01T06:16:06Z</dcterms:modified>
</cp:coreProperties>
</file>